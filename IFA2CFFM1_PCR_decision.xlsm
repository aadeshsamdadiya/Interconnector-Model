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vensonV\Desktop\"/>
    </mc:Choice>
  </mc:AlternateContent>
  <xr:revisionPtr revIDLastSave="0" documentId="8_{30C722F5-14F8-436B-9A98-75E57F2AEDC5}" xr6:coauthVersionLast="47" xr6:coauthVersionMax="47" xr10:uidLastSave="{00000000-0000-0000-0000-000000000000}"/>
  <bookViews>
    <workbookView xWindow="-110" yWindow="-110" windowWidth="19420" windowHeight="10420" tabRatio="849" firstSheet="3" activeTab="12" xr2:uid="{00000000-000D-0000-FFFF-FFFF00000000}"/>
  </bookViews>
  <sheets>
    <sheet name="Cover" sheetId="22" r:id="rId1"/>
    <sheet name="Version Control" sheetId="70" r:id="rId2"/>
    <sheet name="Inputs" sheetId="6" r:id="rId3"/>
    <sheet name="Data Sources" sheetId="71" r:id="rId4"/>
    <sheet name="Pre Op RAV" sheetId="15" r:id="rId5"/>
    <sheet name="Finance" sheetId="27" r:id="rId6"/>
    <sheet name="Op Rav" sheetId="63" r:id="rId7"/>
    <sheet name="Allowances Cap" sheetId="4" r:id="rId8"/>
    <sheet name="Allowances Floor" sheetId="48" r:id="rId9"/>
    <sheet name="Tax Deductions" sheetId="66" r:id="rId10"/>
    <sheet name="Tax Cap" sheetId="67" r:id="rId11"/>
    <sheet name="Tax Floor" sheetId="68" r:id="rId12"/>
    <sheet name="Cap Floor Levels" sheetId="21" r:id="rId13"/>
  </sheets>
  <externalReferences>
    <externalReference r:id="rId14"/>
    <externalReference r:id="rId15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omputed" localSheetId="3">#REF!</definedName>
    <definedName name="computed" localSheetId="6">#REF!</definedName>
    <definedName name="computed">#REF!</definedName>
    <definedName name="diff" localSheetId="3">#REF!</definedName>
    <definedName name="diff" localSheetId="6">#REF!</definedName>
    <definedName name="diff">#REF!</definedName>
    <definedName name="End_Point" localSheetId="3">#REF!</definedName>
    <definedName name="End_Point" localSheetId="6">#REF!</definedName>
    <definedName name="End_Point">#REF!</definedName>
    <definedName name="fixed" localSheetId="3">#REF!</definedName>
    <definedName name="fixed" localSheetId="6">#REF!</definedName>
    <definedName name="fixed">#REF!</definedName>
    <definedName name="_xlnm.Print_Area" localSheetId="7">'Allowances Cap'!$A$1:$AX$36</definedName>
    <definedName name="_xlnm.Print_Area" localSheetId="8">'Allowances Floor'!$A$1:$AX$36</definedName>
    <definedName name="_xlnm.Print_Area" localSheetId="12">'Cap Floor Levels'!$A$1:$AT$26</definedName>
    <definedName name="_xlnm.Print_Area" localSheetId="0">Cover!$A$2:$G$42</definedName>
    <definedName name="_xlnm.Print_Area" localSheetId="3">'Data Sources'!$A$1:$AX$72</definedName>
    <definedName name="_xlnm.Print_Area" localSheetId="5">Finance!$A$1:$AX$48</definedName>
    <definedName name="_xlnm.Print_Area" localSheetId="2">Inputs!$A$1:$AX$125</definedName>
    <definedName name="_xlnm.Print_Area" localSheetId="6">'Op Rav'!$A$1:$AX$43</definedName>
    <definedName name="_xlnm.Print_Area" localSheetId="4">'Pre Op RAV'!$A$1:$AX$26</definedName>
    <definedName name="_xlnm.Print_Area" localSheetId="10">'Tax Cap'!$A$1:$AX$46</definedName>
    <definedName name="_xlnm.Print_Area" localSheetId="9">'Tax Deductions'!$A$1:$AX$65</definedName>
    <definedName name="_xlnm.Print_Area" localSheetId="11">'Tax Floor'!$A$1:$AX$42</definedName>
    <definedName name="_xlnm.Print_Titles" localSheetId="7">'Allowances Cap'!$1:$4</definedName>
    <definedName name="_xlnm.Print_Titles" localSheetId="8">'Allowances Floor'!$1:$4</definedName>
    <definedName name="_xlnm.Print_Titles" localSheetId="12">'Cap Floor Levels'!$1:$2</definedName>
    <definedName name="_xlnm.Print_Titles" localSheetId="0">Cover!$2:$5</definedName>
    <definedName name="_xlnm.Print_Titles" localSheetId="3">'Data Sources'!$1:$2</definedName>
    <definedName name="_xlnm.Print_Titles" localSheetId="5">Finance!$1:$4</definedName>
    <definedName name="_xlnm.Print_Titles" localSheetId="2">Inputs!$1:$2</definedName>
    <definedName name="_xlnm.Print_Titles" localSheetId="6">'Op Rav'!$1:$3</definedName>
    <definedName name="_xlnm.Print_Titles" localSheetId="4">'Pre Op RAV'!$1:$4</definedName>
    <definedName name="_xlnm.Print_Titles" localSheetId="10">'Tax Cap'!$1:$3</definedName>
    <definedName name="_xlnm.Print_Titles" localSheetId="9">'Tax Deductions'!$1:$3</definedName>
    <definedName name="_xlnm.Print_Titles" localSheetId="11">'Tax Floor'!$1:$3</definedName>
    <definedName name="Repayment" localSheetId="3">#REF!</definedName>
    <definedName name="Repayment" localSheetId="6">#REF!</definedName>
    <definedName name="Repayment">#REF!</definedName>
    <definedName name="RiskAfterRecalcMacro" hidden="1">"Simulation"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TRUE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WDA_Dis" localSheetId="1">'[1]fis-Standard Data'!$B$41</definedName>
    <definedName name="WDA_Dis">'[2]fis-Standard Data'!$B$41</definedName>
    <definedName name="WDA_FYA" localSheetId="1">'[1]fis-Standard Data'!$B$40</definedName>
    <definedName name="WDA_FYA">'[2]fis-Standard Data'!$B$40</definedName>
    <definedName name="WDA_LLA" localSheetId="1">'[1]fis-Standard Data'!$B$39</definedName>
    <definedName name="WDA_LLA">'[2]fis-Standard Data'!$B$39</definedName>
    <definedName name="WDA_Plant" localSheetId="1">'[1]fis-Standard Data'!$B$38</definedName>
    <definedName name="WDA_Plant">'[2]fis-Standard Data'!$B$38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8" i="6" l="1"/>
  <c r="Q32" i="6"/>
  <c r="M106" i="6" l="1"/>
  <c r="N106" i="6"/>
  <c r="O106" i="6"/>
  <c r="P106" i="6"/>
  <c r="Q106" i="6"/>
  <c r="R106" i="6"/>
  <c r="S106" i="6"/>
  <c r="T106" i="6"/>
  <c r="U106" i="6"/>
  <c r="V106" i="6"/>
  <c r="W106" i="6"/>
  <c r="L106" i="6"/>
  <c r="K106" i="6"/>
  <c r="X28" i="6"/>
  <c r="Y28" i="6" s="1"/>
  <c r="Z28" i="6" s="1"/>
  <c r="Z106" i="6" s="1"/>
  <c r="Y106" i="6" l="1"/>
  <c r="X106" i="6"/>
  <c r="AA28" i="6"/>
  <c r="AB28" i="6" l="1"/>
  <c r="AA106" i="6"/>
  <c r="G21" i="6"/>
  <c r="G22" i="6"/>
  <c r="G20" i="6"/>
  <c r="AC28" i="6" l="1"/>
  <c r="AB106" i="6"/>
  <c r="I104" i="6"/>
  <c r="AD28" i="6" l="1"/>
  <c r="AC106" i="6"/>
  <c r="K32" i="6"/>
  <c r="K34" i="6" s="1"/>
  <c r="AE28" i="6" l="1"/>
  <c r="AD106" i="6"/>
  <c r="K36" i="6"/>
  <c r="K35" i="6"/>
  <c r="AF28" i="6" l="1"/>
  <c r="AE106" i="6"/>
  <c r="E42" i="71"/>
  <c r="AG28" i="6" l="1"/>
  <c r="AF106" i="6"/>
  <c r="M32" i="6"/>
  <c r="G30" i="27"/>
  <c r="I30" i="27"/>
  <c r="G31" i="27"/>
  <c r="I31" i="27"/>
  <c r="AH28" i="6" l="1"/>
  <c r="AG106" i="6"/>
  <c r="I70" i="71"/>
  <c r="G70" i="71"/>
  <c r="E70" i="71"/>
  <c r="I65" i="71"/>
  <c r="I66" i="71"/>
  <c r="I64" i="71"/>
  <c r="G64" i="71"/>
  <c r="G65" i="71"/>
  <c r="G66" i="71"/>
  <c r="E65" i="71"/>
  <c r="E66" i="71"/>
  <c r="E64" i="71"/>
  <c r="I60" i="71"/>
  <c r="G60" i="71"/>
  <c r="E60" i="71"/>
  <c r="I53" i="71"/>
  <c r="I54" i="71"/>
  <c r="I55" i="71"/>
  <c r="I56" i="71"/>
  <c r="G53" i="71"/>
  <c r="G54" i="71"/>
  <c r="G55" i="71"/>
  <c r="G56" i="71"/>
  <c r="E53" i="71"/>
  <c r="E54" i="71"/>
  <c r="E55" i="71"/>
  <c r="E56" i="71"/>
  <c r="I42" i="71"/>
  <c r="I43" i="71"/>
  <c r="I45" i="71"/>
  <c r="I46" i="71"/>
  <c r="I48" i="71"/>
  <c r="I49" i="71"/>
  <c r="I41" i="71"/>
  <c r="G41" i="71"/>
  <c r="G42" i="71"/>
  <c r="G43" i="71"/>
  <c r="G45" i="71"/>
  <c r="G46" i="71"/>
  <c r="G48" i="71"/>
  <c r="G49" i="71"/>
  <c r="E43" i="71"/>
  <c r="E45" i="71"/>
  <c r="E46" i="71"/>
  <c r="E48" i="71"/>
  <c r="E49" i="71"/>
  <c r="E41" i="71"/>
  <c r="I32" i="71"/>
  <c r="I33" i="71"/>
  <c r="I35" i="71"/>
  <c r="I31" i="71"/>
  <c r="E32" i="71"/>
  <c r="E33" i="71"/>
  <c r="E31" i="71"/>
  <c r="I27" i="71"/>
  <c r="I28" i="71"/>
  <c r="I29" i="71"/>
  <c r="I26" i="71"/>
  <c r="E27" i="71"/>
  <c r="G27" i="71"/>
  <c r="E28" i="71"/>
  <c r="G28" i="71"/>
  <c r="E29" i="71"/>
  <c r="G29" i="71"/>
  <c r="G26" i="71"/>
  <c r="E26" i="71"/>
  <c r="I22" i="71"/>
  <c r="I18" i="71"/>
  <c r="G18" i="71"/>
  <c r="H18" i="71"/>
  <c r="H22" i="71"/>
  <c r="E22" i="71"/>
  <c r="E18" i="71"/>
  <c r="I15" i="71"/>
  <c r="I16" i="71"/>
  <c r="I14" i="71"/>
  <c r="E15" i="71"/>
  <c r="E16" i="71"/>
  <c r="E14" i="71"/>
  <c r="I7" i="71"/>
  <c r="I8" i="71"/>
  <c r="I6" i="71"/>
  <c r="G7" i="71"/>
  <c r="G8" i="71"/>
  <c r="G6" i="71"/>
  <c r="E7" i="71"/>
  <c r="E8" i="71"/>
  <c r="E6" i="71"/>
  <c r="AI28" i="6" l="1"/>
  <c r="AH106" i="6"/>
  <c r="K15" i="67"/>
  <c r="AJ28" i="6" l="1"/>
  <c r="AI106" i="6"/>
  <c r="I116" i="6"/>
  <c r="G34" i="6"/>
  <c r="AK28" i="6" l="1"/>
  <c r="AJ106" i="6"/>
  <c r="I118" i="6"/>
  <c r="I119" i="6" s="1"/>
  <c r="AL28" i="6" l="1"/>
  <c r="AK106" i="6"/>
  <c r="H55" i="6"/>
  <c r="H35" i="71" s="1"/>
  <c r="E55" i="6"/>
  <c r="E35" i="71" s="1"/>
  <c r="G53" i="6"/>
  <c r="G33" i="71" s="1"/>
  <c r="G52" i="6"/>
  <c r="G32" i="71" s="1"/>
  <c r="I49" i="6"/>
  <c r="I48" i="6"/>
  <c r="H49" i="6"/>
  <c r="H48" i="6"/>
  <c r="G49" i="6"/>
  <c r="G48" i="6"/>
  <c r="E49" i="6"/>
  <c r="E48" i="6"/>
  <c r="G28" i="6"/>
  <c r="G22" i="71" s="1"/>
  <c r="AM28" i="6" l="1"/>
  <c r="AL106" i="6"/>
  <c r="G55" i="6"/>
  <c r="G35" i="71" s="1"/>
  <c r="E116" i="6"/>
  <c r="E60" i="6"/>
  <c r="E61" i="6"/>
  <c r="E62" i="6"/>
  <c r="E59" i="6"/>
  <c r="E35" i="6"/>
  <c r="E36" i="6"/>
  <c r="E34" i="6"/>
  <c r="G51" i="6"/>
  <c r="G31" i="71" s="1"/>
  <c r="G47" i="6"/>
  <c r="AN28" i="6" l="1"/>
  <c r="AM106" i="6"/>
  <c r="H106" i="6"/>
  <c r="G14" i="71"/>
  <c r="AO28" i="6" l="1"/>
  <c r="AN106" i="6"/>
  <c r="G15" i="21"/>
  <c r="G14" i="21"/>
  <c r="AP28" i="6" l="1"/>
  <c r="AO106" i="6"/>
  <c r="E10" i="66"/>
  <c r="E9" i="66"/>
  <c r="G106" i="6"/>
  <c r="E106" i="6"/>
  <c r="H104" i="6"/>
  <c r="G104" i="6"/>
  <c r="E104" i="6"/>
  <c r="H47" i="6"/>
  <c r="E47" i="6"/>
  <c r="G24" i="21"/>
  <c r="G23" i="21"/>
  <c r="G21" i="21"/>
  <c r="G20" i="21"/>
  <c r="G18" i="21"/>
  <c r="G17" i="21"/>
  <c r="G12" i="21"/>
  <c r="G11" i="21"/>
  <c r="G9" i="21"/>
  <c r="G8" i="21"/>
  <c r="G40" i="68"/>
  <c r="G36" i="68"/>
  <c r="G35" i="68"/>
  <c r="G32" i="68"/>
  <c r="G40" i="67"/>
  <c r="G35" i="67"/>
  <c r="G36" i="67"/>
  <c r="G32" i="67"/>
  <c r="G34" i="48"/>
  <c r="G33" i="48"/>
  <c r="G29" i="48"/>
  <c r="G28" i="48"/>
  <c r="G13" i="48"/>
  <c r="G12" i="48"/>
  <c r="G11" i="48"/>
  <c r="G10" i="48"/>
  <c r="G9" i="48"/>
  <c r="G8" i="48"/>
  <c r="G34" i="4"/>
  <c r="G33" i="4"/>
  <c r="G29" i="4"/>
  <c r="G28" i="4"/>
  <c r="G13" i="4"/>
  <c r="G12" i="4"/>
  <c r="G11" i="4"/>
  <c r="G10" i="4"/>
  <c r="G9" i="4"/>
  <c r="G8" i="4"/>
  <c r="G41" i="63"/>
  <c r="G40" i="63"/>
  <c r="G38" i="63"/>
  <c r="G37" i="63"/>
  <c r="G35" i="63"/>
  <c r="G34" i="63"/>
  <c r="G25" i="63"/>
  <c r="G17" i="63"/>
  <c r="G15" i="63"/>
  <c r="G14" i="63"/>
  <c r="G13" i="63"/>
  <c r="G12" i="63"/>
  <c r="G11" i="63"/>
  <c r="G10" i="63"/>
  <c r="G9" i="63"/>
  <c r="G46" i="27"/>
  <c r="G45" i="27"/>
  <c r="G44" i="27"/>
  <c r="G43" i="27"/>
  <c r="G42" i="27"/>
  <c r="G41" i="27"/>
  <c r="G40" i="27"/>
  <c r="G39" i="27"/>
  <c r="G38" i="27"/>
  <c r="G24" i="27"/>
  <c r="G23" i="27"/>
  <c r="G22" i="27"/>
  <c r="G21" i="27"/>
  <c r="G20" i="27"/>
  <c r="G24" i="15"/>
  <c r="G23" i="15"/>
  <c r="G22" i="15"/>
  <c r="G21" i="15"/>
  <c r="G20" i="15"/>
  <c r="G19" i="15"/>
  <c r="G18" i="15"/>
  <c r="G17" i="15"/>
  <c r="G62" i="6"/>
  <c r="G61" i="6"/>
  <c r="G60" i="6"/>
  <c r="G59" i="6"/>
  <c r="G36" i="6"/>
  <c r="G35" i="6"/>
  <c r="G16" i="71"/>
  <c r="G15" i="71"/>
  <c r="AQ28" i="6" l="1"/>
  <c r="AP106" i="6"/>
  <c r="K15" i="68"/>
  <c r="E21" i="15"/>
  <c r="AR28" i="6" l="1"/>
  <c r="AQ106" i="6"/>
  <c r="H32" i="6"/>
  <c r="I7" i="6"/>
  <c r="AS28" i="6" l="1"/>
  <c r="AR106" i="6"/>
  <c r="L32" i="6"/>
  <c r="L34" i="6" s="1"/>
  <c r="AJ32" i="6"/>
  <c r="AF32" i="6"/>
  <c r="AB32" i="6"/>
  <c r="X32" i="6"/>
  <c r="T32" i="6"/>
  <c r="P32" i="6"/>
  <c r="P35" i="6" s="1"/>
  <c r="AL32" i="6"/>
  <c r="AG32" i="6"/>
  <c r="AA32" i="6"/>
  <c r="V32" i="6"/>
  <c r="AK32" i="6"/>
  <c r="AE32" i="6"/>
  <c r="Z32" i="6"/>
  <c r="U32" i="6"/>
  <c r="O32" i="6"/>
  <c r="AI32" i="6"/>
  <c r="AD32" i="6"/>
  <c r="Y32" i="6"/>
  <c r="S32" i="6"/>
  <c r="N32" i="6"/>
  <c r="N34" i="6" s="1"/>
  <c r="AH32" i="6"/>
  <c r="W32" i="6"/>
  <c r="AM32" i="6"/>
  <c r="AC32" i="6"/>
  <c r="R32" i="6"/>
  <c r="C4" i="22"/>
  <c r="AT28" i="6" l="1"/>
  <c r="AS106" i="6"/>
  <c r="AN32" i="6"/>
  <c r="AN36" i="6" s="1"/>
  <c r="AM36" i="6"/>
  <c r="AM35" i="6"/>
  <c r="AM34" i="6"/>
  <c r="AH35" i="6"/>
  <c r="AH36" i="6"/>
  <c r="AH34" i="6"/>
  <c r="Y35" i="6"/>
  <c r="Y36" i="6"/>
  <c r="Y34" i="6"/>
  <c r="Z35" i="6"/>
  <c r="Z34" i="6"/>
  <c r="Z36" i="6"/>
  <c r="AA35" i="6"/>
  <c r="AA34" i="6"/>
  <c r="AA36" i="6"/>
  <c r="X36" i="6"/>
  <c r="X35" i="6"/>
  <c r="X34" i="6"/>
  <c r="AD35" i="6"/>
  <c r="AD36" i="6"/>
  <c r="AD34" i="6"/>
  <c r="AE34" i="6"/>
  <c r="AE36" i="6"/>
  <c r="AE35" i="6"/>
  <c r="AG35" i="6"/>
  <c r="AG36" i="6"/>
  <c r="AG34" i="6"/>
  <c r="L36" i="6"/>
  <c r="L35" i="6"/>
  <c r="AB36" i="6"/>
  <c r="AB35" i="6"/>
  <c r="AB34" i="6"/>
  <c r="R35" i="6"/>
  <c r="R34" i="6"/>
  <c r="R36" i="6"/>
  <c r="M35" i="6"/>
  <c r="M34" i="6"/>
  <c r="M36" i="6"/>
  <c r="N35" i="6"/>
  <c r="N36" i="6"/>
  <c r="AI36" i="6"/>
  <c r="AI35" i="6"/>
  <c r="AI34" i="6"/>
  <c r="O34" i="6"/>
  <c r="O36" i="6"/>
  <c r="O35" i="6"/>
  <c r="AK35" i="6"/>
  <c r="AK34" i="6"/>
  <c r="AK36" i="6"/>
  <c r="Q35" i="6"/>
  <c r="Q34" i="6"/>
  <c r="Q36" i="6"/>
  <c r="AL35" i="6"/>
  <c r="AL36" i="6"/>
  <c r="AL34" i="6"/>
  <c r="P36" i="6"/>
  <c r="P34" i="6"/>
  <c r="AF36" i="6"/>
  <c r="AF35" i="6"/>
  <c r="AF34" i="6"/>
  <c r="AC35" i="6"/>
  <c r="AC36" i="6"/>
  <c r="AC34" i="6"/>
  <c r="W36" i="6"/>
  <c r="W34" i="6"/>
  <c r="W35" i="6"/>
  <c r="S36" i="6"/>
  <c r="S35" i="6"/>
  <c r="S34" i="6"/>
  <c r="U35" i="6"/>
  <c r="U34" i="6"/>
  <c r="U36" i="6"/>
  <c r="V35" i="6"/>
  <c r="V36" i="6"/>
  <c r="V34" i="6"/>
  <c r="T36" i="6"/>
  <c r="T35" i="6"/>
  <c r="T34" i="6"/>
  <c r="AJ36" i="6"/>
  <c r="AJ35" i="6"/>
  <c r="AJ34" i="6"/>
  <c r="I71" i="6"/>
  <c r="G23" i="67"/>
  <c r="AU28" i="6" l="1"/>
  <c r="AT106" i="6"/>
  <c r="AN34" i="6"/>
  <c r="AN35" i="6"/>
  <c r="AO32" i="6"/>
  <c r="G23" i="68"/>
  <c r="G55" i="66"/>
  <c r="G54" i="66"/>
  <c r="G32" i="66"/>
  <c r="G48" i="66"/>
  <c r="G49" i="66"/>
  <c r="G31" i="66"/>
  <c r="L23" i="68"/>
  <c r="K23" i="68"/>
  <c r="L23" i="67"/>
  <c r="K23" i="67"/>
  <c r="G33" i="68"/>
  <c r="G33" i="67"/>
  <c r="I10" i="66"/>
  <c r="I55" i="66"/>
  <c r="I54" i="66"/>
  <c r="I49" i="66"/>
  <c r="I32" i="66"/>
  <c r="L31" i="66"/>
  <c r="K31" i="66"/>
  <c r="AI31" i="66"/>
  <c r="AI23" i="67"/>
  <c r="AV28" i="6" l="1"/>
  <c r="AU106" i="6"/>
  <c r="AU107" i="6" s="1"/>
  <c r="AO35" i="6"/>
  <c r="AO36" i="6"/>
  <c r="AO34" i="6"/>
  <c r="AP32" i="6"/>
  <c r="S107" i="6"/>
  <c r="AA107" i="6"/>
  <c r="AI107" i="6"/>
  <c r="AQ107" i="6"/>
  <c r="Z107" i="6"/>
  <c r="L107" i="6"/>
  <c r="T107" i="6"/>
  <c r="AB107" i="6"/>
  <c r="AJ107" i="6"/>
  <c r="AR107" i="6"/>
  <c r="M107" i="6"/>
  <c r="U107" i="6"/>
  <c r="AC107" i="6"/>
  <c r="AK107" i="6"/>
  <c r="AS107" i="6"/>
  <c r="K107" i="6"/>
  <c r="W107" i="6"/>
  <c r="AM107" i="6"/>
  <c r="AP107" i="6"/>
  <c r="N107" i="6"/>
  <c r="V107" i="6"/>
  <c r="AD107" i="6"/>
  <c r="AL107" i="6"/>
  <c r="AT107" i="6"/>
  <c r="O107" i="6"/>
  <c r="AE107" i="6"/>
  <c r="AH107" i="6"/>
  <c r="P107" i="6"/>
  <c r="X107" i="6"/>
  <c r="AF107" i="6"/>
  <c r="AN107" i="6"/>
  <c r="Q107" i="6"/>
  <c r="Y107" i="6"/>
  <c r="AG107" i="6"/>
  <c r="AO107" i="6"/>
  <c r="R107" i="6"/>
  <c r="Q23" i="67"/>
  <c r="O23" i="68"/>
  <c r="Y23" i="67"/>
  <c r="X23" i="67"/>
  <c r="AH23" i="68"/>
  <c r="P23" i="67"/>
  <c r="R23" i="68"/>
  <c r="AD23" i="68"/>
  <c r="M23" i="67"/>
  <c r="U23" i="67"/>
  <c r="AF23" i="67"/>
  <c r="N23" i="68"/>
  <c r="Z23" i="68"/>
  <c r="T23" i="67"/>
  <c r="AB23" i="67"/>
  <c r="V23" i="68"/>
  <c r="AC23" i="67"/>
  <c r="AG23" i="67"/>
  <c r="S23" i="68"/>
  <c r="W23" i="68"/>
  <c r="AA23" i="68"/>
  <c r="AE23" i="68"/>
  <c r="AI23" i="68"/>
  <c r="O23" i="67"/>
  <c r="S23" i="67"/>
  <c r="W23" i="67"/>
  <c r="AA23" i="67"/>
  <c r="AE23" i="67"/>
  <c r="M23" i="68"/>
  <c r="Q23" i="68"/>
  <c r="U23" i="68"/>
  <c r="Y23" i="68"/>
  <c r="AC23" i="68"/>
  <c r="AG23" i="68"/>
  <c r="N23" i="67"/>
  <c r="R23" i="67"/>
  <c r="V23" i="67"/>
  <c r="Z23" i="67"/>
  <c r="AD23" i="67"/>
  <c r="AH23" i="67"/>
  <c r="P23" i="68"/>
  <c r="T23" i="68"/>
  <c r="X23" i="68"/>
  <c r="AB23" i="68"/>
  <c r="AF23" i="68"/>
  <c r="O31" i="66"/>
  <c r="AE31" i="66"/>
  <c r="S31" i="66"/>
  <c r="AA31" i="66"/>
  <c r="W31" i="66"/>
  <c r="N31" i="66"/>
  <c r="R31" i="66"/>
  <c r="V31" i="66"/>
  <c r="Z31" i="66"/>
  <c r="AD31" i="66"/>
  <c r="AH31" i="66"/>
  <c r="P31" i="66"/>
  <c r="T31" i="66"/>
  <c r="X31" i="66"/>
  <c r="AB31" i="66"/>
  <c r="AF31" i="66"/>
  <c r="M31" i="66"/>
  <c r="Q31" i="66"/>
  <c r="U31" i="66"/>
  <c r="Y31" i="66"/>
  <c r="AC31" i="66"/>
  <c r="AG31" i="66"/>
  <c r="AW28" i="6" l="1"/>
  <c r="AV106" i="6"/>
  <c r="AV107" i="6" s="1"/>
  <c r="AP34" i="6"/>
  <c r="AP36" i="6"/>
  <c r="AP35" i="6"/>
  <c r="AQ32" i="6"/>
  <c r="AH26" i="68"/>
  <c r="AD26" i="68"/>
  <c r="Z26" i="68"/>
  <c r="V26" i="68"/>
  <c r="R26" i="68"/>
  <c r="N26" i="68"/>
  <c r="AI26" i="68"/>
  <c r="AG26" i="68"/>
  <c r="AF26" i="68"/>
  <c r="AE26" i="68"/>
  <c r="AC26" i="68"/>
  <c r="AB26" i="68"/>
  <c r="AA26" i="68"/>
  <c r="Y26" i="68"/>
  <c r="X26" i="68"/>
  <c r="W26" i="68"/>
  <c r="U26" i="68"/>
  <c r="T26" i="68"/>
  <c r="S26" i="68"/>
  <c r="Q26" i="68"/>
  <c r="P26" i="68"/>
  <c r="O26" i="68"/>
  <c r="M26" i="68"/>
  <c r="L26" i="68"/>
  <c r="K26" i="68"/>
  <c r="AI26" i="67"/>
  <c r="AE26" i="67"/>
  <c r="AA26" i="67"/>
  <c r="W26" i="67"/>
  <c r="S26" i="67"/>
  <c r="O26" i="67"/>
  <c r="K26" i="67"/>
  <c r="AH26" i="67"/>
  <c r="AG26" i="67"/>
  <c r="AF26" i="67"/>
  <c r="AD26" i="67"/>
  <c r="AC26" i="67"/>
  <c r="AB26" i="67"/>
  <c r="Z26" i="67"/>
  <c r="Y26" i="67"/>
  <c r="X26" i="67"/>
  <c r="V26" i="67"/>
  <c r="U26" i="67"/>
  <c r="T26" i="67"/>
  <c r="R26" i="67"/>
  <c r="Q26" i="67"/>
  <c r="P26" i="67"/>
  <c r="N26" i="67"/>
  <c r="M26" i="67"/>
  <c r="L26" i="67"/>
  <c r="K34" i="66"/>
  <c r="AX28" i="6" l="1"/>
  <c r="AX106" i="6" s="1"/>
  <c r="AX107" i="6" s="1"/>
  <c r="AW106" i="6"/>
  <c r="AW107" i="6" s="1"/>
  <c r="AQ36" i="6"/>
  <c r="AQ35" i="6"/>
  <c r="AQ34" i="6"/>
  <c r="AR32" i="6"/>
  <c r="I47" i="6"/>
  <c r="I57" i="6" s="1"/>
  <c r="AR34" i="6" l="1"/>
  <c r="AR36" i="6"/>
  <c r="AR35" i="6"/>
  <c r="AS32" i="6"/>
  <c r="L61" i="6"/>
  <c r="AF62" i="6"/>
  <c r="AB62" i="6"/>
  <c r="X62" i="6"/>
  <c r="T62" i="6"/>
  <c r="P62" i="6"/>
  <c r="L62" i="6"/>
  <c r="AG61" i="6"/>
  <c r="AC61" i="6"/>
  <c r="Y61" i="6"/>
  <c r="U61" i="6"/>
  <c r="Q61" i="6"/>
  <c r="M61" i="6"/>
  <c r="AH60" i="6"/>
  <c r="AD60" i="6"/>
  <c r="Z60" i="6"/>
  <c r="V60" i="6"/>
  <c r="R60" i="6"/>
  <c r="N60" i="6"/>
  <c r="AI59" i="6"/>
  <c r="AI13" i="63" s="1"/>
  <c r="AE59" i="6"/>
  <c r="AE13" i="63" s="1"/>
  <c r="AA59" i="6"/>
  <c r="AA13" i="63" s="1"/>
  <c r="W59" i="6"/>
  <c r="W13" i="63" s="1"/>
  <c r="S59" i="6"/>
  <c r="S13" i="63" s="1"/>
  <c r="O59" i="6"/>
  <c r="O13" i="63" s="1"/>
  <c r="K59" i="6"/>
  <c r="AI62" i="6"/>
  <c r="AE62" i="6"/>
  <c r="AA62" i="6"/>
  <c r="W62" i="6"/>
  <c r="S62" i="6"/>
  <c r="O62" i="6"/>
  <c r="K62" i="6"/>
  <c r="AF61" i="6"/>
  <c r="AB61" i="6"/>
  <c r="X61" i="6"/>
  <c r="T61" i="6"/>
  <c r="P61" i="6"/>
  <c r="AG60" i="6"/>
  <c r="AC60" i="6"/>
  <c r="Y60" i="6"/>
  <c r="U60" i="6"/>
  <c r="Q60" i="6"/>
  <c r="M60" i="6"/>
  <c r="AH59" i="6"/>
  <c r="AH13" i="63" s="1"/>
  <c r="AD59" i="6"/>
  <c r="AD13" i="63" s="1"/>
  <c r="Z59" i="6"/>
  <c r="Z13" i="63" s="1"/>
  <c r="V59" i="6"/>
  <c r="V13" i="63" s="1"/>
  <c r="R59" i="6"/>
  <c r="R13" i="63" s="1"/>
  <c r="N59" i="6"/>
  <c r="N13" i="63" s="1"/>
  <c r="AC62" i="6"/>
  <c r="U62" i="6"/>
  <c r="M62" i="6"/>
  <c r="AD61" i="6"/>
  <c r="V61" i="6"/>
  <c r="N61" i="6"/>
  <c r="AE60" i="6"/>
  <c r="W60" i="6"/>
  <c r="O60" i="6"/>
  <c r="AF59" i="6"/>
  <c r="AF13" i="63" s="1"/>
  <c r="X59" i="6"/>
  <c r="X13" i="63" s="1"/>
  <c r="P59" i="6"/>
  <c r="P13" i="63" s="1"/>
  <c r="AH62" i="6"/>
  <c r="Z62" i="6"/>
  <c r="R62" i="6"/>
  <c r="AI61" i="6"/>
  <c r="AA61" i="6"/>
  <c r="S61" i="6"/>
  <c r="K61" i="6"/>
  <c r="AB60" i="6"/>
  <c r="T60" i="6"/>
  <c r="L60" i="6"/>
  <c r="AC59" i="6"/>
  <c r="AC13" i="63" s="1"/>
  <c r="U59" i="6"/>
  <c r="U13" i="63" s="1"/>
  <c r="M59" i="6"/>
  <c r="M13" i="63" s="1"/>
  <c r="AG62" i="6"/>
  <c r="Y62" i="6"/>
  <c r="Q62" i="6"/>
  <c r="AH61" i="6"/>
  <c r="Z61" i="6"/>
  <c r="R61" i="6"/>
  <c r="AI60" i="6"/>
  <c r="AA60" i="6"/>
  <c r="S60" i="6"/>
  <c r="K60" i="6"/>
  <c r="AB59" i="6"/>
  <c r="AB13" i="63" s="1"/>
  <c r="T59" i="6"/>
  <c r="T13" i="63" s="1"/>
  <c r="L59" i="6"/>
  <c r="L13" i="63" s="1"/>
  <c r="AD62" i="6"/>
  <c r="V62" i="6"/>
  <c r="N62" i="6"/>
  <c r="AE61" i="6"/>
  <c r="W61" i="6"/>
  <c r="O61" i="6"/>
  <c r="AF60" i="6"/>
  <c r="X60" i="6"/>
  <c r="P60" i="6"/>
  <c r="Y59" i="6"/>
  <c r="Y13" i="63" s="1"/>
  <c r="Q59" i="6"/>
  <c r="Q13" i="63" s="1"/>
  <c r="AG59" i="6"/>
  <c r="AG13" i="63" s="1"/>
  <c r="K13" i="63" l="1"/>
  <c r="AS35" i="6"/>
  <c r="AS36" i="6"/>
  <c r="AS34" i="6"/>
  <c r="AT32" i="6"/>
  <c r="K8" i="4"/>
  <c r="K81" i="6"/>
  <c r="K82" i="6" s="1"/>
  <c r="K17" i="6"/>
  <c r="K100" i="6" s="1"/>
  <c r="AU32" i="6" l="1"/>
  <c r="AT34" i="6"/>
  <c r="AT35" i="6"/>
  <c r="AT36" i="6"/>
  <c r="K18" i="6"/>
  <c r="K4" i="15" s="1"/>
  <c r="K91" i="6"/>
  <c r="K3" i="27"/>
  <c r="K92" i="6"/>
  <c r="K3" i="15"/>
  <c r="L82" i="6"/>
  <c r="L81" i="6"/>
  <c r="AU34" i="6" l="1"/>
  <c r="AU36" i="6"/>
  <c r="AU23" i="27" s="1"/>
  <c r="AU35" i="6"/>
  <c r="AU22" i="27" s="1"/>
  <c r="AV32" i="6"/>
  <c r="L18" i="6"/>
  <c r="M18" i="6" s="1"/>
  <c r="K101" i="6"/>
  <c r="L17" i="6"/>
  <c r="K4" i="27"/>
  <c r="L92" i="6"/>
  <c r="L91" i="6"/>
  <c r="M82" i="6"/>
  <c r="M81" i="6"/>
  <c r="AW32" i="6" l="1"/>
  <c r="AU21" i="27"/>
  <c r="AV34" i="6"/>
  <c r="AV36" i="6"/>
  <c r="AV23" i="27" s="1"/>
  <c r="AV35" i="6"/>
  <c r="AV22" i="27" s="1"/>
  <c r="M17" i="6"/>
  <c r="L101" i="6"/>
  <c r="L100" i="6"/>
  <c r="M92" i="6"/>
  <c r="M91" i="6"/>
  <c r="N82" i="6"/>
  <c r="N81" i="6"/>
  <c r="N18" i="6"/>
  <c r="N17" i="6"/>
  <c r="AW35" i="6" l="1"/>
  <c r="AW22" i="27" s="1"/>
  <c r="AW34" i="6"/>
  <c r="AW36" i="6"/>
  <c r="AW23" i="27" s="1"/>
  <c r="AV21" i="27"/>
  <c r="AX32" i="6"/>
  <c r="M100" i="6"/>
  <c r="M101" i="6"/>
  <c r="N91" i="6"/>
  <c r="N92" i="6"/>
  <c r="O82" i="6"/>
  <c r="O81" i="6"/>
  <c r="O18" i="6"/>
  <c r="O17" i="6"/>
  <c r="AX35" i="6" l="1"/>
  <c r="AX36" i="6"/>
  <c r="AX34" i="6"/>
  <c r="AW21" i="27"/>
  <c r="N101" i="6"/>
  <c r="N100" i="6"/>
  <c r="O92" i="6"/>
  <c r="O91" i="6"/>
  <c r="P82" i="6"/>
  <c r="P81" i="6"/>
  <c r="P18" i="6"/>
  <c r="P17" i="6"/>
  <c r="AW95" i="6" l="1"/>
  <c r="AX23" i="27"/>
  <c r="T95" i="6"/>
  <c r="W95" i="6"/>
  <c r="AP95" i="6"/>
  <c r="X95" i="6"/>
  <c r="Z95" i="6"/>
  <c r="AO95" i="6"/>
  <c r="AE95" i="6"/>
  <c r="AJ95" i="6"/>
  <c r="AF95" i="6"/>
  <c r="R95" i="6"/>
  <c r="L95" i="6"/>
  <c r="O95" i="6"/>
  <c r="U95" i="6"/>
  <c r="AN95" i="6"/>
  <c r="AI95" i="6"/>
  <c r="AK95" i="6"/>
  <c r="Q95" i="6"/>
  <c r="V95" i="6"/>
  <c r="Y95" i="6"/>
  <c r="AG95" i="6"/>
  <c r="M95" i="6"/>
  <c r="AL95" i="6"/>
  <c r="AD95" i="6"/>
  <c r="AC95" i="6"/>
  <c r="S95" i="6"/>
  <c r="AH95" i="6"/>
  <c r="AA95" i="6"/>
  <c r="N95" i="6"/>
  <c r="K95" i="6"/>
  <c r="AM95" i="6"/>
  <c r="AB95" i="6"/>
  <c r="AQ95" i="6"/>
  <c r="P95" i="6"/>
  <c r="AS95" i="6"/>
  <c r="AU95" i="6"/>
  <c r="AX96" i="6"/>
  <c r="AX22" i="27"/>
  <c r="AX95" i="6"/>
  <c r="AX21" i="27"/>
  <c r="AT95" i="6"/>
  <c r="AV95" i="6"/>
  <c r="AR95" i="6"/>
  <c r="I9" i="66"/>
  <c r="K11" i="66" s="1"/>
  <c r="O101" i="6"/>
  <c r="O100" i="6"/>
  <c r="P92" i="6"/>
  <c r="P91" i="6"/>
  <c r="Q82" i="6"/>
  <c r="Q81" i="6"/>
  <c r="Q18" i="6"/>
  <c r="Q17" i="6"/>
  <c r="K26" i="66" l="1"/>
  <c r="K25" i="66"/>
  <c r="P101" i="6"/>
  <c r="P100" i="6"/>
  <c r="L11" i="66"/>
  <c r="Q92" i="6"/>
  <c r="Q91" i="6"/>
  <c r="R82" i="6"/>
  <c r="R81" i="6"/>
  <c r="R18" i="6"/>
  <c r="R17" i="6"/>
  <c r="L25" i="66" l="1"/>
  <c r="L26" i="66"/>
  <c r="Q101" i="6"/>
  <c r="Q100" i="6"/>
  <c r="M11" i="66"/>
  <c r="R91" i="6"/>
  <c r="R92" i="6"/>
  <c r="S82" i="6"/>
  <c r="S81" i="6"/>
  <c r="S18" i="6"/>
  <c r="S17" i="6"/>
  <c r="M26" i="66" l="1"/>
  <c r="M25" i="66"/>
  <c r="R101" i="6"/>
  <c r="R100" i="6"/>
  <c r="N11" i="66"/>
  <c r="S91" i="6"/>
  <c r="S92" i="6" s="1"/>
  <c r="T82" i="6"/>
  <c r="U81" i="6" s="1"/>
  <c r="T81" i="6"/>
  <c r="T18" i="6"/>
  <c r="T17" i="6"/>
  <c r="N26" i="66" l="1"/>
  <c r="N25" i="66"/>
  <c r="S101" i="6"/>
  <c r="S100" i="6"/>
  <c r="O11" i="66"/>
  <c r="T92" i="6"/>
  <c r="T91" i="6"/>
  <c r="U82" i="6"/>
  <c r="U18" i="6"/>
  <c r="U17" i="6"/>
  <c r="O26" i="66" l="1"/>
  <c r="O25" i="66"/>
  <c r="T101" i="6"/>
  <c r="T100" i="6"/>
  <c r="P11" i="66"/>
  <c r="U91" i="6"/>
  <c r="U92" i="6" s="1"/>
  <c r="V82" i="6"/>
  <c r="V81" i="6"/>
  <c r="V18" i="6"/>
  <c r="V17" i="6"/>
  <c r="P25" i="66" l="1"/>
  <c r="P26" i="66"/>
  <c r="U100" i="6"/>
  <c r="U101" i="6"/>
  <c r="Q11" i="66"/>
  <c r="V91" i="6"/>
  <c r="V92" i="6" s="1"/>
  <c r="W82" i="6"/>
  <c r="W81" i="6"/>
  <c r="W18" i="6"/>
  <c r="W17" i="6"/>
  <c r="Q26" i="66" l="1"/>
  <c r="Q25" i="66"/>
  <c r="V101" i="6"/>
  <c r="V100" i="6"/>
  <c r="R11" i="66"/>
  <c r="W91" i="6"/>
  <c r="W92" i="6" s="1"/>
  <c r="X82" i="6"/>
  <c r="X81" i="6"/>
  <c r="X18" i="6"/>
  <c r="X17" i="6"/>
  <c r="R25" i="66" l="1"/>
  <c r="R26" i="66"/>
  <c r="W100" i="6"/>
  <c r="W101" i="6"/>
  <c r="S11" i="66"/>
  <c r="X92" i="6"/>
  <c r="X91" i="6"/>
  <c r="Y82" i="6"/>
  <c r="Y81" i="6"/>
  <c r="Y18" i="6"/>
  <c r="Y17" i="6"/>
  <c r="S25" i="66" l="1"/>
  <c r="S26" i="66"/>
  <c r="X101" i="6"/>
  <c r="X100" i="6"/>
  <c r="T11" i="66"/>
  <c r="Y92" i="6"/>
  <c r="Y91" i="6"/>
  <c r="Z82" i="6"/>
  <c r="Z81" i="6"/>
  <c r="Z18" i="6"/>
  <c r="Z17" i="6"/>
  <c r="T25" i="66" l="1"/>
  <c r="T26" i="66"/>
  <c r="Y100" i="6"/>
  <c r="Y101" i="6"/>
  <c r="U11" i="66"/>
  <c r="Z92" i="6"/>
  <c r="Z91" i="6"/>
  <c r="AA82" i="6"/>
  <c r="AA81" i="6"/>
  <c r="AA18" i="6"/>
  <c r="AA17" i="6"/>
  <c r="U25" i="66" l="1"/>
  <c r="U26" i="66"/>
  <c r="Z101" i="6"/>
  <c r="Z100" i="6"/>
  <c r="V11" i="66"/>
  <c r="AA92" i="6"/>
  <c r="AA91" i="6"/>
  <c r="AB82" i="6"/>
  <c r="AB81" i="6"/>
  <c r="AB18" i="6"/>
  <c r="AB17" i="6"/>
  <c r="V25" i="66" l="1"/>
  <c r="V26" i="66"/>
  <c r="AA101" i="6"/>
  <c r="AA100" i="6"/>
  <c r="W11" i="66"/>
  <c r="AB91" i="6"/>
  <c r="AB92" i="6"/>
  <c r="AC82" i="6"/>
  <c r="AC81" i="6"/>
  <c r="AC18" i="6"/>
  <c r="AC17" i="6"/>
  <c r="W25" i="66" l="1"/>
  <c r="W26" i="66"/>
  <c r="AB101" i="6"/>
  <c r="AB100" i="6"/>
  <c r="X11" i="66"/>
  <c r="AC92" i="6"/>
  <c r="AC91" i="6"/>
  <c r="AD82" i="6"/>
  <c r="AD81" i="6"/>
  <c r="AD18" i="6"/>
  <c r="AD17" i="6"/>
  <c r="X25" i="66" l="1"/>
  <c r="X26" i="66"/>
  <c r="AC101" i="6"/>
  <c r="AC100" i="6"/>
  <c r="Y11" i="66"/>
  <c r="AD92" i="6"/>
  <c r="AD91" i="6"/>
  <c r="AE82" i="6"/>
  <c r="AE81" i="6"/>
  <c r="AE18" i="6"/>
  <c r="AE17" i="6"/>
  <c r="Y25" i="66" l="1"/>
  <c r="Y26" i="66"/>
  <c r="AD100" i="6"/>
  <c r="AD101" i="6"/>
  <c r="Z11" i="66"/>
  <c r="AE92" i="6"/>
  <c r="AE91" i="6"/>
  <c r="AF82" i="6"/>
  <c r="AF81" i="6"/>
  <c r="AF18" i="6"/>
  <c r="AF17" i="6"/>
  <c r="Z25" i="66" l="1"/>
  <c r="Z26" i="66"/>
  <c r="AE100" i="6"/>
  <c r="AE101" i="6"/>
  <c r="AA11" i="66"/>
  <c r="AF92" i="6"/>
  <c r="AF91" i="6"/>
  <c r="AG82" i="6"/>
  <c r="AG81" i="6"/>
  <c r="AG18" i="6"/>
  <c r="AG17" i="6"/>
  <c r="AA25" i="66" l="1"/>
  <c r="AA26" i="66"/>
  <c r="AF101" i="6"/>
  <c r="AF100" i="6"/>
  <c r="AB11" i="66"/>
  <c r="AG92" i="6"/>
  <c r="AG91" i="6"/>
  <c r="AH82" i="6"/>
  <c r="AH81" i="6"/>
  <c r="AH18" i="6"/>
  <c r="AH17" i="6"/>
  <c r="AB26" i="66" l="1"/>
  <c r="AB25" i="66"/>
  <c r="AG101" i="6"/>
  <c r="AG100" i="6"/>
  <c r="AC11" i="66"/>
  <c r="AH92" i="6"/>
  <c r="AH91" i="6"/>
  <c r="AI82" i="6"/>
  <c r="AI81" i="6"/>
  <c r="AI18" i="6"/>
  <c r="AI17" i="6"/>
  <c r="AC25" i="66" l="1"/>
  <c r="AC26" i="66"/>
  <c r="AH101" i="6"/>
  <c r="AH100" i="6"/>
  <c r="AD11" i="66"/>
  <c r="AI92" i="6"/>
  <c r="AI91" i="6"/>
  <c r="AJ82" i="6"/>
  <c r="AJ81" i="6"/>
  <c r="AJ18" i="6"/>
  <c r="AJ17" i="6"/>
  <c r="AD25" i="66" l="1"/>
  <c r="AD26" i="66"/>
  <c r="AI101" i="6"/>
  <c r="AI100" i="6"/>
  <c r="AE11" i="66"/>
  <c r="AJ92" i="6"/>
  <c r="AJ91" i="6"/>
  <c r="AK82" i="6"/>
  <c r="AK81" i="6"/>
  <c r="AK18" i="6"/>
  <c r="AK17" i="6"/>
  <c r="AE25" i="66" l="1"/>
  <c r="AE26" i="66"/>
  <c r="AJ101" i="6"/>
  <c r="AJ100" i="6"/>
  <c r="AF11" i="66"/>
  <c r="AK92" i="6"/>
  <c r="AK91" i="6"/>
  <c r="AL82" i="6"/>
  <c r="AL81" i="6"/>
  <c r="AL18" i="6"/>
  <c r="AL17" i="6"/>
  <c r="AF25" i="66" l="1"/>
  <c r="AF26" i="66"/>
  <c r="AK101" i="6"/>
  <c r="AK100" i="6"/>
  <c r="AG11" i="66"/>
  <c r="AL92" i="6"/>
  <c r="AL91" i="6"/>
  <c r="AM82" i="6"/>
  <c r="AM81" i="6"/>
  <c r="AM18" i="6"/>
  <c r="AM17" i="6"/>
  <c r="AG25" i="66" l="1"/>
  <c r="AG26" i="66"/>
  <c r="AL101" i="6"/>
  <c r="AL100" i="6"/>
  <c r="AH11" i="66"/>
  <c r="AM92" i="6"/>
  <c r="AM91" i="6"/>
  <c r="AN82" i="6"/>
  <c r="AN81" i="6"/>
  <c r="AN18" i="6"/>
  <c r="AN17" i="6"/>
  <c r="AH25" i="66" l="1"/>
  <c r="AH26" i="66"/>
  <c r="AM100" i="6"/>
  <c r="AM101" i="6"/>
  <c r="AI11" i="66"/>
  <c r="AN92" i="6"/>
  <c r="AN91" i="6"/>
  <c r="AO82" i="6"/>
  <c r="AO81" i="6"/>
  <c r="AO18" i="6"/>
  <c r="AO17" i="6"/>
  <c r="AI25" i="66" l="1"/>
  <c r="AI26" i="66"/>
  <c r="AN101" i="6"/>
  <c r="AN100" i="6"/>
  <c r="AO92" i="6"/>
  <c r="AO91" i="6"/>
  <c r="AP82" i="6"/>
  <c r="AP81" i="6"/>
  <c r="AP18" i="6"/>
  <c r="AP17" i="6"/>
  <c r="AO101" i="6" l="1"/>
  <c r="AO100" i="6"/>
  <c r="AP92" i="6"/>
  <c r="AP91" i="6"/>
  <c r="AQ82" i="6"/>
  <c r="AQ81" i="6"/>
  <c r="AQ18" i="6"/>
  <c r="AQ17" i="6"/>
  <c r="AP100" i="6" l="1"/>
  <c r="AP101" i="6"/>
  <c r="AQ92" i="6"/>
  <c r="AQ91" i="6"/>
  <c r="AR82" i="6"/>
  <c r="AR81" i="6"/>
  <c r="AR18" i="6"/>
  <c r="AR17" i="6"/>
  <c r="AQ100" i="6" l="1"/>
  <c r="AQ101" i="6"/>
  <c r="AR92" i="6"/>
  <c r="AR91" i="6"/>
  <c r="AS82" i="6"/>
  <c r="AS81" i="6"/>
  <c r="AS18" i="6"/>
  <c r="AS17" i="6"/>
  <c r="AR101" i="6" l="1"/>
  <c r="AR100" i="6"/>
  <c r="AS92" i="6"/>
  <c r="AS91" i="6"/>
  <c r="AT82" i="6"/>
  <c r="AT81" i="6"/>
  <c r="AT18" i="6"/>
  <c r="AT17" i="6"/>
  <c r="AS101" i="6" l="1"/>
  <c r="AS100" i="6"/>
  <c r="AT92" i="6"/>
  <c r="AT91" i="6"/>
  <c r="AU82" i="6"/>
  <c r="AU81" i="6"/>
  <c r="AU18" i="6"/>
  <c r="AU17" i="6"/>
  <c r="AT101" i="6" l="1"/>
  <c r="AT100" i="6"/>
  <c r="AU11" i="27"/>
  <c r="AU92" i="6"/>
  <c r="AU8" i="27" s="1"/>
  <c r="AU91" i="6"/>
  <c r="AV82" i="6"/>
  <c r="AV81" i="6"/>
  <c r="AV18" i="6"/>
  <c r="AV17" i="6"/>
  <c r="AU101" i="6" l="1"/>
  <c r="AU100" i="6"/>
  <c r="AV11" i="27"/>
  <c r="AV92" i="6"/>
  <c r="AV8" i="27" s="1"/>
  <c r="AV91" i="6"/>
  <c r="AW82" i="6"/>
  <c r="AW81" i="6"/>
  <c r="AW18" i="6"/>
  <c r="AW17" i="6"/>
  <c r="AV100" i="6" l="1"/>
  <c r="AV101" i="6"/>
  <c r="AW11" i="27"/>
  <c r="AW92" i="6"/>
  <c r="AW8" i="27" s="1"/>
  <c r="AW91" i="6"/>
  <c r="AX82" i="6"/>
  <c r="AX81" i="6"/>
  <c r="AX18" i="6"/>
  <c r="AX17" i="6"/>
  <c r="AW100" i="6" l="1"/>
  <c r="AW101" i="6"/>
  <c r="AX11" i="27"/>
  <c r="AX92" i="6"/>
  <c r="AX8" i="27" s="1"/>
  <c r="AX91" i="6"/>
  <c r="AX100" i="6" l="1"/>
  <c r="AX101" i="6"/>
  <c r="G32" i="63"/>
  <c r="G31" i="63"/>
  <c r="I21" i="63"/>
  <c r="K22" i="63" s="1"/>
  <c r="AI36" i="66"/>
  <c r="AH36" i="66"/>
  <c r="AG36" i="66"/>
  <c r="AF36" i="66"/>
  <c r="AE36" i="66"/>
  <c r="AD36" i="66"/>
  <c r="AC36" i="66"/>
  <c r="AB36" i="66"/>
  <c r="AA36" i="66"/>
  <c r="Z36" i="66"/>
  <c r="Y36" i="66"/>
  <c r="X36" i="66"/>
  <c r="W36" i="66"/>
  <c r="V36" i="66"/>
  <c r="U36" i="66"/>
  <c r="T36" i="66"/>
  <c r="S36" i="66"/>
  <c r="R36" i="66"/>
  <c r="Q36" i="66"/>
  <c r="P36" i="66"/>
  <c r="O36" i="66"/>
  <c r="N36" i="66"/>
  <c r="M36" i="66"/>
  <c r="L36" i="66"/>
  <c r="K36" i="66"/>
  <c r="K9" i="63"/>
  <c r="K23" i="63" l="1"/>
  <c r="L22" i="63"/>
  <c r="L23" i="63" l="1"/>
  <c r="M22" i="63"/>
  <c r="N22" i="63" l="1"/>
  <c r="M23" i="63"/>
  <c r="N23" i="63" l="1"/>
  <c r="O22" i="63"/>
  <c r="O23" i="63" l="1"/>
  <c r="P22" i="63"/>
  <c r="P23" i="63" l="1"/>
  <c r="Q22" i="63"/>
  <c r="Q23" i="63" l="1"/>
  <c r="R22" i="63"/>
  <c r="R23" i="63" l="1"/>
  <c r="S22" i="63"/>
  <c r="S23" i="63" l="1"/>
  <c r="T22" i="63"/>
  <c r="T23" i="63" l="1"/>
  <c r="U22" i="63"/>
  <c r="U23" i="63" l="1"/>
  <c r="V22" i="63"/>
  <c r="V23" i="63" l="1"/>
  <c r="W22" i="63"/>
  <c r="W23" i="63" l="1"/>
  <c r="X22" i="63"/>
  <c r="X23" i="63" l="1"/>
  <c r="Y22" i="63"/>
  <c r="Y23" i="63" l="1"/>
  <c r="Z22" i="63"/>
  <c r="Z23" i="63" l="1"/>
  <c r="AA22" i="63"/>
  <c r="AA23" i="63" l="1"/>
  <c r="AB22" i="63"/>
  <c r="AB23" i="63" l="1"/>
  <c r="AC22" i="63"/>
  <c r="AD22" i="63" l="1"/>
  <c r="AC23" i="63"/>
  <c r="AD23" i="63" l="1"/>
  <c r="AE22" i="63"/>
  <c r="AE23" i="63" l="1"/>
  <c r="AF22" i="63"/>
  <c r="AF23" i="63" l="1"/>
  <c r="AG22" i="63"/>
  <c r="AG23" i="63" l="1"/>
  <c r="AH22" i="63"/>
  <c r="AH23" i="63" l="1"/>
  <c r="AI22" i="63"/>
  <c r="AI23" i="63" s="1"/>
  <c r="L4" i="48" l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X4" i="48" s="1"/>
  <c r="Y4" i="48" s="1"/>
  <c r="Z4" i="48" s="1"/>
  <c r="AA4" i="48" s="1"/>
  <c r="AB4" i="48" s="1"/>
  <c r="AC4" i="48" s="1"/>
  <c r="AD4" i="48" s="1"/>
  <c r="AE4" i="48" s="1"/>
  <c r="AF4" i="48" s="1"/>
  <c r="AG4" i="48" s="1"/>
  <c r="AH4" i="48" s="1"/>
  <c r="AI4" i="48" s="1"/>
  <c r="L4" i="4"/>
  <c r="M4" i="4" s="1"/>
  <c r="N4" i="4" s="1"/>
  <c r="O4" i="4" s="1"/>
  <c r="P4" i="4" s="1"/>
  <c r="Q4" i="4" s="1"/>
  <c r="R4" i="4" s="1"/>
  <c r="S4" i="4" s="1"/>
  <c r="T4" i="4" s="1"/>
  <c r="U4" i="4" s="1"/>
  <c r="V4" i="4" s="1"/>
  <c r="W4" i="4" s="1"/>
  <c r="X4" i="4" s="1"/>
  <c r="Y4" i="4" s="1"/>
  <c r="Z4" i="4" s="1"/>
  <c r="AA4" i="4" s="1"/>
  <c r="AB4" i="4" s="1"/>
  <c r="AC4" i="4" s="1"/>
  <c r="AD4" i="4" s="1"/>
  <c r="AE4" i="4" s="1"/>
  <c r="AF4" i="4" s="1"/>
  <c r="AG4" i="4" s="1"/>
  <c r="AH4" i="4" s="1"/>
  <c r="AI4" i="4" s="1"/>
  <c r="AI10" i="48" l="1"/>
  <c r="AH10" i="48"/>
  <c r="AG10" i="48"/>
  <c r="AF10" i="48"/>
  <c r="AE10" i="48"/>
  <c r="AD10" i="48"/>
  <c r="AC10" i="48"/>
  <c r="AB10" i="48"/>
  <c r="AA10" i="48"/>
  <c r="Z10" i="48"/>
  <c r="Y10" i="48"/>
  <c r="X10" i="48"/>
  <c r="W10" i="48"/>
  <c r="V10" i="48"/>
  <c r="U10" i="48"/>
  <c r="T10" i="48"/>
  <c r="S10" i="48"/>
  <c r="R10" i="48"/>
  <c r="Q10" i="48"/>
  <c r="P10" i="48"/>
  <c r="O10" i="48"/>
  <c r="N10" i="48"/>
  <c r="M10" i="48"/>
  <c r="L10" i="48"/>
  <c r="K10" i="48"/>
  <c r="AI9" i="48"/>
  <c r="AH9" i="48"/>
  <c r="AG9" i="48"/>
  <c r="AF9" i="48"/>
  <c r="AE9" i="48"/>
  <c r="AD9" i="48"/>
  <c r="AC9" i="48"/>
  <c r="AB9" i="48"/>
  <c r="AA9" i="48"/>
  <c r="Z9" i="48"/>
  <c r="Y9" i="48"/>
  <c r="X9" i="48"/>
  <c r="W9" i="48"/>
  <c r="V9" i="48"/>
  <c r="U9" i="48"/>
  <c r="T9" i="48"/>
  <c r="S9" i="48"/>
  <c r="R9" i="48"/>
  <c r="Q9" i="48"/>
  <c r="P9" i="48"/>
  <c r="O9" i="48"/>
  <c r="N9" i="48"/>
  <c r="M9" i="48"/>
  <c r="L9" i="48"/>
  <c r="K9" i="48"/>
  <c r="AI8" i="48"/>
  <c r="AH8" i="48"/>
  <c r="AG8" i="48"/>
  <c r="AF8" i="48"/>
  <c r="AE8" i="48"/>
  <c r="AD8" i="48"/>
  <c r="AC8" i="48"/>
  <c r="AB8" i="48"/>
  <c r="AA8" i="48"/>
  <c r="Z8" i="48"/>
  <c r="Y8" i="48"/>
  <c r="X8" i="48"/>
  <c r="W8" i="48"/>
  <c r="V8" i="48"/>
  <c r="U8" i="48"/>
  <c r="T8" i="48"/>
  <c r="S8" i="48"/>
  <c r="R8" i="48"/>
  <c r="Q8" i="48"/>
  <c r="P8" i="48"/>
  <c r="O8" i="48"/>
  <c r="N8" i="48"/>
  <c r="M8" i="48"/>
  <c r="L8" i="48"/>
  <c r="K8" i="48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K10" i="4"/>
  <c r="K9" i="4"/>
  <c r="AE27" i="66" l="1"/>
  <c r="AE15" i="66" s="1"/>
  <c r="S27" i="66"/>
  <c r="S15" i="66" s="1"/>
  <c r="AF27" i="66"/>
  <c r="AF15" i="66" s="1"/>
  <c r="AB27" i="66"/>
  <c r="AB15" i="66" s="1"/>
  <c r="X27" i="66"/>
  <c r="X15" i="66" s="1"/>
  <c r="T27" i="66"/>
  <c r="T15" i="66" s="1"/>
  <c r="P27" i="66"/>
  <c r="P15" i="66" s="1"/>
  <c r="L27" i="66"/>
  <c r="L15" i="66" s="1"/>
  <c r="AA27" i="66"/>
  <c r="AA15" i="66" s="1"/>
  <c r="O27" i="66"/>
  <c r="O15" i="66" s="1"/>
  <c r="K27" i="66"/>
  <c r="K15" i="66" s="1"/>
  <c r="AH27" i="66"/>
  <c r="AH15" i="66" s="1"/>
  <c r="AD27" i="66"/>
  <c r="AD15" i="66" s="1"/>
  <c r="Z27" i="66"/>
  <c r="Z15" i="66" s="1"/>
  <c r="V27" i="66"/>
  <c r="V15" i="66" s="1"/>
  <c r="R27" i="66"/>
  <c r="R15" i="66" s="1"/>
  <c r="N27" i="66"/>
  <c r="N15" i="66" s="1"/>
  <c r="AI27" i="66"/>
  <c r="AI15" i="66" s="1"/>
  <c r="W27" i="66"/>
  <c r="W15" i="66" s="1"/>
  <c r="AG27" i="66"/>
  <c r="AG15" i="66" s="1"/>
  <c r="AC27" i="66"/>
  <c r="AC15" i="66" s="1"/>
  <c r="Y27" i="66"/>
  <c r="Y15" i="66" s="1"/>
  <c r="U27" i="66"/>
  <c r="U15" i="66" s="1"/>
  <c r="Q27" i="66"/>
  <c r="Q15" i="66" s="1"/>
  <c r="M27" i="66"/>
  <c r="M15" i="66" s="1"/>
  <c r="K94" i="6"/>
  <c r="K93" i="6" s="1"/>
  <c r="L94" i="6"/>
  <c r="L93" i="6" s="1"/>
  <c r="M94" i="6"/>
  <c r="M93" i="6" s="1"/>
  <c r="N94" i="6"/>
  <c r="N93" i="6" s="1"/>
  <c r="O94" i="6"/>
  <c r="O93" i="6" s="1"/>
  <c r="P94" i="6"/>
  <c r="P93" i="6" s="1"/>
  <c r="Q94" i="6"/>
  <c r="Q93" i="6" s="1"/>
  <c r="R94" i="6"/>
  <c r="R93" i="6" s="1"/>
  <c r="S94" i="6"/>
  <c r="S93" i="6" s="1"/>
  <c r="T94" i="6"/>
  <c r="T93" i="6" s="1"/>
  <c r="U94" i="6"/>
  <c r="U93" i="6" s="1"/>
  <c r="V94" i="6"/>
  <c r="V93" i="6" s="1"/>
  <c r="W94" i="6"/>
  <c r="X94" i="6"/>
  <c r="X93" i="6" s="1"/>
  <c r="Y94" i="6"/>
  <c r="Y93" i="6" s="1"/>
  <c r="Z94" i="6"/>
  <c r="Z93" i="6" s="1"/>
  <c r="AA94" i="6"/>
  <c r="AA93" i="6" s="1"/>
  <c r="AB94" i="6"/>
  <c r="AB93" i="6" s="1"/>
  <c r="AC94" i="6"/>
  <c r="AC93" i="6" s="1"/>
  <c r="AD94" i="6"/>
  <c r="AD93" i="6" s="1"/>
  <c r="AE94" i="6"/>
  <c r="AE93" i="6" s="1"/>
  <c r="AF94" i="6"/>
  <c r="AF93" i="6" s="1"/>
  <c r="AG94" i="6"/>
  <c r="AG93" i="6" s="1"/>
  <c r="AH94" i="6"/>
  <c r="AH93" i="6" s="1"/>
  <c r="AI94" i="6"/>
  <c r="AI93" i="6" s="1"/>
  <c r="AJ94" i="6"/>
  <c r="AJ93" i="6" s="1"/>
  <c r="AK94" i="6"/>
  <c r="AK93" i="6" s="1"/>
  <c r="AL94" i="6"/>
  <c r="AL93" i="6" s="1"/>
  <c r="AM94" i="6"/>
  <c r="AM93" i="6" s="1"/>
  <c r="AN94" i="6"/>
  <c r="AN93" i="6" s="1"/>
  <c r="AO94" i="6"/>
  <c r="AO93" i="6" s="1"/>
  <c r="AP94" i="6"/>
  <c r="AP93" i="6" s="1"/>
  <c r="AQ94" i="6"/>
  <c r="AQ93" i="6" s="1"/>
  <c r="AR94" i="6"/>
  <c r="AR93" i="6" s="1"/>
  <c r="AS94" i="6"/>
  <c r="AS93" i="6" s="1"/>
  <c r="AT94" i="6"/>
  <c r="AT93" i="6" s="1"/>
  <c r="AU94" i="6"/>
  <c r="AV94" i="6"/>
  <c r="AW94" i="6"/>
  <c r="AX94" i="6"/>
  <c r="W93" i="6" l="1"/>
  <c r="W10" i="15"/>
  <c r="AV93" i="6"/>
  <c r="AV9" i="27" s="1"/>
  <c r="AV10" i="27"/>
  <c r="AU93" i="6"/>
  <c r="AU9" i="27" s="1"/>
  <c r="AU10" i="27"/>
  <c r="AX93" i="6"/>
  <c r="AX9" i="27" s="1"/>
  <c r="AX10" i="27"/>
  <c r="AW93" i="6"/>
  <c r="AW9" i="27" s="1"/>
  <c r="AW10" i="27"/>
  <c r="K20" i="27"/>
  <c r="K22" i="27"/>
  <c r="L22" i="27"/>
  <c r="M22" i="27"/>
  <c r="N22" i="27"/>
  <c r="O22" i="27"/>
  <c r="P22" i="27"/>
  <c r="Q22" i="27"/>
  <c r="R22" i="27"/>
  <c r="S22" i="27"/>
  <c r="T22" i="27"/>
  <c r="K23" i="27"/>
  <c r="L23" i="27"/>
  <c r="M23" i="27"/>
  <c r="N23" i="27"/>
  <c r="O23" i="27"/>
  <c r="P23" i="27"/>
  <c r="Q23" i="27"/>
  <c r="R23" i="27"/>
  <c r="S23" i="27"/>
  <c r="T23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K38" i="27" l="1"/>
  <c r="L96" i="6"/>
  <c r="L12" i="27" s="1"/>
  <c r="M96" i="6"/>
  <c r="M12" i="27" s="1"/>
  <c r="N96" i="6"/>
  <c r="N12" i="27" s="1"/>
  <c r="O96" i="6"/>
  <c r="O12" i="27" s="1"/>
  <c r="P96" i="6"/>
  <c r="P12" i="27" s="1"/>
  <c r="Q96" i="6"/>
  <c r="Q12" i="27" s="1"/>
  <c r="R96" i="6"/>
  <c r="R12" i="27" s="1"/>
  <c r="S96" i="6"/>
  <c r="S12" i="27" s="1"/>
  <c r="T96" i="6"/>
  <c r="T12" i="27" s="1"/>
  <c r="U96" i="6"/>
  <c r="U12" i="27" s="1"/>
  <c r="V96" i="6"/>
  <c r="V12" i="27" s="1"/>
  <c r="W96" i="6"/>
  <c r="W12" i="27" s="1"/>
  <c r="X96" i="6"/>
  <c r="X12" i="27" s="1"/>
  <c r="Y96" i="6"/>
  <c r="Y12" i="27" s="1"/>
  <c r="Z96" i="6"/>
  <c r="Z12" i="27" s="1"/>
  <c r="AA96" i="6"/>
  <c r="AA12" i="27" s="1"/>
  <c r="AB96" i="6"/>
  <c r="AB12" i="27" s="1"/>
  <c r="AC96" i="6"/>
  <c r="AC12" i="27" s="1"/>
  <c r="AD96" i="6"/>
  <c r="AD12" i="27" s="1"/>
  <c r="AE96" i="6"/>
  <c r="AE12" i="27" s="1"/>
  <c r="AF96" i="6"/>
  <c r="AF12" i="27" s="1"/>
  <c r="AG96" i="6"/>
  <c r="AG12" i="27" s="1"/>
  <c r="AH96" i="6"/>
  <c r="AH12" i="27" s="1"/>
  <c r="AI96" i="6"/>
  <c r="AI12" i="27" s="1"/>
  <c r="AJ96" i="6"/>
  <c r="AJ12" i="27" s="1"/>
  <c r="AK96" i="6"/>
  <c r="AK12" i="27" s="1"/>
  <c r="AL96" i="6"/>
  <c r="AL12" i="27" s="1"/>
  <c r="AM96" i="6"/>
  <c r="AM12" i="27" s="1"/>
  <c r="AN96" i="6"/>
  <c r="AN12" i="27" s="1"/>
  <c r="AO96" i="6"/>
  <c r="AO12" i="27" s="1"/>
  <c r="AP96" i="6"/>
  <c r="AP12" i="27" s="1"/>
  <c r="AQ96" i="6"/>
  <c r="AQ12" i="27" s="1"/>
  <c r="AR96" i="6"/>
  <c r="AR12" i="27" s="1"/>
  <c r="AS96" i="6"/>
  <c r="AS12" i="27" s="1"/>
  <c r="AT96" i="6"/>
  <c r="AT12" i="27" s="1"/>
  <c r="AU96" i="6"/>
  <c r="AU12" i="27" s="1"/>
  <c r="AV96" i="6"/>
  <c r="AV12" i="27" s="1"/>
  <c r="AW96" i="6"/>
  <c r="AW12" i="27" s="1"/>
  <c r="AX12" i="27"/>
  <c r="K96" i="6"/>
  <c r="K12" i="27" s="1"/>
  <c r="V19" i="15" l="1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W20" i="15"/>
  <c r="AX20" i="15"/>
  <c r="K10" i="15" l="1"/>
  <c r="K8" i="27" l="1"/>
  <c r="K8" i="15"/>
  <c r="K11" i="27"/>
  <c r="K11" i="15"/>
  <c r="K10" i="27"/>
  <c r="K9" i="15" l="1"/>
  <c r="K9" i="27"/>
  <c r="I31" i="63" l="1"/>
  <c r="E20" i="15"/>
  <c r="G19" i="48"/>
  <c r="G19" i="4"/>
  <c r="G20" i="48"/>
  <c r="I20" i="48"/>
  <c r="G31" i="48"/>
  <c r="G38" i="68" s="1"/>
  <c r="G20" i="4"/>
  <c r="I20" i="4"/>
  <c r="K23" i="4" s="1"/>
  <c r="G31" i="4"/>
  <c r="G38" i="67" s="1"/>
  <c r="E19" i="15"/>
  <c r="E18" i="15"/>
  <c r="G33" i="27"/>
  <c r="G34" i="27"/>
  <c r="G18" i="27"/>
  <c r="I33" i="27"/>
  <c r="I34" i="27"/>
  <c r="AF23" i="48" l="1"/>
  <c r="AB23" i="48"/>
  <c r="X23" i="48"/>
  <c r="T23" i="48"/>
  <c r="P23" i="48"/>
  <c r="L23" i="48"/>
  <c r="AI23" i="48"/>
  <c r="AE23" i="48"/>
  <c r="AA23" i="48"/>
  <c r="W23" i="48"/>
  <c r="S23" i="48"/>
  <c r="O23" i="48"/>
  <c r="K23" i="48"/>
  <c r="AH23" i="48"/>
  <c r="AD23" i="48"/>
  <c r="Z23" i="48"/>
  <c r="V23" i="48"/>
  <c r="R23" i="48"/>
  <c r="N23" i="48"/>
  <c r="Q23" i="48"/>
  <c r="AG23" i="48"/>
  <c r="U23" i="48"/>
  <c r="Y23" i="48"/>
  <c r="M23" i="48"/>
  <c r="AC23" i="48"/>
  <c r="AI23" i="4"/>
  <c r="AE23" i="4"/>
  <c r="AA23" i="4"/>
  <c r="W23" i="4"/>
  <c r="S23" i="4"/>
  <c r="O23" i="4"/>
  <c r="AG23" i="4"/>
  <c r="AC23" i="4"/>
  <c r="Y23" i="4"/>
  <c r="U23" i="4"/>
  <c r="Q23" i="4"/>
  <c r="M23" i="4"/>
  <c r="AF23" i="4"/>
  <c r="AB23" i="4"/>
  <c r="X23" i="4"/>
  <c r="T23" i="4"/>
  <c r="P23" i="4"/>
  <c r="L23" i="4"/>
  <c r="N23" i="4"/>
  <c r="AD23" i="4"/>
  <c r="Z23" i="4"/>
  <c r="R23" i="4"/>
  <c r="AH23" i="4"/>
  <c r="V23" i="4"/>
  <c r="I19" i="4"/>
  <c r="N24" i="4" s="1"/>
  <c r="N33" i="67" s="1"/>
  <c r="AG24" i="4" l="1"/>
  <c r="AG33" i="67" s="1"/>
  <c r="AC24" i="4"/>
  <c r="AC33" i="67" s="1"/>
  <c r="Y24" i="4"/>
  <c r="Y33" i="67" s="1"/>
  <c r="U24" i="4"/>
  <c r="U33" i="67" s="1"/>
  <c r="Q24" i="4"/>
  <c r="Q33" i="67" s="1"/>
  <c r="M24" i="4"/>
  <c r="M33" i="67" s="1"/>
  <c r="AF24" i="4"/>
  <c r="AF33" i="67" s="1"/>
  <c r="AB24" i="4"/>
  <c r="AB33" i="67" s="1"/>
  <c r="X24" i="4"/>
  <c r="X33" i="67" s="1"/>
  <c r="T24" i="4"/>
  <c r="T33" i="67" s="1"/>
  <c r="P24" i="4"/>
  <c r="P33" i="67" s="1"/>
  <c r="L24" i="4"/>
  <c r="L33" i="67" s="1"/>
  <c r="AI24" i="4"/>
  <c r="AI33" i="67" s="1"/>
  <c r="AE24" i="4"/>
  <c r="AE33" i="67" s="1"/>
  <c r="AA24" i="4"/>
  <c r="AA33" i="67" s="1"/>
  <c r="W24" i="4"/>
  <c r="W33" i="67" s="1"/>
  <c r="S24" i="4"/>
  <c r="S33" i="67" s="1"/>
  <c r="O24" i="4"/>
  <c r="O33" i="67" s="1"/>
  <c r="K24" i="4"/>
  <c r="K33" i="67" s="1"/>
  <c r="AH24" i="4"/>
  <c r="AH33" i="67" s="1"/>
  <c r="AD24" i="4"/>
  <c r="AD33" i="67" s="1"/>
  <c r="Z24" i="4"/>
  <c r="Z33" i="67" s="1"/>
  <c r="V24" i="4"/>
  <c r="V33" i="67" s="1"/>
  <c r="R24" i="4"/>
  <c r="R33" i="67" s="1"/>
  <c r="L4" i="27"/>
  <c r="L3" i="27"/>
  <c r="L4" i="15"/>
  <c r="L3" i="15"/>
  <c r="P20" i="15"/>
  <c r="O20" i="15"/>
  <c r="I21" i="4"/>
  <c r="P21" i="27" l="1"/>
  <c r="S21" i="27"/>
  <c r="Q21" i="27"/>
  <c r="R21" i="27"/>
  <c r="K21" i="27"/>
  <c r="L21" i="27"/>
  <c r="O21" i="27"/>
  <c r="L11" i="15"/>
  <c r="L11" i="27"/>
  <c r="L8" i="15"/>
  <c r="L8" i="27"/>
  <c r="L10" i="27"/>
  <c r="L10" i="15"/>
  <c r="M4" i="15"/>
  <c r="M3" i="15"/>
  <c r="M4" i="27"/>
  <c r="M3" i="27"/>
  <c r="M21" i="27"/>
  <c r="N21" i="27"/>
  <c r="T21" i="27"/>
  <c r="N20" i="15"/>
  <c r="I31" i="4"/>
  <c r="I38" i="67" s="1"/>
  <c r="L9" i="15" l="1"/>
  <c r="L9" i="27"/>
  <c r="AF21" i="27"/>
  <c r="AF18" i="15"/>
  <c r="AL21" i="27"/>
  <c r="AL18" i="15"/>
  <c r="Y21" i="27"/>
  <c r="Y18" i="15"/>
  <c r="AU18" i="15"/>
  <c r="AN21" i="27"/>
  <c r="AN18" i="15"/>
  <c r="AA21" i="27"/>
  <c r="AA18" i="15"/>
  <c r="AI21" i="27"/>
  <c r="AI18" i="15"/>
  <c r="AC21" i="27"/>
  <c r="AC18" i="15"/>
  <c r="AM21" i="27"/>
  <c r="AM18" i="15"/>
  <c r="AD21" i="27"/>
  <c r="AD18" i="15"/>
  <c r="AQ21" i="27"/>
  <c r="AQ18" i="15"/>
  <c r="Z21" i="27"/>
  <c r="Z18" i="15"/>
  <c r="AG21" i="27"/>
  <c r="AG18" i="15"/>
  <c r="AO21" i="27"/>
  <c r="AO18" i="15"/>
  <c r="AE21" i="27"/>
  <c r="AE18" i="15"/>
  <c r="X21" i="27"/>
  <c r="X18" i="15"/>
  <c r="AX18" i="15"/>
  <c r="AP21" i="27"/>
  <c r="AP18" i="15"/>
  <c r="AJ21" i="27"/>
  <c r="AJ18" i="15"/>
  <c r="W21" i="27"/>
  <c r="W18" i="15"/>
  <c r="AK21" i="27"/>
  <c r="AK18" i="15"/>
  <c r="AW18" i="15"/>
  <c r="AB21" i="27"/>
  <c r="AB18" i="15"/>
  <c r="AH21" i="27"/>
  <c r="AH18" i="15"/>
  <c r="AS21" i="27"/>
  <c r="AS18" i="15"/>
  <c r="AV18" i="15"/>
  <c r="AR21" i="27"/>
  <c r="AR18" i="15"/>
  <c r="AT21" i="27"/>
  <c r="AT18" i="15"/>
  <c r="V18" i="15"/>
  <c r="V21" i="27"/>
  <c r="M10" i="27"/>
  <c r="M10" i="15"/>
  <c r="M11" i="27"/>
  <c r="M11" i="15"/>
  <c r="M8" i="15"/>
  <c r="M8" i="27"/>
  <c r="N4" i="27"/>
  <c r="N3" i="27"/>
  <c r="N4" i="15"/>
  <c r="N3" i="15"/>
  <c r="O18" i="15"/>
  <c r="N18" i="15"/>
  <c r="P18" i="15"/>
  <c r="M20" i="15"/>
  <c r="M18" i="15"/>
  <c r="M9" i="15" l="1"/>
  <c r="M9" i="27"/>
  <c r="N10" i="27"/>
  <c r="N10" i="15"/>
  <c r="N8" i="15"/>
  <c r="N8" i="27"/>
  <c r="N11" i="15"/>
  <c r="N11" i="27"/>
  <c r="O4" i="27"/>
  <c r="O3" i="27"/>
  <c r="O4" i="15"/>
  <c r="O3" i="15"/>
  <c r="L18" i="15"/>
  <c r="L20" i="15"/>
  <c r="N9" i="15" l="1"/>
  <c r="N9" i="27"/>
  <c r="I48" i="66"/>
  <c r="I50" i="66" s="1"/>
  <c r="I32" i="63"/>
  <c r="O8" i="27"/>
  <c r="O8" i="15"/>
  <c r="O10" i="15"/>
  <c r="O10" i="27"/>
  <c r="O11" i="27"/>
  <c r="O11" i="15"/>
  <c r="P4" i="15"/>
  <c r="P3" i="15"/>
  <c r="P4" i="27"/>
  <c r="P3" i="27"/>
  <c r="K18" i="15"/>
  <c r="K20" i="15"/>
  <c r="I18" i="27"/>
  <c r="K24" i="27" s="1"/>
  <c r="I19" i="48"/>
  <c r="P9" i="27" l="1"/>
  <c r="P9" i="15"/>
  <c r="O9" i="27"/>
  <c r="O9" i="15"/>
  <c r="U24" i="48"/>
  <c r="U33" i="68" s="1"/>
  <c r="AF24" i="48"/>
  <c r="AF33" i="68" s="1"/>
  <c r="AB24" i="48"/>
  <c r="AB33" i="68" s="1"/>
  <c r="X24" i="48"/>
  <c r="X33" i="68" s="1"/>
  <c r="T24" i="48"/>
  <c r="T33" i="68" s="1"/>
  <c r="P24" i="48"/>
  <c r="P33" i="68" s="1"/>
  <c r="L24" i="48"/>
  <c r="L33" i="68" s="1"/>
  <c r="AI24" i="48"/>
  <c r="AI33" i="68" s="1"/>
  <c r="AE24" i="48"/>
  <c r="AE33" i="68" s="1"/>
  <c r="AA24" i="48"/>
  <c r="AA33" i="68" s="1"/>
  <c r="W24" i="48"/>
  <c r="W33" i="68" s="1"/>
  <c r="S24" i="48"/>
  <c r="S33" i="68" s="1"/>
  <c r="O24" i="48"/>
  <c r="O33" i="68" s="1"/>
  <c r="K24" i="48"/>
  <c r="K33" i="68" s="1"/>
  <c r="AH24" i="48"/>
  <c r="AH33" i="68" s="1"/>
  <c r="AD24" i="48"/>
  <c r="AD33" i="68" s="1"/>
  <c r="Z24" i="48"/>
  <c r="Z33" i="68" s="1"/>
  <c r="V24" i="48"/>
  <c r="V33" i="68" s="1"/>
  <c r="R24" i="48"/>
  <c r="R33" i="68" s="1"/>
  <c r="N24" i="48"/>
  <c r="N33" i="68" s="1"/>
  <c r="AG24" i="48"/>
  <c r="AG33" i="68" s="1"/>
  <c r="AC24" i="48"/>
  <c r="AC33" i="68" s="1"/>
  <c r="Y24" i="48"/>
  <c r="Y33" i="68" s="1"/>
  <c r="Q24" i="48"/>
  <c r="Q33" i="68" s="1"/>
  <c r="M24" i="48"/>
  <c r="M33" i="68" s="1"/>
  <c r="P11" i="15"/>
  <c r="P11" i="27"/>
  <c r="P10" i="27"/>
  <c r="P10" i="15"/>
  <c r="P8" i="15"/>
  <c r="P8" i="27"/>
  <c r="Q4" i="27"/>
  <c r="Q3" i="27"/>
  <c r="Q4" i="15"/>
  <c r="Q3" i="15"/>
  <c r="Q20" i="15"/>
  <c r="Q18" i="15"/>
  <c r="I21" i="48"/>
  <c r="Q11" i="27" l="1"/>
  <c r="Q11" i="15"/>
  <c r="Q10" i="15"/>
  <c r="Q10" i="27"/>
  <c r="Q8" i="15"/>
  <c r="Q8" i="27"/>
  <c r="R4" i="15"/>
  <c r="R3" i="15"/>
  <c r="R4" i="27"/>
  <c r="R3" i="27"/>
  <c r="R20" i="15"/>
  <c r="R18" i="15"/>
  <c r="I31" i="48"/>
  <c r="I38" i="68" s="1"/>
  <c r="R9" i="15" l="1"/>
  <c r="Q9" i="27"/>
  <c r="Q9" i="15"/>
  <c r="R9" i="27"/>
  <c r="R10" i="27"/>
  <c r="R10" i="15"/>
  <c r="R8" i="15"/>
  <c r="R8" i="27"/>
  <c r="R11" i="27"/>
  <c r="R11" i="15"/>
  <c r="S4" i="27"/>
  <c r="S3" i="27"/>
  <c r="S4" i="15"/>
  <c r="S3" i="15"/>
  <c r="S18" i="15"/>
  <c r="S20" i="15"/>
  <c r="S9" i="27" l="1"/>
  <c r="S9" i="15"/>
  <c r="S8" i="15"/>
  <c r="S8" i="27"/>
  <c r="S10" i="27"/>
  <c r="S10" i="15"/>
  <c r="S11" i="15"/>
  <c r="S11" i="27"/>
  <c r="T4" i="15"/>
  <c r="T3" i="15"/>
  <c r="T4" i="27"/>
  <c r="T3" i="27"/>
  <c r="T20" i="15"/>
  <c r="T18" i="15"/>
  <c r="T9" i="27" l="1"/>
  <c r="T9" i="15"/>
  <c r="T8" i="15"/>
  <c r="T8" i="27"/>
  <c r="T11" i="15"/>
  <c r="T11" i="27"/>
  <c r="T10" i="15"/>
  <c r="T10" i="27"/>
  <c r="U4" i="27"/>
  <c r="U3" i="27"/>
  <c r="U4" i="15"/>
  <c r="U3" i="15"/>
  <c r="U18" i="15"/>
  <c r="U21" i="27"/>
  <c r="U20" i="15"/>
  <c r="U23" i="27"/>
  <c r="U9" i="15" l="1"/>
  <c r="U10" i="27"/>
  <c r="U10" i="15"/>
  <c r="U11" i="15"/>
  <c r="U11" i="27"/>
  <c r="U8" i="15"/>
  <c r="U8" i="27"/>
  <c r="V4" i="15"/>
  <c r="V3" i="15"/>
  <c r="V4" i="27"/>
  <c r="V3" i="27"/>
  <c r="U9" i="27" l="1"/>
  <c r="V8" i="27"/>
  <c r="V8" i="15"/>
  <c r="V11" i="27"/>
  <c r="V11" i="15"/>
  <c r="V10" i="27"/>
  <c r="W4" i="27"/>
  <c r="W3" i="27"/>
  <c r="W4" i="15"/>
  <c r="W3" i="15"/>
  <c r="V10" i="15" l="1"/>
  <c r="W9" i="27"/>
  <c r="V9" i="27"/>
  <c r="V9" i="15"/>
  <c r="W11" i="27"/>
  <c r="W11" i="15"/>
  <c r="W8" i="27"/>
  <c r="W8" i="15"/>
  <c r="W10" i="27"/>
  <c r="X4" i="15"/>
  <c r="X3" i="15"/>
  <c r="X4" i="27"/>
  <c r="X3" i="27"/>
  <c r="W9" i="15" l="1"/>
  <c r="X9" i="15"/>
  <c r="X9" i="27"/>
  <c r="X8" i="15"/>
  <c r="X8" i="27"/>
  <c r="X11" i="27"/>
  <c r="X11" i="15"/>
  <c r="X10" i="15"/>
  <c r="X10" i="27"/>
  <c r="Y4" i="27"/>
  <c r="Y3" i="27"/>
  <c r="Y4" i="15"/>
  <c r="Y3" i="15"/>
  <c r="Y11" i="15" l="1"/>
  <c r="Y11" i="27"/>
  <c r="Y8" i="15"/>
  <c r="Y8" i="27"/>
  <c r="Y10" i="27"/>
  <c r="Y10" i="15"/>
  <c r="Z4" i="15"/>
  <c r="Z3" i="15"/>
  <c r="Z4" i="27"/>
  <c r="Z3" i="27"/>
  <c r="Y9" i="15" l="1"/>
  <c r="Y9" i="27"/>
  <c r="Z11" i="15"/>
  <c r="Z11" i="27"/>
  <c r="Z8" i="15"/>
  <c r="Z8" i="27"/>
  <c r="Z10" i="15"/>
  <c r="Z10" i="27"/>
  <c r="AA4" i="27"/>
  <c r="AA3" i="27"/>
  <c r="AA4" i="15"/>
  <c r="AA3" i="15"/>
  <c r="Z9" i="27" l="1"/>
  <c r="Z9" i="15"/>
  <c r="AA11" i="27"/>
  <c r="AA11" i="15"/>
  <c r="AA10" i="15"/>
  <c r="AA10" i="27"/>
  <c r="AA8" i="15"/>
  <c r="AA8" i="27"/>
  <c r="AB4" i="15"/>
  <c r="AB3" i="15"/>
  <c r="AB4" i="27"/>
  <c r="AB3" i="27"/>
  <c r="AA9" i="15" l="1"/>
  <c r="AA9" i="27"/>
  <c r="AB10" i="15"/>
  <c r="AB10" i="27"/>
  <c r="AB8" i="15"/>
  <c r="AB8" i="27"/>
  <c r="AB11" i="27"/>
  <c r="AB11" i="15"/>
  <c r="AC4" i="27"/>
  <c r="AC3" i="27"/>
  <c r="AC4" i="15"/>
  <c r="AC3" i="15"/>
  <c r="AB9" i="15" l="1"/>
  <c r="AB9" i="27"/>
  <c r="AC10" i="15"/>
  <c r="AC10" i="27"/>
  <c r="AC8" i="15"/>
  <c r="AC8" i="27"/>
  <c r="AC11" i="15"/>
  <c r="AC11" i="27"/>
  <c r="AD4" i="15"/>
  <c r="AD3" i="15"/>
  <c r="AD4" i="27"/>
  <c r="AD3" i="27"/>
  <c r="AC9" i="27" l="1"/>
  <c r="AC9" i="15"/>
  <c r="AD9" i="27"/>
  <c r="AD9" i="15"/>
  <c r="AD8" i="27"/>
  <c r="AD8" i="15"/>
  <c r="AD11" i="15"/>
  <c r="AD11" i="27"/>
  <c r="AD10" i="15"/>
  <c r="AD10" i="27"/>
  <c r="AE4" i="27"/>
  <c r="AE3" i="27"/>
  <c r="AE4" i="15"/>
  <c r="AE3" i="15"/>
  <c r="AE10" i="27" l="1"/>
  <c r="AE10" i="15"/>
  <c r="AE11" i="15"/>
  <c r="AE11" i="27"/>
  <c r="AE8" i="27"/>
  <c r="AE8" i="15"/>
  <c r="AF4" i="27"/>
  <c r="AF3" i="27"/>
  <c r="AF4" i="15"/>
  <c r="AF3" i="15"/>
  <c r="AF9" i="15" l="1"/>
  <c r="AF9" i="27"/>
  <c r="AE9" i="15"/>
  <c r="AE9" i="27"/>
  <c r="AF10" i="27"/>
  <c r="AF10" i="15"/>
  <c r="AF11" i="27"/>
  <c r="AF11" i="15"/>
  <c r="AF8" i="15"/>
  <c r="AF8" i="27"/>
  <c r="AG4" i="15"/>
  <c r="AG3" i="15"/>
  <c r="AG4" i="27"/>
  <c r="AG3" i="27"/>
  <c r="AG10" i="15" l="1"/>
  <c r="AG10" i="27"/>
  <c r="AG11" i="27"/>
  <c r="AG11" i="15"/>
  <c r="AG8" i="27"/>
  <c r="AG8" i="15"/>
  <c r="AH4" i="27"/>
  <c r="AH3" i="27"/>
  <c r="AH4" i="15"/>
  <c r="AH3" i="15"/>
  <c r="AG9" i="27" l="1"/>
  <c r="AG9" i="15"/>
  <c r="AH9" i="15"/>
  <c r="AH9" i="27"/>
  <c r="AH11" i="27"/>
  <c r="AH11" i="15"/>
  <c r="AH10" i="27"/>
  <c r="AH10" i="15"/>
  <c r="AH8" i="15"/>
  <c r="AH8" i="27"/>
  <c r="AI4" i="15"/>
  <c r="AI3" i="15"/>
  <c r="AI4" i="27"/>
  <c r="AI3" i="27"/>
  <c r="AI8" i="15" l="1"/>
  <c r="AI8" i="27"/>
  <c r="AI10" i="15"/>
  <c r="AI10" i="27"/>
  <c r="AI11" i="27"/>
  <c r="AI11" i="15"/>
  <c r="AJ4" i="27"/>
  <c r="AJ3" i="27"/>
  <c r="AJ4" i="15"/>
  <c r="AJ3" i="15"/>
  <c r="AJ9" i="15" l="1"/>
  <c r="AI9" i="27"/>
  <c r="AI9" i="15"/>
  <c r="AJ9" i="27"/>
  <c r="AJ8" i="27"/>
  <c r="AJ8" i="15"/>
  <c r="AJ11" i="27"/>
  <c r="AJ11" i="15"/>
  <c r="AJ10" i="27"/>
  <c r="AJ10" i="15"/>
  <c r="AK4" i="15"/>
  <c r="AK3" i="15"/>
  <c r="AK4" i="27"/>
  <c r="AK3" i="27"/>
  <c r="AK8" i="15" l="1"/>
  <c r="AK8" i="27"/>
  <c r="AK11" i="27"/>
  <c r="AK11" i="15"/>
  <c r="AK10" i="27"/>
  <c r="AK10" i="15"/>
  <c r="AL4" i="27"/>
  <c r="AL3" i="27"/>
  <c r="AL4" i="15"/>
  <c r="AL3" i="15"/>
  <c r="AK9" i="27" l="1"/>
  <c r="AK9" i="15"/>
  <c r="AL11" i="27"/>
  <c r="AL11" i="15"/>
  <c r="AL10" i="15"/>
  <c r="AL10" i="27"/>
  <c r="AL8" i="27"/>
  <c r="AL8" i="15"/>
  <c r="AM4" i="27"/>
  <c r="AM3" i="27"/>
  <c r="AM4" i="15"/>
  <c r="AM3" i="15"/>
  <c r="AL9" i="27" l="1"/>
  <c r="AL9" i="15"/>
  <c r="AM8" i="15"/>
  <c r="AM8" i="27"/>
  <c r="AM10" i="27"/>
  <c r="AM10" i="15"/>
  <c r="AM11" i="27"/>
  <c r="AM11" i="15"/>
  <c r="AN4" i="15"/>
  <c r="AN3" i="15"/>
  <c r="AN4" i="27"/>
  <c r="AN3" i="27"/>
  <c r="AN9" i="27" l="1"/>
  <c r="AN9" i="15"/>
  <c r="AM9" i="27"/>
  <c r="AM9" i="15"/>
  <c r="AN10" i="15"/>
  <c r="AN10" i="27"/>
  <c r="AN8" i="15"/>
  <c r="AN8" i="27"/>
  <c r="AN11" i="27"/>
  <c r="AN11" i="15"/>
  <c r="AO4" i="15"/>
  <c r="AO3" i="15"/>
  <c r="AO4" i="27"/>
  <c r="AO3" i="27"/>
  <c r="AO8" i="27" l="1"/>
  <c r="AO8" i="15"/>
  <c r="AO10" i="27"/>
  <c r="AO10" i="15"/>
  <c r="AO11" i="15"/>
  <c r="AO11" i="27"/>
  <c r="AP4" i="27"/>
  <c r="AP3" i="27"/>
  <c r="AP4" i="15"/>
  <c r="AP3" i="15"/>
  <c r="AO9" i="27" l="1"/>
  <c r="AO9" i="15"/>
  <c r="AP8" i="27"/>
  <c r="AP8" i="15"/>
  <c r="AP11" i="15"/>
  <c r="AP11" i="27"/>
  <c r="AP10" i="27"/>
  <c r="AP10" i="15"/>
  <c r="AQ4" i="15"/>
  <c r="AQ3" i="15"/>
  <c r="AQ4" i="27"/>
  <c r="AQ3" i="27"/>
  <c r="AP9" i="27" l="1"/>
  <c r="AP9" i="15"/>
  <c r="AQ11" i="15"/>
  <c r="AQ11" i="27"/>
  <c r="AQ8" i="15"/>
  <c r="AQ8" i="27"/>
  <c r="AQ10" i="27"/>
  <c r="AQ10" i="15"/>
  <c r="AR4" i="27"/>
  <c r="AR3" i="27"/>
  <c r="AR4" i="15"/>
  <c r="AR3" i="15"/>
  <c r="AR9" i="15" l="1"/>
  <c r="AR9" i="27"/>
  <c r="AQ9" i="27"/>
  <c r="AQ9" i="15"/>
  <c r="AR10" i="15"/>
  <c r="AR10" i="27"/>
  <c r="AR8" i="27"/>
  <c r="AR8" i="15"/>
  <c r="AR11" i="15"/>
  <c r="AR11" i="27"/>
  <c r="AS4" i="15"/>
  <c r="AS3" i="15"/>
  <c r="AS4" i="27"/>
  <c r="AS3" i="27"/>
  <c r="AS11" i="27" l="1"/>
  <c r="AS11" i="15"/>
  <c r="AS8" i="27"/>
  <c r="AS8" i="15"/>
  <c r="AS10" i="27"/>
  <c r="AS10" i="15"/>
  <c r="AT4" i="15"/>
  <c r="AT3" i="15"/>
  <c r="AT4" i="27"/>
  <c r="AT3" i="27"/>
  <c r="AU3" i="27" l="1"/>
  <c r="AU4" i="27"/>
  <c r="AS9" i="27"/>
  <c r="AS9" i="15"/>
  <c r="AT8" i="15"/>
  <c r="AT8" i="27"/>
  <c r="AT11" i="15"/>
  <c r="AT11" i="27"/>
  <c r="AT10" i="15"/>
  <c r="AT10" i="27"/>
  <c r="AU4" i="15"/>
  <c r="AU3" i="15"/>
  <c r="AV4" i="27" l="1"/>
  <c r="AV3" i="27"/>
  <c r="AU9" i="15"/>
  <c r="AT9" i="27"/>
  <c r="AT9" i="15"/>
  <c r="AU8" i="15"/>
  <c r="AU10" i="15"/>
  <c r="AU11" i="15"/>
  <c r="AV4" i="15"/>
  <c r="AV3" i="15"/>
  <c r="AW4" i="27" l="1"/>
  <c r="AW3" i="27"/>
  <c r="AV9" i="15"/>
  <c r="AV8" i="15"/>
  <c r="AV11" i="15"/>
  <c r="AV10" i="15"/>
  <c r="AW4" i="15"/>
  <c r="AW3" i="15"/>
  <c r="AX3" i="27" l="1"/>
  <c r="AX4" i="27"/>
  <c r="AW9" i="15"/>
  <c r="AW10" i="15"/>
  <c r="AW8" i="15"/>
  <c r="AW11" i="15"/>
  <c r="AX4" i="15"/>
  <c r="AX3" i="15"/>
  <c r="AX9" i="15" l="1"/>
  <c r="AX10" i="15"/>
  <c r="AX8" i="15"/>
  <c r="AX11" i="15"/>
  <c r="T19" i="15" l="1"/>
  <c r="L19" i="15"/>
  <c r="P19" i="15"/>
  <c r="S19" i="15" l="1"/>
  <c r="N19" i="15"/>
  <c r="Q19" i="15"/>
  <c r="O19" i="15"/>
  <c r="M19" i="15"/>
  <c r="R19" i="15"/>
  <c r="U19" i="15"/>
  <c r="U22" i="27"/>
  <c r="K19" i="15" l="1"/>
  <c r="K35" i="66" s="1"/>
  <c r="K37" i="66" l="1"/>
  <c r="K38" i="66" s="1"/>
  <c r="K21" i="15"/>
  <c r="K42" i="66" l="1"/>
  <c r="K16" i="66" s="1"/>
  <c r="K22" i="15"/>
  <c r="K23" i="15" s="1"/>
  <c r="K40" i="66"/>
  <c r="L34" i="66" s="1"/>
  <c r="L37" i="66" s="1"/>
  <c r="L38" i="66" l="1"/>
  <c r="L42" i="66" s="1"/>
  <c r="L16" i="66" s="1"/>
  <c r="K24" i="15"/>
  <c r="L17" i="15" s="1"/>
  <c r="L20" i="27" s="1"/>
  <c r="L24" i="27" s="1"/>
  <c r="L40" i="66" l="1"/>
  <c r="M34" i="66" s="1"/>
  <c r="M37" i="66" s="1"/>
  <c r="M38" i="66" s="1"/>
  <c r="M42" i="66" s="1"/>
  <c r="M16" i="66" s="1"/>
  <c r="L21" i="15"/>
  <c r="L22" i="15" l="1"/>
  <c r="L23" i="15" s="1"/>
  <c r="M40" i="66"/>
  <c r="N34" i="66" s="1"/>
  <c r="N37" i="66" s="1"/>
  <c r="N38" i="66" s="1"/>
  <c r="N42" i="66" s="1"/>
  <c r="N16" i="66" s="1"/>
  <c r="N40" i="66" l="1"/>
  <c r="O34" i="66" s="1"/>
  <c r="O37" i="66" s="1"/>
  <c r="O38" i="66" s="1"/>
  <c r="O42" i="66" s="1"/>
  <c r="O16" i="66" s="1"/>
  <c r="L24" i="15"/>
  <c r="M17" i="15" s="1"/>
  <c r="M20" i="27" s="1"/>
  <c r="M24" i="27" s="1"/>
  <c r="O40" i="66" l="1"/>
  <c r="P34" i="66" s="1"/>
  <c r="P37" i="66" s="1"/>
  <c r="P38" i="66" s="1"/>
  <c r="P42" i="66" s="1"/>
  <c r="P16" i="66" s="1"/>
  <c r="M21" i="15"/>
  <c r="M22" i="15" l="1"/>
  <c r="M23" i="15" s="1"/>
  <c r="P40" i="66"/>
  <c r="Q34" i="66" s="1"/>
  <c r="Q37" i="66" s="1"/>
  <c r="Q38" i="66" s="1"/>
  <c r="Q42" i="66" s="1"/>
  <c r="Q16" i="66" s="1"/>
  <c r="Q40" i="66" l="1"/>
  <c r="R34" i="66" s="1"/>
  <c r="R37" i="66" s="1"/>
  <c r="M24" i="15"/>
  <c r="N17" i="15" s="1"/>
  <c r="N20" i="27" s="1"/>
  <c r="N24" i="27" s="1"/>
  <c r="R38" i="66" l="1"/>
  <c r="R42" i="66" s="1"/>
  <c r="R16" i="66" s="1"/>
  <c r="N21" i="15"/>
  <c r="N22" i="15" l="1"/>
  <c r="N23" i="15" s="1"/>
  <c r="R40" i="66"/>
  <c r="S34" i="66" s="1"/>
  <c r="S37" i="66" s="1"/>
  <c r="S38" i="66" s="1"/>
  <c r="S42" i="66" s="1"/>
  <c r="S16" i="66" s="1"/>
  <c r="S40" i="66" l="1"/>
  <c r="T34" i="66" s="1"/>
  <c r="T37" i="66" s="1"/>
  <c r="T38" i="66" s="1"/>
  <c r="T42" i="66" s="1"/>
  <c r="T16" i="66" s="1"/>
  <c r="N24" i="15"/>
  <c r="O17" i="15" s="1"/>
  <c r="O20" i="27" s="1"/>
  <c r="O24" i="27" s="1"/>
  <c r="O21" i="15" l="1"/>
  <c r="T40" i="66"/>
  <c r="U34" i="66" s="1"/>
  <c r="U37" i="66" s="1"/>
  <c r="U38" i="66" s="1"/>
  <c r="U42" i="66" s="1"/>
  <c r="U16" i="66" s="1"/>
  <c r="O22" i="15" l="1"/>
  <c r="O23" i="15" s="1"/>
  <c r="U40" i="66"/>
  <c r="V34" i="66" s="1"/>
  <c r="V37" i="66" s="1"/>
  <c r="V38" i="66" s="1"/>
  <c r="O24" i="15" l="1"/>
  <c r="P17" i="15" s="1"/>
  <c r="P20" i="27" s="1"/>
  <c r="V42" i="66"/>
  <c r="V16" i="66" s="1"/>
  <c r="V40" i="66"/>
  <c r="W34" i="66" s="1"/>
  <c r="W37" i="66" s="1"/>
  <c r="W38" i="66" s="1"/>
  <c r="W42" i="66" s="1"/>
  <c r="W16" i="66" s="1"/>
  <c r="P24" i="27" l="1"/>
  <c r="P21" i="15" s="1"/>
  <c r="P22" i="15" s="1"/>
  <c r="P23" i="15" s="1"/>
  <c r="W40" i="66"/>
  <c r="X34" i="66" s="1"/>
  <c r="X37" i="66" s="1"/>
  <c r="X38" i="66" l="1"/>
  <c r="X42" i="66" s="1"/>
  <c r="X16" i="66" s="1"/>
  <c r="P24" i="15"/>
  <c r="Q17" i="15" s="1"/>
  <c r="Q20" i="27" s="1"/>
  <c r="Q24" i="27" s="1"/>
  <c r="X40" i="66" l="1"/>
  <c r="Y34" i="66" s="1"/>
  <c r="Y37" i="66" s="1"/>
  <c r="Q21" i="15"/>
  <c r="Q22" i="15" s="1"/>
  <c r="Y38" i="66" l="1"/>
  <c r="Y42" i="66" s="1"/>
  <c r="Y16" i="66" s="1"/>
  <c r="Q23" i="15"/>
  <c r="Y40" i="66" l="1"/>
  <c r="Z34" i="66" s="1"/>
  <c r="Z37" i="66" s="1"/>
  <c r="Z38" i="66" s="1"/>
  <c r="Z42" i="66" s="1"/>
  <c r="Z16" i="66" s="1"/>
  <c r="Q24" i="15"/>
  <c r="R17" i="15" s="1"/>
  <c r="R20" i="27" s="1"/>
  <c r="R24" i="27" s="1"/>
  <c r="Z40" i="66" l="1"/>
  <c r="AA34" i="66" s="1"/>
  <c r="AA37" i="66" s="1"/>
  <c r="AA38" i="66" s="1"/>
  <c r="AA42" i="66" s="1"/>
  <c r="AA16" i="66" s="1"/>
  <c r="R21" i="15"/>
  <c r="R22" i="15" s="1"/>
  <c r="AA40" i="66" l="1"/>
  <c r="AB34" i="66" s="1"/>
  <c r="AB37" i="66" s="1"/>
  <c r="AB38" i="66" s="1"/>
  <c r="AB42" i="66" s="1"/>
  <c r="AB16" i="66" s="1"/>
  <c r="R23" i="15"/>
  <c r="AB40" i="66" l="1"/>
  <c r="AC34" i="66" s="1"/>
  <c r="AC37" i="66" s="1"/>
  <c r="AC38" i="66" s="1"/>
  <c r="AC42" i="66" s="1"/>
  <c r="AC16" i="66" s="1"/>
  <c r="R24" i="15"/>
  <c r="S17" i="15" s="1"/>
  <c r="S20" i="27" s="1"/>
  <c r="S24" i="27" s="1"/>
  <c r="AC40" i="66" l="1"/>
  <c r="AD34" i="66" s="1"/>
  <c r="AD37" i="66" s="1"/>
  <c r="AD38" i="66" s="1"/>
  <c r="AD42" i="66" s="1"/>
  <c r="AD16" i="66" s="1"/>
  <c r="S21" i="15"/>
  <c r="S22" i="15" s="1"/>
  <c r="AD40" i="66" l="1"/>
  <c r="AE34" i="66" s="1"/>
  <c r="AE37" i="66" s="1"/>
  <c r="S23" i="15"/>
  <c r="AE38" i="66" l="1"/>
  <c r="AE42" i="66" s="1"/>
  <c r="AE16" i="66" s="1"/>
  <c r="S24" i="15"/>
  <c r="T17" i="15" s="1"/>
  <c r="T20" i="27" s="1"/>
  <c r="T24" i="27" s="1"/>
  <c r="AE40" i="66" l="1"/>
  <c r="AF34" i="66" s="1"/>
  <c r="AF37" i="66" s="1"/>
  <c r="AF38" i="66" s="1"/>
  <c r="AF42" i="66" s="1"/>
  <c r="AF16" i="66" s="1"/>
  <c r="T21" i="15"/>
  <c r="T22" i="15" s="1"/>
  <c r="AF40" i="66" l="1"/>
  <c r="AG34" i="66" s="1"/>
  <c r="AG37" i="66" s="1"/>
  <c r="T23" i="15"/>
  <c r="AG38" i="66" l="1"/>
  <c r="AG42" i="66" s="1"/>
  <c r="AG16" i="66" s="1"/>
  <c r="T24" i="15"/>
  <c r="U17" i="15" s="1"/>
  <c r="AG40" i="66" l="1"/>
  <c r="AH34" i="66" s="1"/>
  <c r="AH37" i="66" s="1"/>
  <c r="U20" i="27"/>
  <c r="U24" i="27" s="1"/>
  <c r="AH38" i="66" l="1"/>
  <c r="AH42" i="66" s="1"/>
  <c r="AH16" i="66" s="1"/>
  <c r="U21" i="15"/>
  <c r="U22" i="15" s="1"/>
  <c r="U23" i="15" s="1"/>
  <c r="AH40" i="66" l="1"/>
  <c r="AI34" i="66" s="1"/>
  <c r="AI37" i="66" s="1"/>
  <c r="U24" i="15"/>
  <c r="AI38" i="66" l="1"/>
  <c r="AI39" i="66" s="1"/>
  <c r="V17" i="15"/>
  <c r="V20" i="27" s="1"/>
  <c r="V24" i="27" s="1"/>
  <c r="AI40" i="66" l="1"/>
  <c r="AI42" i="66"/>
  <c r="AI16" i="66" s="1"/>
  <c r="V21" i="15"/>
  <c r="V22" i="15" s="1"/>
  <c r="V23" i="15" s="1"/>
  <c r="V24" i="15" l="1"/>
  <c r="W17" i="15" s="1"/>
  <c r="W20" i="27" l="1"/>
  <c r="W24" i="27" s="1"/>
  <c r="W21" i="15" l="1"/>
  <c r="W22" i="15" s="1"/>
  <c r="W23" i="15" s="1"/>
  <c r="W24" i="15" l="1"/>
  <c r="X17" i="15" s="1"/>
  <c r="X20" i="27" l="1"/>
  <c r="X24" i="27" s="1"/>
  <c r="X21" i="15" l="1"/>
  <c r="X22" i="15" l="1"/>
  <c r="X23" i="15" s="1"/>
  <c r="X24" i="15" l="1"/>
  <c r="Y17" i="15" s="1"/>
  <c r="Y20" i="27" l="1"/>
  <c r="Y24" i="27" s="1"/>
  <c r="Y21" i="15" l="1"/>
  <c r="Y22" i="15" l="1"/>
  <c r="Y23" i="15" s="1"/>
  <c r="Y24" i="15" l="1"/>
  <c r="Z17" i="15" s="1"/>
  <c r="Z20" i="27" l="1"/>
  <c r="Z24" i="27" s="1"/>
  <c r="Z21" i="15" l="1"/>
  <c r="Z22" i="15" l="1"/>
  <c r="Z23" i="15" s="1"/>
  <c r="Z24" i="15" l="1"/>
  <c r="AA17" i="15" s="1"/>
  <c r="AA20" i="27" l="1"/>
  <c r="AA24" i="27" s="1"/>
  <c r="AA21" i="15" l="1"/>
  <c r="AA22" i="15" s="1"/>
  <c r="AA23" i="15" l="1"/>
  <c r="AA24" i="15" l="1"/>
  <c r="AB17" i="15" s="1"/>
  <c r="AB20" i="27" l="1"/>
  <c r="AB24" i="27" s="1"/>
  <c r="AB21" i="15" l="1"/>
  <c r="AB22" i="15" s="1"/>
  <c r="AB23" i="15" l="1"/>
  <c r="AB24" i="15" l="1"/>
  <c r="AC17" i="15" s="1"/>
  <c r="AC20" i="27" l="1"/>
  <c r="AC24" i="27" s="1"/>
  <c r="AC21" i="15" l="1"/>
  <c r="AC22" i="15" s="1"/>
  <c r="AC23" i="15" l="1"/>
  <c r="AC24" i="15" l="1"/>
  <c r="AD17" i="15" s="1"/>
  <c r="AD20" i="27" l="1"/>
  <c r="AD24" i="27" s="1"/>
  <c r="AD21" i="15" l="1"/>
  <c r="AD22" i="15" s="1"/>
  <c r="AD23" i="15" l="1"/>
  <c r="AD24" i="15" l="1"/>
  <c r="AE17" i="15" s="1"/>
  <c r="AE20" i="27" l="1"/>
  <c r="AE24" i="27" s="1"/>
  <c r="AE21" i="15" l="1"/>
  <c r="AE22" i="15" s="1"/>
  <c r="AE23" i="15" l="1"/>
  <c r="AE24" i="15" l="1"/>
  <c r="AF17" i="15" s="1"/>
  <c r="AF20" i="27" l="1"/>
  <c r="AF24" i="27" s="1"/>
  <c r="AF21" i="15" l="1"/>
  <c r="AF22" i="15" s="1"/>
  <c r="AF23" i="15" l="1"/>
  <c r="AF24" i="15" l="1"/>
  <c r="AG17" i="15" s="1"/>
  <c r="AG20" i="27" l="1"/>
  <c r="AG24" i="27" s="1"/>
  <c r="AG21" i="15" l="1"/>
  <c r="AG22" i="15" s="1"/>
  <c r="AG23" i="15" l="1"/>
  <c r="AG24" i="15" l="1"/>
  <c r="AH17" i="15" s="1"/>
  <c r="AH20" i="27" l="1"/>
  <c r="AH24" i="27" s="1"/>
  <c r="AH21" i="15" l="1"/>
  <c r="AH22" i="15" s="1"/>
  <c r="AH23" i="15" l="1"/>
  <c r="AH24" i="15" l="1"/>
  <c r="AI17" i="15" s="1"/>
  <c r="AI20" i="27" l="1"/>
  <c r="AI24" i="27" s="1"/>
  <c r="AI21" i="15" l="1"/>
  <c r="AI22" i="15" s="1"/>
  <c r="AI23" i="15" l="1"/>
  <c r="AI24" i="15" l="1"/>
  <c r="AJ17" i="15" s="1"/>
  <c r="AJ20" i="27" l="1"/>
  <c r="AJ24" i="27" s="1"/>
  <c r="AJ21" i="15" l="1"/>
  <c r="AJ22" i="15" s="1"/>
  <c r="AJ23" i="15" l="1"/>
  <c r="AJ24" i="15" l="1"/>
  <c r="AK17" i="15" s="1"/>
  <c r="AK20" i="27" l="1"/>
  <c r="AK24" i="27" s="1"/>
  <c r="AK21" i="15" l="1"/>
  <c r="AK22" i="15" s="1"/>
  <c r="AK23" i="15" l="1"/>
  <c r="AK24" i="15" l="1"/>
  <c r="AL17" i="15" s="1"/>
  <c r="AL20" i="27" l="1"/>
  <c r="AL24" i="27" s="1"/>
  <c r="AL21" i="15" l="1"/>
  <c r="AL22" i="15" s="1"/>
  <c r="AL23" i="15" l="1"/>
  <c r="AL24" i="15" l="1"/>
  <c r="AM17" i="15" s="1"/>
  <c r="AM20" i="27" l="1"/>
  <c r="AM24" i="27" s="1"/>
  <c r="AM21" i="15" l="1"/>
  <c r="AM22" i="15" s="1"/>
  <c r="AM23" i="15" l="1"/>
  <c r="AM24" i="15" l="1"/>
  <c r="AN17" i="15" s="1"/>
  <c r="AN20" i="27" l="1"/>
  <c r="AN24" i="27" s="1"/>
  <c r="AN21" i="15" l="1"/>
  <c r="AN22" i="15" s="1"/>
  <c r="AN23" i="15" l="1"/>
  <c r="AN24" i="15" l="1"/>
  <c r="AO17" i="15" s="1"/>
  <c r="AO20" i="27" l="1"/>
  <c r="AO24" i="27" s="1"/>
  <c r="AO21" i="15" l="1"/>
  <c r="AO22" i="15" s="1"/>
  <c r="AO23" i="15" l="1"/>
  <c r="AO24" i="15" l="1"/>
  <c r="AP17" i="15" s="1"/>
  <c r="AP20" i="27" l="1"/>
  <c r="AP24" i="27" s="1"/>
  <c r="AP21" i="15" l="1"/>
  <c r="AP22" i="15" s="1"/>
  <c r="AP23" i="15" l="1"/>
  <c r="AP24" i="15" l="1"/>
  <c r="AQ17" i="15" s="1"/>
  <c r="AQ20" i="27" s="1"/>
  <c r="AQ24" i="27" s="1"/>
  <c r="AQ21" i="15" l="1"/>
  <c r="AQ22" i="15" s="1"/>
  <c r="AQ23" i="15" l="1"/>
  <c r="AQ24" i="15" l="1"/>
  <c r="AR17" i="15" s="1"/>
  <c r="AR20" i="27" s="1"/>
  <c r="AR24" i="27" s="1"/>
  <c r="AR21" i="15" l="1"/>
  <c r="AR22" i="15" s="1"/>
  <c r="AR23" i="15" l="1"/>
  <c r="AR24" i="15" l="1"/>
  <c r="AS17" i="15" s="1"/>
  <c r="AS20" i="27" s="1"/>
  <c r="AS24" i="27" s="1"/>
  <c r="AS21" i="15" l="1"/>
  <c r="AS22" i="15" s="1"/>
  <c r="AS23" i="15" l="1"/>
  <c r="AS24" i="15" l="1"/>
  <c r="AT17" i="15" s="1"/>
  <c r="AT20" i="27" s="1"/>
  <c r="AT24" i="27" s="1"/>
  <c r="AT21" i="15" l="1"/>
  <c r="AT22" i="15" s="1"/>
  <c r="AT23" i="15" l="1"/>
  <c r="AT24" i="15" l="1"/>
  <c r="AU17" i="15" s="1"/>
  <c r="AU20" i="27" s="1"/>
  <c r="AU24" i="27" s="1"/>
  <c r="AU21" i="15" l="1"/>
  <c r="AU22" i="15" s="1"/>
  <c r="AU23" i="15" l="1"/>
  <c r="AU24" i="15" l="1"/>
  <c r="AV17" i="15" s="1"/>
  <c r="AV20" i="27" s="1"/>
  <c r="AV24" i="27" s="1"/>
  <c r="AV21" i="15" l="1"/>
  <c r="AV22" i="15" s="1"/>
  <c r="AV23" i="15" l="1"/>
  <c r="AV24" i="15" l="1"/>
  <c r="AW17" i="15" s="1"/>
  <c r="AW20" i="27" s="1"/>
  <c r="AW24" i="27" s="1"/>
  <c r="AW21" i="15" l="1"/>
  <c r="AW22" i="15" s="1"/>
  <c r="AW23" i="15" l="1"/>
  <c r="AW24" i="15" l="1"/>
  <c r="AX17" i="15" s="1"/>
  <c r="AX20" i="27" s="1"/>
  <c r="AX24" i="27" s="1"/>
  <c r="AX21" i="15" l="1"/>
  <c r="AX22" i="15" l="1"/>
  <c r="AX23" i="15" s="1"/>
  <c r="K11" i="63" s="1"/>
  <c r="W41" i="27" l="1"/>
  <c r="W42" i="27"/>
  <c r="R40" i="27"/>
  <c r="R39" i="27"/>
  <c r="AW40" i="27"/>
  <c r="AU41" i="27"/>
  <c r="AW42" i="27"/>
  <c r="AX39" i="27"/>
  <c r="AV42" i="27"/>
  <c r="AX40" i="27"/>
  <c r="AV41" i="27"/>
  <c r="AX42" i="27"/>
  <c r="AW39" i="27"/>
  <c r="AU40" i="27"/>
  <c r="AW41" i="27"/>
  <c r="AU42" i="27"/>
  <c r="AV40" i="27"/>
  <c r="AX41" i="27"/>
  <c r="AV39" i="27"/>
  <c r="AU39" i="27"/>
  <c r="AR42" i="27"/>
  <c r="AN42" i="27"/>
  <c r="AJ42" i="27"/>
  <c r="AF42" i="27"/>
  <c r="AB42" i="27"/>
  <c r="X42" i="27"/>
  <c r="T42" i="27"/>
  <c r="P42" i="27"/>
  <c r="L42" i="27"/>
  <c r="AQ41" i="27"/>
  <c r="AM41" i="27"/>
  <c r="AI41" i="27"/>
  <c r="AE41" i="27"/>
  <c r="AA41" i="27"/>
  <c r="S41" i="27"/>
  <c r="O41" i="27"/>
  <c r="K42" i="27"/>
  <c r="AR40" i="27"/>
  <c r="AN40" i="27"/>
  <c r="AJ40" i="27"/>
  <c r="AF40" i="27"/>
  <c r="AB40" i="27"/>
  <c r="X40" i="27"/>
  <c r="T40" i="27"/>
  <c r="P40" i="27"/>
  <c r="L40" i="27"/>
  <c r="AR39" i="27"/>
  <c r="AN39" i="27"/>
  <c r="AJ39" i="27"/>
  <c r="AF39" i="27"/>
  <c r="AB39" i="27"/>
  <c r="X39" i="27"/>
  <c r="T39" i="27"/>
  <c r="P39" i="27"/>
  <c r="L39" i="27"/>
  <c r="AQ42" i="27"/>
  <c r="AM42" i="27"/>
  <c r="AI42" i="27"/>
  <c r="AE42" i="27"/>
  <c r="AA42" i="27"/>
  <c r="S42" i="27"/>
  <c r="O42" i="27"/>
  <c r="AT41" i="27"/>
  <c r="AP41" i="27"/>
  <c r="AL41" i="27"/>
  <c r="AH41" i="27"/>
  <c r="AD41" i="27"/>
  <c r="Z41" i="27"/>
  <c r="V41" i="27"/>
  <c r="R41" i="27"/>
  <c r="N41" i="27"/>
  <c r="K41" i="27"/>
  <c r="AQ40" i="27"/>
  <c r="AM40" i="27"/>
  <c r="AI40" i="27"/>
  <c r="AE40" i="27"/>
  <c r="AA40" i="27"/>
  <c r="W40" i="27"/>
  <c r="S40" i="27"/>
  <c r="O40" i="27"/>
  <c r="K40" i="27"/>
  <c r="AQ39" i="27"/>
  <c r="AM39" i="27"/>
  <c r="AI39" i="27"/>
  <c r="AE39" i="27"/>
  <c r="AA39" i="27"/>
  <c r="W39" i="27"/>
  <c r="S39" i="27"/>
  <c r="O39" i="27"/>
  <c r="K39" i="27"/>
  <c r="AT42" i="27"/>
  <c r="AP42" i="27"/>
  <c r="AL42" i="27"/>
  <c r="AH42" i="27"/>
  <c r="P41" i="27"/>
  <c r="AG40" i="27"/>
  <c r="Y39" i="27"/>
  <c r="AD42" i="27"/>
  <c r="AS41" i="27"/>
  <c r="AC41" i="27"/>
  <c r="M41" i="27"/>
  <c r="AL40" i="27"/>
  <c r="V40" i="27"/>
  <c r="AT39" i="27"/>
  <c r="AD39" i="27"/>
  <c r="N39" i="27"/>
  <c r="AC42" i="27"/>
  <c r="AR41" i="27"/>
  <c r="AB41" i="27"/>
  <c r="L41" i="27"/>
  <c r="AK40" i="27"/>
  <c r="U40" i="27"/>
  <c r="AS39" i="27"/>
  <c r="U39" i="27"/>
  <c r="AK42" i="27"/>
  <c r="Z42" i="27"/>
  <c r="R42" i="27"/>
  <c r="AO41" i="27"/>
  <c r="AG41" i="27"/>
  <c r="Y41" i="27"/>
  <c r="Q41" i="27"/>
  <c r="AP40" i="27"/>
  <c r="AH40" i="27"/>
  <c r="Z40" i="27"/>
  <c r="AP39" i="27"/>
  <c r="AH39" i="27"/>
  <c r="Z39" i="27"/>
  <c r="AG42" i="27"/>
  <c r="Y42" i="27"/>
  <c r="Q42" i="27"/>
  <c r="AN41" i="27"/>
  <c r="AF41" i="27"/>
  <c r="X41" i="27"/>
  <c r="AO40" i="27"/>
  <c r="Y40" i="27"/>
  <c r="Q40" i="27"/>
  <c r="AO39" i="27"/>
  <c r="AG39" i="27"/>
  <c r="Q39" i="27"/>
  <c r="AS42" i="27"/>
  <c r="V42" i="27"/>
  <c r="N42" i="27"/>
  <c r="AK41" i="27"/>
  <c r="U41" i="27"/>
  <c r="AT40" i="27"/>
  <c r="AD40" i="27"/>
  <c r="N40" i="27"/>
  <c r="AL39" i="27"/>
  <c r="V39" i="27"/>
  <c r="AO42" i="27"/>
  <c r="U42" i="27"/>
  <c r="M42" i="27"/>
  <c r="AJ41" i="27"/>
  <c r="T41" i="27"/>
  <c r="AS40" i="27"/>
  <c r="AC40" i="27"/>
  <c r="M40" i="27"/>
  <c r="AK39" i="27"/>
  <c r="AC39" i="27"/>
  <c r="M39" i="27"/>
  <c r="AX24" i="15"/>
  <c r="K18" i="66" l="1"/>
  <c r="K44" i="27"/>
  <c r="R43" i="27"/>
  <c r="AU43" i="27"/>
  <c r="AX43" i="27"/>
  <c r="AV43" i="27"/>
  <c r="AW43" i="27"/>
  <c r="X43" i="27"/>
  <c r="Q43" i="27"/>
  <c r="AF43" i="27"/>
  <c r="AN43" i="27"/>
  <c r="Z43" i="27"/>
  <c r="AL43" i="27"/>
  <c r="AE43" i="27"/>
  <c r="AA43" i="27"/>
  <c r="AH43" i="27"/>
  <c r="V43" i="27"/>
  <c r="N43" i="27"/>
  <c r="AI43" i="27"/>
  <c r="S43" i="27"/>
  <c r="AJ43" i="27"/>
  <c r="M43" i="27"/>
  <c r="K43" i="27"/>
  <c r="P43" i="27"/>
  <c r="T43" i="27"/>
  <c r="AK43" i="27"/>
  <c r="W43" i="27"/>
  <c r="AP43" i="27"/>
  <c r="AC43" i="27"/>
  <c r="Y43" i="27"/>
  <c r="U43" i="27"/>
  <c r="AB43" i="27"/>
  <c r="AG43" i="27"/>
  <c r="AQ43" i="27"/>
  <c r="AO43" i="27"/>
  <c r="AR43" i="27"/>
  <c r="AS43" i="27"/>
  <c r="AM43" i="27"/>
  <c r="AT43" i="27"/>
  <c r="O43" i="27"/>
  <c r="AD43" i="27"/>
  <c r="L43" i="27"/>
  <c r="K45" i="27" l="1"/>
  <c r="K46" i="27" s="1"/>
  <c r="L38" i="27" l="1"/>
  <c r="L44" i="27" s="1"/>
  <c r="L45" i="27" l="1"/>
  <c r="L46" i="27" l="1"/>
  <c r="M38" i="27" s="1"/>
  <c r="M44" i="27" s="1"/>
  <c r="M45" i="27" l="1"/>
  <c r="M46" i="27" s="1"/>
  <c r="N38" i="27" s="1"/>
  <c r="N44" i="27" s="1"/>
  <c r="N45" i="27" l="1"/>
  <c r="N46" i="27" s="1"/>
  <c r="O38" i="27" s="1"/>
  <c r="O44" i="27" s="1"/>
  <c r="O45" i="27" l="1"/>
  <c r="O46" i="27" s="1"/>
  <c r="P38" i="27" l="1"/>
  <c r="P44" i="27" l="1"/>
  <c r="P45" i="27" s="1"/>
  <c r="P46" i="27" s="1"/>
  <c r="Q38" i="27" s="1"/>
  <c r="Q44" i="27" s="1"/>
  <c r="Q45" i="27" l="1"/>
  <c r="Q46" i="27" l="1"/>
  <c r="R38" i="27" s="1"/>
  <c r="R44" i="27" l="1"/>
  <c r="R45" i="27" s="1"/>
  <c r="R46" i="27" s="1"/>
  <c r="S38" i="27" s="1"/>
  <c r="S44" i="27" s="1"/>
  <c r="S45" i="27" l="1"/>
  <c r="S46" i="27" l="1"/>
  <c r="T38" i="27" s="1"/>
  <c r="T44" i="27" s="1"/>
  <c r="T45" i="27" l="1"/>
  <c r="T46" i="27" l="1"/>
  <c r="U38" i="27" s="1"/>
  <c r="U44" i="27" s="1"/>
  <c r="U45" i="27" l="1"/>
  <c r="U46" i="27" l="1"/>
  <c r="V38" i="27" s="1"/>
  <c r="V44" i="27" s="1"/>
  <c r="V45" i="27" l="1"/>
  <c r="V46" i="27" s="1"/>
  <c r="W38" i="27" s="1"/>
  <c r="W44" i="27" s="1"/>
  <c r="W45" i="27" l="1"/>
  <c r="W46" i="27" s="1"/>
  <c r="X38" i="27" s="1"/>
  <c r="X44" i="27" s="1"/>
  <c r="X45" i="27" l="1"/>
  <c r="X46" i="27" l="1"/>
  <c r="Y38" i="27" s="1"/>
  <c r="Y44" i="27" s="1"/>
  <c r="Y45" i="27" l="1"/>
  <c r="Y46" i="27" l="1"/>
  <c r="Z38" i="27" s="1"/>
  <c r="Z44" i="27" s="1"/>
  <c r="Z45" i="27" l="1"/>
  <c r="Z46" i="27" l="1"/>
  <c r="AA38" i="27" s="1"/>
  <c r="AA44" i="27" s="1"/>
  <c r="AA45" i="27" l="1"/>
  <c r="AA46" i="27" l="1"/>
  <c r="AB38" i="27" s="1"/>
  <c r="AB44" i="27" s="1"/>
  <c r="AB45" i="27" l="1"/>
  <c r="AB46" i="27" l="1"/>
  <c r="AC38" i="27" s="1"/>
  <c r="AC44" i="27" s="1"/>
  <c r="AC45" i="27" l="1"/>
  <c r="AC46" i="27" l="1"/>
  <c r="AD38" i="27" s="1"/>
  <c r="AD44" i="27" s="1"/>
  <c r="AD45" i="27" l="1"/>
  <c r="AD46" i="27" l="1"/>
  <c r="AE38" i="27" s="1"/>
  <c r="AE44" i="27" s="1"/>
  <c r="AE45" i="27" l="1"/>
  <c r="AE46" i="27" l="1"/>
  <c r="AF38" i="27" s="1"/>
  <c r="AF44" i="27" s="1"/>
  <c r="AF45" i="27" l="1"/>
  <c r="AF46" i="27" l="1"/>
  <c r="AG38" i="27" s="1"/>
  <c r="AG44" i="27" s="1"/>
  <c r="AG45" i="27" l="1"/>
  <c r="AG46" i="27" l="1"/>
  <c r="AH38" i="27" s="1"/>
  <c r="AH44" i="27" s="1"/>
  <c r="AH45" i="27" l="1"/>
  <c r="AH46" i="27" l="1"/>
  <c r="AI38" i="27" s="1"/>
  <c r="AI44" i="27" s="1"/>
  <c r="AI45" i="27" l="1"/>
  <c r="AI46" i="27" l="1"/>
  <c r="AJ38" i="27" s="1"/>
  <c r="AJ44" i="27" s="1"/>
  <c r="AJ45" i="27" l="1"/>
  <c r="AJ46" i="27" l="1"/>
  <c r="AK38" i="27" s="1"/>
  <c r="AK44" i="27" s="1"/>
  <c r="AK45" i="27" l="1"/>
  <c r="AK46" i="27" l="1"/>
  <c r="AL38" i="27" s="1"/>
  <c r="AL44" i="27" s="1"/>
  <c r="AL45" i="27" l="1"/>
  <c r="AL46" i="27" l="1"/>
  <c r="AM38" i="27" s="1"/>
  <c r="AM44" i="27" s="1"/>
  <c r="AM45" i="27" l="1"/>
  <c r="AM46" i="27" l="1"/>
  <c r="AN38" i="27" s="1"/>
  <c r="AN44" i="27" s="1"/>
  <c r="AN45" i="27" l="1"/>
  <c r="AN46" i="27" l="1"/>
  <c r="AO38" i="27" s="1"/>
  <c r="AO44" i="27" s="1"/>
  <c r="AO45" i="27" l="1"/>
  <c r="AO46" i="27" l="1"/>
  <c r="AP38" i="27" s="1"/>
  <c r="AP44" i="27" s="1"/>
  <c r="AP45" i="27" l="1"/>
  <c r="AP46" i="27" l="1"/>
  <c r="AQ38" i="27" s="1"/>
  <c r="AQ44" i="27" s="1"/>
  <c r="AQ45" i="27" l="1"/>
  <c r="AQ46" i="27" l="1"/>
  <c r="AR38" i="27" s="1"/>
  <c r="AR44" i="27" s="1"/>
  <c r="AR45" i="27" l="1"/>
  <c r="AR46" i="27" l="1"/>
  <c r="AS38" i="27" s="1"/>
  <c r="AS44" i="27" s="1"/>
  <c r="AS45" i="27" l="1"/>
  <c r="AS46" i="27" l="1"/>
  <c r="AT38" i="27" s="1"/>
  <c r="AT44" i="27" s="1"/>
  <c r="AT45" i="27" l="1"/>
  <c r="AT46" i="27" l="1"/>
  <c r="AU38" i="27" s="1"/>
  <c r="AU44" i="27" s="1"/>
  <c r="AU45" i="27" l="1"/>
  <c r="AU46" i="27" l="1"/>
  <c r="AV38" i="27" s="1"/>
  <c r="AV44" i="27" s="1"/>
  <c r="AV45" i="27" l="1"/>
  <c r="AV46" i="27" l="1"/>
  <c r="AW38" i="27" s="1"/>
  <c r="AW44" i="27" s="1"/>
  <c r="AW45" i="27" l="1"/>
  <c r="AW46" i="27" l="1"/>
  <c r="AX38" i="27" s="1"/>
  <c r="AX44" i="27" s="1"/>
  <c r="AX45" i="27" l="1"/>
  <c r="AX46" i="27" s="1"/>
  <c r="K10" i="63" l="1"/>
  <c r="K12" i="63" s="1"/>
  <c r="K25" i="63" l="1"/>
  <c r="K61" i="66"/>
  <c r="K58" i="66" s="1"/>
  <c r="K17" i="66" s="1"/>
  <c r="K19" i="66" s="1"/>
  <c r="K34" i="63"/>
  <c r="L59" i="66" l="1"/>
  <c r="AI59" i="66"/>
  <c r="S59" i="66"/>
  <c r="AA59" i="66"/>
  <c r="Z59" i="66"/>
  <c r="AE59" i="66"/>
  <c r="M59" i="66"/>
  <c r="O59" i="66"/>
  <c r="AD59" i="66"/>
  <c r="Q59" i="66"/>
  <c r="N59" i="66"/>
  <c r="U59" i="66"/>
  <c r="R59" i="66"/>
  <c r="W59" i="66"/>
  <c r="K59" i="66"/>
  <c r="K57" i="66" s="1"/>
  <c r="K62" i="66" s="1"/>
  <c r="Y59" i="66"/>
  <c r="T59" i="66"/>
  <c r="V59" i="66"/>
  <c r="P59" i="66"/>
  <c r="AG59" i="66"/>
  <c r="AB59" i="66"/>
  <c r="AF59" i="66"/>
  <c r="AH59" i="66"/>
  <c r="X59" i="66"/>
  <c r="AC59" i="66"/>
  <c r="K11" i="4"/>
  <c r="K14" i="63"/>
  <c r="K15" i="63" s="1"/>
  <c r="K11" i="48"/>
  <c r="K10" i="68"/>
  <c r="K10" i="67"/>
  <c r="K35" i="63" l="1"/>
  <c r="K37" i="63" s="1"/>
  <c r="K40" i="63" s="1"/>
  <c r="K12" i="4" s="1"/>
  <c r="K17" i="63"/>
  <c r="K63" i="66"/>
  <c r="L9" i="63"/>
  <c r="L12" i="63" s="1"/>
  <c r="L25" i="63" s="1"/>
  <c r="K38" i="63" l="1"/>
  <c r="K41" i="63" s="1"/>
  <c r="K12" i="48" s="1"/>
  <c r="K13" i="48" s="1"/>
  <c r="K28" i="48" s="1"/>
  <c r="K13" i="4"/>
  <c r="K28" i="4" s="1"/>
  <c r="L61" i="66"/>
  <c r="L58" i="66" s="1"/>
  <c r="L34" i="63"/>
  <c r="L57" i="66" l="1"/>
  <c r="L62" i="66" s="1"/>
  <c r="L17" i="66"/>
  <c r="L19" i="66" s="1"/>
  <c r="L10" i="68" s="1"/>
  <c r="L11" i="48"/>
  <c r="L11" i="4"/>
  <c r="L14" i="63"/>
  <c r="L15" i="63" s="1"/>
  <c r="L63" i="66" l="1"/>
  <c r="M61" i="66" s="1"/>
  <c r="M58" i="66" s="1"/>
  <c r="L10" i="67"/>
  <c r="M9" i="63"/>
  <c r="M12" i="63" s="1"/>
  <c r="M25" i="63" s="1"/>
  <c r="L17" i="63"/>
  <c r="L35" i="63"/>
  <c r="L37" i="63" s="1"/>
  <c r="L40" i="63" s="1"/>
  <c r="L12" i="4" s="1"/>
  <c r="L13" i="4" s="1"/>
  <c r="L28" i="4" s="1"/>
  <c r="M17" i="66" l="1"/>
  <c r="M19" i="66" s="1"/>
  <c r="M57" i="66"/>
  <c r="M34" i="63"/>
  <c r="L38" i="63"/>
  <c r="L41" i="63" s="1"/>
  <c r="L12" i="48" s="1"/>
  <c r="L13" i="48" s="1"/>
  <c r="L28" i="48" s="1"/>
  <c r="M11" i="48"/>
  <c r="M14" i="63"/>
  <c r="M15" i="63" s="1"/>
  <c r="M11" i="4"/>
  <c r="M62" i="66" l="1"/>
  <c r="M63" i="66" s="1"/>
  <c r="N61" i="66" s="1"/>
  <c r="N58" i="66" s="1"/>
  <c r="N57" i="66" s="1"/>
  <c r="N62" i="66" s="1"/>
  <c r="M10" i="67"/>
  <c r="M10" i="68"/>
  <c r="M35" i="63"/>
  <c r="N9" i="63"/>
  <c r="N12" i="63" s="1"/>
  <c r="N25" i="63" s="1"/>
  <c r="M17" i="63"/>
  <c r="N17" i="66" l="1"/>
  <c r="N19" i="66" s="1"/>
  <c r="N10" i="67" s="1"/>
  <c r="N63" i="66"/>
  <c r="O61" i="66" s="1"/>
  <c r="O58" i="66" s="1"/>
  <c r="N34" i="63"/>
  <c r="M38" i="63"/>
  <c r="M41" i="63" s="1"/>
  <c r="M12" i="48" s="1"/>
  <c r="M13" i="48" s="1"/>
  <c r="M28" i="48" s="1"/>
  <c r="M37" i="63"/>
  <c r="M40" i="63" s="1"/>
  <c r="M12" i="4" s="1"/>
  <c r="M13" i="4" s="1"/>
  <c r="M28" i="4" s="1"/>
  <c r="N10" i="68" l="1"/>
  <c r="O17" i="66"/>
  <c r="O19" i="66" s="1"/>
  <c r="O57" i="66"/>
  <c r="O62" i="66" s="1"/>
  <c r="N11" i="48"/>
  <c r="N11" i="4"/>
  <c r="N14" i="63"/>
  <c r="N15" i="63" s="1"/>
  <c r="O63" i="66" l="1"/>
  <c r="P61" i="66" s="1"/>
  <c r="P58" i="66" s="1"/>
  <c r="O10" i="68"/>
  <c r="O10" i="67"/>
  <c r="N35" i="63"/>
  <c r="O9" i="63"/>
  <c r="O12" i="63" s="1"/>
  <c r="O25" i="63" s="1"/>
  <c r="N17" i="63"/>
  <c r="P17" i="66" l="1"/>
  <c r="P19" i="66" s="1"/>
  <c r="P57" i="66"/>
  <c r="P62" i="66" s="1"/>
  <c r="O34" i="63"/>
  <c r="N37" i="63"/>
  <c r="N40" i="63" s="1"/>
  <c r="N12" i="4" s="1"/>
  <c r="N13" i="4" s="1"/>
  <c r="N28" i="4" s="1"/>
  <c r="N38" i="63"/>
  <c r="N41" i="63" s="1"/>
  <c r="N12" i="48" s="1"/>
  <c r="N13" i="48" s="1"/>
  <c r="N28" i="48" s="1"/>
  <c r="P63" i="66" l="1"/>
  <c r="Q61" i="66" s="1"/>
  <c r="Q58" i="66" s="1"/>
  <c r="P10" i="68"/>
  <c r="P10" i="67"/>
  <c r="O11" i="48"/>
  <c r="O11" i="4"/>
  <c r="O14" i="63"/>
  <c r="O15" i="63" s="1"/>
  <c r="Q57" i="66" l="1"/>
  <c r="Q62" i="66" s="1"/>
  <c r="Q17" i="66"/>
  <c r="Q19" i="66" s="1"/>
  <c r="O35" i="63"/>
  <c r="P9" i="63"/>
  <c r="P12" i="63" s="1"/>
  <c r="P25" i="63" s="1"/>
  <c r="O17" i="63"/>
  <c r="Q63" i="66" l="1"/>
  <c r="R61" i="66" s="1"/>
  <c r="R58" i="66" s="1"/>
  <c r="Q10" i="67"/>
  <c r="Q10" i="68"/>
  <c r="P34" i="63"/>
  <c r="O38" i="63"/>
  <c r="O41" i="63" s="1"/>
  <c r="O12" i="48" s="1"/>
  <c r="O13" i="48" s="1"/>
  <c r="O28" i="48" s="1"/>
  <c r="O37" i="63"/>
  <c r="O40" i="63" s="1"/>
  <c r="O12" i="4" s="1"/>
  <c r="O13" i="4" s="1"/>
  <c r="O28" i="4" s="1"/>
  <c r="R17" i="66" l="1"/>
  <c r="R19" i="66" s="1"/>
  <c r="R10" i="67" s="1"/>
  <c r="R57" i="66"/>
  <c r="R62" i="66" s="1"/>
  <c r="R63" i="66" s="1"/>
  <c r="S61" i="66" s="1"/>
  <c r="S58" i="66" s="1"/>
  <c r="P14" i="63"/>
  <c r="P15" i="63" s="1"/>
  <c r="P11" i="48"/>
  <c r="P11" i="4"/>
  <c r="R10" i="68" l="1"/>
  <c r="S17" i="66"/>
  <c r="S19" i="66" s="1"/>
  <c r="S10" i="67" s="1"/>
  <c r="S57" i="66"/>
  <c r="S62" i="66" s="1"/>
  <c r="P35" i="63"/>
  <c r="Q9" i="63"/>
  <c r="Q12" i="63" s="1"/>
  <c r="Q25" i="63" s="1"/>
  <c r="P17" i="63"/>
  <c r="S10" i="68" l="1"/>
  <c r="S63" i="66"/>
  <c r="T61" i="66" s="1"/>
  <c r="T58" i="66" s="1"/>
  <c r="Q34" i="63"/>
  <c r="P37" i="63"/>
  <c r="P40" i="63" s="1"/>
  <c r="P12" i="4" s="1"/>
  <c r="P13" i="4" s="1"/>
  <c r="P28" i="4" s="1"/>
  <c r="P38" i="63"/>
  <c r="P41" i="63" s="1"/>
  <c r="P12" i="48" s="1"/>
  <c r="P13" i="48" s="1"/>
  <c r="P28" i="48" s="1"/>
  <c r="T17" i="66" l="1"/>
  <c r="T19" i="66" s="1"/>
  <c r="T57" i="66"/>
  <c r="T62" i="66" s="1"/>
  <c r="Q11" i="4"/>
  <c r="Q11" i="48"/>
  <c r="Q14" i="63"/>
  <c r="Q15" i="63" s="1"/>
  <c r="T63" i="66" l="1"/>
  <c r="U61" i="66" s="1"/>
  <c r="U58" i="66" s="1"/>
  <c r="T10" i="67"/>
  <c r="T10" i="68"/>
  <c r="Q35" i="63"/>
  <c r="R9" i="63"/>
  <c r="R12" i="63" s="1"/>
  <c r="R25" i="63" s="1"/>
  <c r="Q17" i="63"/>
  <c r="U17" i="66" l="1"/>
  <c r="U19" i="66" s="1"/>
  <c r="U57" i="66"/>
  <c r="U62" i="66" s="1"/>
  <c r="Q38" i="63"/>
  <c r="Q41" i="63" s="1"/>
  <c r="Q12" i="48" s="1"/>
  <c r="Q13" i="48" s="1"/>
  <c r="Q28" i="48" s="1"/>
  <c r="Q37" i="63"/>
  <c r="Q40" i="63" s="1"/>
  <c r="Q12" i="4" s="1"/>
  <c r="Q13" i="4" s="1"/>
  <c r="Q28" i="4" s="1"/>
  <c r="R34" i="63"/>
  <c r="U63" i="66" l="1"/>
  <c r="V61" i="66" s="1"/>
  <c r="V58" i="66" s="1"/>
  <c r="U10" i="67"/>
  <c r="U10" i="68"/>
  <c r="R11" i="48"/>
  <c r="R11" i="4"/>
  <c r="R14" i="63"/>
  <c r="R15" i="63" s="1"/>
  <c r="V17" i="66" l="1"/>
  <c r="V19" i="66" s="1"/>
  <c r="V57" i="66"/>
  <c r="V62" i="66" s="1"/>
  <c r="R35" i="63"/>
  <c r="S9" i="63"/>
  <c r="S12" i="63" s="1"/>
  <c r="S25" i="63" s="1"/>
  <c r="R17" i="63"/>
  <c r="V63" i="66" l="1"/>
  <c r="W61" i="66" s="1"/>
  <c r="W58" i="66" s="1"/>
  <c r="V10" i="67"/>
  <c r="V10" i="68"/>
  <c r="S34" i="63"/>
  <c r="R38" i="63"/>
  <c r="R41" i="63" s="1"/>
  <c r="R12" i="48" s="1"/>
  <c r="R13" i="48" s="1"/>
  <c r="R28" i="48" s="1"/>
  <c r="R37" i="63"/>
  <c r="R40" i="63" s="1"/>
  <c r="R12" i="4" s="1"/>
  <c r="R13" i="4" s="1"/>
  <c r="R28" i="4" s="1"/>
  <c r="W57" i="66" l="1"/>
  <c r="W62" i="66" s="1"/>
  <c r="W17" i="66"/>
  <c r="W19" i="66" s="1"/>
  <c r="S14" i="63"/>
  <c r="S15" i="63" s="1"/>
  <c r="S11" i="48"/>
  <c r="S11" i="4"/>
  <c r="W10" i="68" l="1"/>
  <c r="W10" i="67"/>
  <c r="W63" i="66"/>
  <c r="X61" i="66" s="1"/>
  <c r="X58" i="66" s="1"/>
  <c r="S35" i="63"/>
  <c r="T9" i="63"/>
  <c r="T12" i="63" s="1"/>
  <c r="T25" i="63" s="1"/>
  <c r="S17" i="63"/>
  <c r="X17" i="66" l="1"/>
  <c r="X19" i="66" s="1"/>
  <c r="X57" i="66"/>
  <c r="X62" i="66" s="1"/>
  <c r="T34" i="63"/>
  <c r="S37" i="63"/>
  <c r="S40" i="63" s="1"/>
  <c r="S12" i="4" s="1"/>
  <c r="S13" i="4" s="1"/>
  <c r="S28" i="4" s="1"/>
  <c r="S38" i="63"/>
  <c r="S41" i="63" s="1"/>
  <c r="S12" i="48" s="1"/>
  <c r="S13" i="48" s="1"/>
  <c r="S28" i="48" s="1"/>
  <c r="X63" i="66" l="1"/>
  <c r="Y61" i="66" s="1"/>
  <c r="Y58" i="66" s="1"/>
  <c r="X10" i="68"/>
  <c r="X10" i="67"/>
  <c r="T11" i="48"/>
  <c r="T11" i="4"/>
  <c r="T14" i="63"/>
  <c r="T15" i="63" s="1"/>
  <c r="Y17" i="66" l="1"/>
  <c r="Y19" i="66" s="1"/>
  <c r="Y57" i="66"/>
  <c r="Y62" i="66" s="1"/>
  <c r="T35" i="63"/>
  <c r="U9" i="63"/>
  <c r="U12" i="63" s="1"/>
  <c r="U25" i="63" s="1"/>
  <c r="T17" i="63"/>
  <c r="Y63" i="66" l="1"/>
  <c r="Z61" i="66" s="1"/>
  <c r="Z58" i="66" s="1"/>
  <c r="Y10" i="68"/>
  <c r="Y10" i="67"/>
  <c r="U34" i="63"/>
  <c r="T37" i="63"/>
  <c r="T40" i="63" s="1"/>
  <c r="T12" i="4" s="1"/>
  <c r="T13" i="4" s="1"/>
  <c r="T28" i="4" s="1"/>
  <c r="T38" i="63"/>
  <c r="T41" i="63" s="1"/>
  <c r="T12" i="48" s="1"/>
  <c r="T13" i="48" s="1"/>
  <c r="T28" i="48" s="1"/>
  <c r="Z57" i="66" l="1"/>
  <c r="Z62" i="66" s="1"/>
  <c r="Z17" i="66"/>
  <c r="Z19" i="66" s="1"/>
  <c r="U11" i="4"/>
  <c r="U11" i="48"/>
  <c r="U14" i="63"/>
  <c r="U15" i="63" s="1"/>
  <c r="Z10" i="67" l="1"/>
  <c r="Z10" i="68"/>
  <c r="Z63" i="66"/>
  <c r="AA61" i="66" s="1"/>
  <c r="AA58" i="66" s="1"/>
  <c r="U35" i="63"/>
  <c r="V9" i="63"/>
  <c r="V12" i="63" s="1"/>
  <c r="V25" i="63" s="1"/>
  <c r="U17" i="63"/>
  <c r="AA17" i="66" l="1"/>
  <c r="AA19" i="66" s="1"/>
  <c r="AA57" i="66"/>
  <c r="AA62" i="66" s="1"/>
  <c r="U38" i="63"/>
  <c r="U41" i="63" s="1"/>
  <c r="U12" i="48" s="1"/>
  <c r="U13" i="48" s="1"/>
  <c r="U28" i="48" s="1"/>
  <c r="U37" i="63"/>
  <c r="U40" i="63" s="1"/>
  <c r="U12" i="4" s="1"/>
  <c r="U13" i="4" s="1"/>
  <c r="U28" i="4" s="1"/>
  <c r="V34" i="63"/>
  <c r="AA63" i="66" l="1"/>
  <c r="AB61" i="66" s="1"/>
  <c r="AB58" i="66" s="1"/>
  <c r="AA10" i="68"/>
  <c r="AA10" i="67"/>
  <c r="V11" i="48"/>
  <c r="V11" i="4"/>
  <c r="V14" i="63"/>
  <c r="V15" i="63" s="1"/>
  <c r="AB57" i="66" l="1"/>
  <c r="AB62" i="66" s="1"/>
  <c r="AB17" i="66"/>
  <c r="AB19" i="66" s="1"/>
  <c r="V35" i="63"/>
  <c r="W9" i="63"/>
  <c r="W12" i="63" s="1"/>
  <c r="W25" i="63" s="1"/>
  <c r="V17" i="63"/>
  <c r="AB10" i="68" l="1"/>
  <c r="AB10" i="67"/>
  <c r="AB63" i="66"/>
  <c r="AC61" i="66" s="1"/>
  <c r="AC58" i="66" s="1"/>
  <c r="V37" i="63"/>
  <c r="V40" i="63" s="1"/>
  <c r="V12" i="4" s="1"/>
  <c r="V13" i="4" s="1"/>
  <c r="V28" i="4" s="1"/>
  <c r="V38" i="63"/>
  <c r="V41" i="63" s="1"/>
  <c r="V12" i="48" s="1"/>
  <c r="V13" i="48" s="1"/>
  <c r="V28" i="48" s="1"/>
  <c r="W34" i="63"/>
  <c r="AC17" i="66" l="1"/>
  <c r="AC19" i="66" s="1"/>
  <c r="AC57" i="66"/>
  <c r="AC62" i="66" s="1"/>
  <c r="W11" i="48"/>
  <c r="W11" i="4"/>
  <c r="W14" i="63"/>
  <c r="W15" i="63" s="1"/>
  <c r="AC63" i="66" l="1"/>
  <c r="AD61" i="66" s="1"/>
  <c r="AD58" i="66" s="1"/>
  <c r="AC10" i="67"/>
  <c r="AC10" i="68"/>
  <c r="W35" i="63"/>
  <c r="X9" i="63"/>
  <c r="X12" i="63" s="1"/>
  <c r="X25" i="63" s="1"/>
  <c r="W17" i="63"/>
  <c r="AD17" i="66" l="1"/>
  <c r="AD19" i="66" s="1"/>
  <c r="AD57" i="66"/>
  <c r="AD62" i="66" s="1"/>
  <c r="X34" i="63"/>
  <c r="W38" i="63"/>
  <c r="W41" i="63" s="1"/>
  <c r="W12" i="48" s="1"/>
  <c r="W13" i="48" s="1"/>
  <c r="W28" i="48" s="1"/>
  <c r="W37" i="63"/>
  <c r="W40" i="63" s="1"/>
  <c r="W12" i="4" s="1"/>
  <c r="W13" i="4" s="1"/>
  <c r="W28" i="4" s="1"/>
  <c r="AD63" i="66" l="1"/>
  <c r="AE61" i="66" s="1"/>
  <c r="AE58" i="66" s="1"/>
  <c r="AD10" i="67"/>
  <c r="AD10" i="68"/>
  <c r="X11" i="48"/>
  <c r="X11" i="4"/>
  <c r="X14" i="63"/>
  <c r="X15" i="63" s="1"/>
  <c r="AE57" i="66" l="1"/>
  <c r="AE62" i="66" s="1"/>
  <c r="AE17" i="66"/>
  <c r="AE19" i="66" s="1"/>
  <c r="X35" i="63"/>
  <c r="Y9" i="63"/>
  <c r="Y12" i="63" s="1"/>
  <c r="Y25" i="63" s="1"/>
  <c r="X17" i="63"/>
  <c r="AE10" i="67" l="1"/>
  <c r="AE10" i="68"/>
  <c r="AE63" i="66"/>
  <c r="AF61" i="66" s="1"/>
  <c r="AF58" i="66" s="1"/>
  <c r="X37" i="63"/>
  <c r="X40" i="63" s="1"/>
  <c r="X12" i="4" s="1"/>
  <c r="X13" i="4" s="1"/>
  <c r="X28" i="4" s="1"/>
  <c r="X38" i="63"/>
  <c r="X41" i="63" s="1"/>
  <c r="X12" i="48" s="1"/>
  <c r="X13" i="48" s="1"/>
  <c r="X28" i="48" s="1"/>
  <c r="Y34" i="63"/>
  <c r="AF17" i="66" l="1"/>
  <c r="AF19" i="66" s="1"/>
  <c r="AF57" i="66"/>
  <c r="AF62" i="66" s="1"/>
  <c r="Y11" i="4"/>
  <c r="Y11" i="48"/>
  <c r="Y14" i="63"/>
  <c r="Y15" i="63" s="1"/>
  <c r="AF63" i="66" l="1"/>
  <c r="AG61" i="66" s="1"/>
  <c r="AG58" i="66" s="1"/>
  <c r="AF10" i="68"/>
  <c r="AF10" i="67"/>
  <c r="Y35" i="63"/>
  <c r="Z9" i="63"/>
  <c r="Z12" i="63" s="1"/>
  <c r="Z25" i="63" s="1"/>
  <c r="Y17" i="63"/>
  <c r="AG17" i="66" l="1"/>
  <c r="AG19" i="66" s="1"/>
  <c r="AG57" i="66"/>
  <c r="AG62" i="66" s="1"/>
  <c r="Z34" i="63"/>
  <c r="Y38" i="63"/>
  <c r="Y41" i="63" s="1"/>
  <c r="Y12" i="48" s="1"/>
  <c r="Y13" i="48" s="1"/>
  <c r="Y28" i="48" s="1"/>
  <c r="Y37" i="63"/>
  <c r="Y40" i="63" s="1"/>
  <c r="Y12" i="4" s="1"/>
  <c r="Y13" i="4" s="1"/>
  <c r="Y28" i="4" s="1"/>
  <c r="AG63" i="66" l="1"/>
  <c r="AH61" i="66" s="1"/>
  <c r="AH58" i="66" s="1"/>
  <c r="AG10" i="68"/>
  <c r="AG10" i="67"/>
  <c r="Z11" i="48"/>
  <c r="Z11" i="4"/>
  <c r="Z14" i="63"/>
  <c r="Z15" i="63" s="1"/>
  <c r="AH57" i="66" l="1"/>
  <c r="AH62" i="66" s="1"/>
  <c r="AH17" i="66"/>
  <c r="AH19" i="66" s="1"/>
  <c r="Z35" i="63"/>
  <c r="AA9" i="63"/>
  <c r="AA12" i="63" s="1"/>
  <c r="AA25" i="63" s="1"/>
  <c r="Z17" i="63"/>
  <c r="AH10" i="68" l="1"/>
  <c r="AH10" i="67"/>
  <c r="AH63" i="66"/>
  <c r="AI61" i="66" s="1"/>
  <c r="AI62" i="66" s="1"/>
  <c r="Z37" i="63"/>
  <c r="Z40" i="63" s="1"/>
  <c r="Z12" i="4" s="1"/>
  <c r="Z13" i="4" s="1"/>
  <c r="Z28" i="4" s="1"/>
  <c r="Z38" i="63"/>
  <c r="Z41" i="63" s="1"/>
  <c r="Z12" i="48" s="1"/>
  <c r="Z13" i="48" s="1"/>
  <c r="Z28" i="48" s="1"/>
  <c r="AA34" i="63"/>
  <c r="AI58" i="66" l="1"/>
  <c r="AI17" i="66" s="1"/>
  <c r="AI19" i="66" s="1"/>
  <c r="AA11" i="48"/>
  <c r="AA11" i="4"/>
  <c r="AA14" i="63"/>
  <c r="AA15" i="63" s="1"/>
  <c r="AA17" i="63" s="1"/>
  <c r="AI57" i="66" l="1"/>
  <c r="AI63" i="66"/>
  <c r="AI10" i="67"/>
  <c r="AI10" i="68"/>
  <c r="AA35" i="63"/>
  <c r="AB9" i="63"/>
  <c r="AB12" i="63" s="1"/>
  <c r="AB25" i="63" s="1"/>
  <c r="AB34" i="63" l="1"/>
  <c r="AA37" i="63"/>
  <c r="AA40" i="63" s="1"/>
  <c r="AA12" i="4" s="1"/>
  <c r="AA13" i="4" s="1"/>
  <c r="AA28" i="4" s="1"/>
  <c r="AA38" i="63"/>
  <c r="AA41" i="63" s="1"/>
  <c r="AA12" i="48" s="1"/>
  <c r="AA13" i="48" s="1"/>
  <c r="AA28" i="48" s="1"/>
  <c r="AB11" i="48" l="1"/>
  <c r="AB11" i="4"/>
  <c r="AB14" i="63"/>
  <c r="AB15" i="63" s="1"/>
  <c r="AB35" i="63" l="1"/>
  <c r="AC9" i="63"/>
  <c r="AC12" i="63" s="1"/>
  <c r="AC25" i="63" s="1"/>
  <c r="AB17" i="63"/>
  <c r="AB37" i="63" l="1"/>
  <c r="AB40" i="63" s="1"/>
  <c r="AB12" i="4" s="1"/>
  <c r="AB13" i="4" s="1"/>
  <c r="AB28" i="4" s="1"/>
  <c r="AB38" i="63"/>
  <c r="AB41" i="63" s="1"/>
  <c r="AB12" i="48" s="1"/>
  <c r="AB13" i="48" s="1"/>
  <c r="AB28" i="48" s="1"/>
  <c r="AC34" i="63"/>
  <c r="AC11" i="4" l="1"/>
  <c r="AC11" i="48"/>
  <c r="AC14" i="63"/>
  <c r="AC15" i="63" s="1"/>
  <c r="AC35" i="63" l="1"/>
  <c r="AD9" i="63"/>
  <c r="AD12" i="63" s="1"/>
  <c r="AD25" i="63" s="1"/>
  <c r="AC17" i="63"/>
  <c r="AD34" i="63" l="1"/>
  <c r="AC38" i="63"/>
  <c r="AC41" i="63" s="1"/>
  <c r="AC12" i="48" s="1"/>
  <c r="AC13" i="48" s="1"/>
  <c r="AC28" i="48" s="1"/>
  <c r="AC37" i="63"/>
  <c r="AC40" i="63" s="1"/>
  <c r="AC12" i="4" s="1"/>
  <c r="AC13" i="4" s="1"/>
  <c r="AC28" i="4" s="1"/>
  <c r="AD11" i="48" l="1"/>
  <c r="AD11" i="4"/>
  <c r="AD14" i="63"/>
  <c r="AD15" i="63" s="1"/>
  <c r="AD35" i="63" l="1"/>
  <c r="AE9" i="63"/>
  <c r="AE12" i="63" s="1"/>
  <c r="AE25" i="63" s="1"/>
  <c r="AD17" i="63"/>
  <c r="AD37" i="63" l="1"/>
  <c r="AD40" i="63" s="1"/>
  <c r="AD12" i="4" s="1"/>
  <c r="AD13" i="4" s="1"/>
  <c r="AD28" i="4" s="1"/>
  <c r="AD38" i="63"/>
  <c r="AD41" i="63" s="1"/>
  <c r="AD12" i="48" s="1"/>
  <c r="AD13" i="48" s="1"/>
  <c r="AD28" i="48" s="1"/>
  <c r="AE34" i="63"/>
  <c r="AE11" i="48" l="1"/>
  <c r="AE11" i="4"/>
  <c r="AE14" i="63"/>
  <c r="AE15" i="63" s="1"/>
  <c r="AE35" i="63" l="1"/>
  <c r="AF9" i="63"/>
  <c r="AF12" i="63" s="1"/>
  <c r="AF25" i="63" s="1"/>
  <c r="AE17" i="63"/>
  <c r="AF34" i="63" l="1"/>
  <c r="AE37" i="63"/>
  <c r="AE40" i="63" s="1"/>
  <c r="AE12" i="4" s="1"/>
  <c r="AE13" i="4" s="1"/>
  <c r="AE28" i="4" s="1"/>
  <c r="AE38" i="63"/>
  <c r="AE41" i="63" s="1"/>
  <c r="AE12" i="48" s="1"/>
  <c r="AE13" i="48" s="1"/>
  <c r="AE28" i="48" s="1"/>
  <c r="AF11" i="48" l="1"/>
  <c r="AF11" i="4"/>
  <c r="AF14" i="63"/>
  <c r="AF15" i="63" s="1"/>
  <c r="AF35" i="63" l="1"/>
  <c r="AG9" i="63"/>
  <c r="AG12" i="63" s="1"/>
  <c r="AG25" i="63" s="1"/>
  <c r="AF17" i="63"/>
  <c r="AF37" i="63" l="1"/>
  <c r="AF40" i="63" s="1"/>
  <c r="AF12" i="4" s="1"/>
  <c r="AF13" i="4" s="1"/>
  <c r="AF28" i="4" s="1"/>
  <c r="AF38" i="63"/>
  <c r="AF41" i="63" s="1"/>
  <c r="AF12" i="48" s="1"/>
  <c r="AF13" i="48" s="1"/>
  <c r="AF28" i="48" s="1"/>
  <c r="AG34" i="63"/>
  <c r="AG11" i="4" l="1"/>
  <c r="AG11" i="48"/>
  <c r="AG14" i="63"/>
  <c r="AG15" i="63" s="1"/>
  <c r="AG35" i="63" l="1"/>
  <c r="AH9" i="63"/>
  <c r="AH12" i="63" s="1"/>
  <c r="AH25" i="63" s="1"/>
  <c r="AG17" i="63"/>
  <c r="AH34" i="63" l="1"/>
  <c r="AG38" i="63"/>
  <c r="AG41" i="63" s="1"/>
  <c r="AG12" i="48" s="1"/>
  <c r="AG13" i="48" s="1"/>
  <c r="AG28" i="48" s="1"/>
  <c r="AG37" i="63"/>
  <c r="AG40" i="63" s="1"/>
  <c r="AG12" i="4" s="1"/>
  <c r="AG13" i="4" s="1"/>
  <c r="AG28" i="4" s="1"/>
  <c r="AH11" i="48" l="1"/>
  <c r="AH11" i="4"/>
  <c r="AH14" i="63"/>
  <c r="AH15" i="63" s="1"/>
  <c r="AH35" i="63" l="1"/>
  <c r="AI9" i="63"/>
  <c r="AI12" i="63" s="1"/>
  <c r="AI25" i="63" s="1"/>
  <c r="I27" i="63" s="1"/>
  <c r="G39" i="22" s="1"/>
  <c r="AH17" i="63"/>
  <c r="AI34" i="63" l="1"/>
  <c r="AH37" i="63"/>
  <c r="AH40" i="63" s="1"/>
  <c r="AH12" i="4" s="1"/>
  <c r="AH13" i="4" s="1"/>
  <c r="AH28" i="4" s="1"/>
  <c r="AH38" i="63"/>
  <c r="AH41" i="63" s="1"/>
  <c r="AH12" i="48" s="1"/>
  <c r="AH13" i="48" s="1"/>
  <c r="AH28" i="48" s="1"/>
  <c r="AI11" i="48" l="1"/>
  <c r="AI11" i="4"/>
  <c r="AI14" i="63"/>
  <c r="AI15" i="63" s="1"/>
  <c r="AI35" i="63" l="1"/>
  <c r="AI17" i="63"/>
  <c r="AI37" i="63" l="1"/>
  <c r="AI40" i="63" s="1"/>
  <c r="AI12" i="4" s="1"/>
  <c r="AI13" i="4" s="1"/>
  <c r="AI28" i="4" s="1"/>
  <c r="I29" i="4" s="1"/>
  <c r="AI38" i="63"/>
  <c r="AI41" i="63" s="1"/>
  <c r="AI12" i="48" s="1"/>
  <c r="AI13" i="48" s="1"/>
  <c r="AI28" i="48" s="1"/>
  <c r="I29" i="48" s="1"/>
  <c r="I33" i="4" l="1"/>
  <c r="I8" i="21" s="1"/>
  <c r="I33" i="48"/>
  <c r="I9" i="21" s="1"/>
  <c r="K34" i="48" l="1"/>
  <c r="AC34" i="48"/>
  <c r="AD34" i="48"/>
  <c r="V34" i="48"/>
  <c r="N34" i="48"/>
  <c r="AE34" i="48"/>
  <c r="M34" i="48"/>
  <c r="AF34" i="48"/>
  <c r="T34" i="48"/>
  <c r="Q34" i="48"/>
  <c r="Z34" i="48"/>
  <c r="Y34" i="48"/>
  <c r="AG34" i="48"/>
  <c r="W34" i="48"/>
  <c r="AA34" i="48"/>
  <c r="L34" i="48"/>
  <c r="AH34" i="48"/>
  <c r="AB34" i="48"/>
  <c r="S34" i="48"/>
  <c r="P34" i="48"/>
  <c r="U34" i="48"/>
  <c r="X34" i="48"/>
  <c r="O34" i="48"/>
  <c r="R34" i="48"/>
  <c r="AI34" i="48"/>
  <c r="L34" i="4"/>
  <c r="L9" i="67" s="1"/>
  <c r="L11" i="67" s="1"/>
  <c r="AC34" i="4"/>
  <c r="AC9" i="67" s="1"/>
  <c r="AC11" i="67" s="1"/>
  <c r="U34" i="4"/>
  <c r="U9" i="67" s="1"/>
  <c r="U11" i="67" s="1"/>
  <c r="AH34" i="4"/>
  <c r="AH9" i="67" s="1"/>
  <c r="AH11" i="67" s="1"/>
  <c r="AG34" i="4"/>
  <c r="AG9" i="67" s="1"/>
  <c r="AG11" i="67" s="1"/>
  <c r="Q34" i="4"/>
  <c r="Q9" i="67" s="1"/>
  <c r="Q11" i="67" s="1"/>
  <c r="O34" i="4"/>
  <c r="O9" i="67" s="1"/>
  <c r="O11" i="67" s="1"/>
  <c r="O16" i="67" s="1"/>
  <c r="N34" i="4"/>
  <c r="N9" i="67" s="1"/>
  <c r="N11" i="67" s="1"/>
  <c r="R34" i="4"/>
  <c r="R9" i="67" s="1"/>
  <c r="R11" i="67" s="1"/>
  <c r="R16" i="67" s="1"/>
  <c r="W34" i="4"/>
  <c r="W9" i="67" s="1"/>
  <c r="W11" i="67" s="1"/>
  <c r="AE34" i="4"/>
  <c r="AE9" i="67" s="1"/>
  <c r="AE11" i="67" s="1"/>
  <c r="AB34" i="4"/>
  <c r="AB9" i="67" s="1"/>
  <c r="AB11" i="67" s="1"/>
  <c r="AB16" i="67" s="1"/>
  <c r="K34" i="4"/>
  <c r="P34" i="4"/>
  <c r="P9" i="67" s="1"/>
  <c r="P11" i="67" s="1"/>
  <c r="Y34" i="4"/>
  <c r="Y9" i="67" s="1"/>
  <c r="Y11" i="67" s="1"/>
  <c r="S34" i="4"/>
  <c r="S9" i="67" s="1"/>
  <c r="S11" i="67" s="1"/>
  <c r="AA34" i="4"/>
  <c r="AA9" i="67" s="1"/>
  <c r="AA11" i="67" s="1"/>
  <c r="X34" i="4"/>
  <c r="X9" i="67" s="1"/>
  <c r="X11" i="67" s="1"/>
  <c r="AF34" i="4"/>
  <c r="AF9" i="67" s="1"/>
  <c r="AF11" i="67" s="1"/>
  <c r="AD34" i="4"/>
  <c r="AD9" i="67" s="1"/>
  <c r="AD11" i="67" s="1"/>
  <c r="V34" i="4"/>
  <c r="V9" i="67" s="1"/>
  <c r="V11" i="67" s="1"/>
  <c r="M34" i="4"/>
  <c r="M9" i="67" s="1"/>
  <c r="M11" i="67" s="1"/>
  <c r="AI34" i="4"/>
  <c r="AI9" i="67" s="1"/>
  <c r="AI11" i="67" s="1"/>
  <c r="Z34" i="4"/>
  <c r="Z9" i="67" s="1"/>
  <c r="Z11" i="67" s="1"/>
  <c r="T34" i="4"/>
  <c r="T9" i="67" s="1"/>
  <c r="T11" i="67" s="1"/>
  <c r="T16" i="67" s="1"/>
  <c r="P9" i="68" l="1"/>
  <c r="P11" i="68" s="1"/>
  <c r="Y9" i="68"/>
  <c r="Y11" i="68" s="1"/>
  <c r="Y16" i="68" s="1"/>
  <c r="V9" i="68"/>
  <c r="V11" i="68" s="1"/>
  <c r="V16" i="68" s="1"/>
  <c r="O9" i="68"/>
  <c r="O11" i="68" s="1"/>
  <c r="Z9" i="68"/>
  <c r="Z11" i="68" s="1"/>
  <c r="Z16" i="68" s="1"/>
  <c r="K9" i="67"/>
  <c r="K11" i="67" s="1"/>
  <c r="K16" i="67" s="1"/>
  <c r="X9" i="68"/>
  <c r="X11" i="68" s="1"/>
  <c r="X16" i="68" s="1"/>
  <c r="AB9" i="68"/>
  <c r="AB11" i="68" s="1"/>
  <c r="AB16" i="68" s="1"/>
  <c r="W9" i="68"/>
  <c r="W11" i="68" s="1"/>
  <c r="W16" i="68" s="1"/>
  <c r="Q9" i="68"/>
  <c r="Q11" i="68" s="1"/>
  <c r="Q16" i="68" s="1"/>
  <c r="AE9" i="68"/>
  <c r="AE11" i="68" s="1"/>
  <c r="AE16" i="68" s="1"/>
  <c r="AC9" i="68"/>
  <c r="AC11" i="68" s="1"/>
  <c r="AC16" i="68" s="1"/>
  <c r="R9" i="68"/>
  <c r="R11" i="68" s="1"/>
  <c r="R16" i="68" s="1"/>
  <c r="L9" i="68"/>
  <c r="L11" i="68" s="1"/>
  <c r="AF9" i="68"/>
  <c r="AF11" i="68" s="1"/>
  <c r="AF16" i="68" s="1"/>
  <c r="S9" i="68"/>
  <c r="S11" i="68" s="1"/>
  <c r="S16" i="68" s="1"/>
  <c r="AA9" i="68"/>
  <c r="AA11" i="68" s="1"/>
  <c r="AA16" i="68" s="1"/>
  <c r="M9" i="68"/>
  <c r="M11" i="68" s="1"/>
  <c r="AD9" i="68"/>
  <c r="AD11" i="68" s="1"/>
  <c r="AD16" i="68" s="1"/>
  <c r="AI9" i="68"/>
  <c r="AI11" i="68" s="1"/>
  <c r="U9" i="68"/>
  <c r="U11" i="68" s="1"/>
  <c r="U16" i="68" s="1"/>
  <c r="AH9" i="68"/>
  <c r="AH11" i="68" s="1"/>
  <c r="AH16" i="68" s="1"/>
  <c r="AG9" i="68"/>
  <c r="AG11" i="68" s="1"/>
  <c r="AG16" i="68" s="1"/>
  <c r="T9" i="68"/>
  <c r="T11" i="68" s="1"/>
  <c r="T16" i="68" s="1"/>
  <c r="N9" i="68"/>
  <c r="N11" i="68" s="1"/>
  <c r="N16" i="68" s="1"/>
  <c r="K9" i="68"/>
  <c r="K11" i="68" s="1"/>
  <c r="K17" i="68" s="1"/>
  <c r="K22" i="68" s="1"/>
  <c r="V16" i="67"/>
  <c r="AA16" i="67"/>
  <c r="AG16" i="67"/>
  <c r="L16" i="67"/>
  <c r="AD16" i="67"/>
  <c r="S16" i="67"/>
  <c r="N16" i="67"/>
  <c r="AH16" i="67"/>
  <c r="AI16" i="67"/>
  <c r="Y16" i="67"/>
  <c r="AE16" i="67"/>
  <c r="U16" i="67"/>
  <c r="Z16" i="67"/>
  <c r="AF16" i="67"/>
  <c r="M16" i="67"/>
  <c r="X16" i="67"/>
  <c r="P16" i="67"/>
  <c r="W16" i="67"/>
  <c r="Q16" i="67"/>
  <c r="AC16" i="67"/>
  <c r="K24" i="68" l="1"/>
  <c r="K28" i="68" s="1"/>
  <c r="K32" i="68" s="1"/>
  <c r="K35" i="68" s="1"/>
  <c r="O16" i="68"/>
  <c r="AI16" i="68"/>
  <c r="M16" i="68"/>
  <c r="L16" i="68"/>
  <c r="K17" i="67"/>
  <c r="K22" i="67" s="1"/>
  <c r="K24" i="67" s="1"/>
  <c r="K28" i="67" s="1"/>
  <c r="K32" i="67" s="1"/>
  <c r="K35" i="67" s="1"/>
  <c r="P16" i="68"/>
  <c r="K16" i="68"/>
  <c r="K18" i="68" s="1"/>
  <c r="L15" i="68" s="1"/>
  <c r="L17" i="68" l="1"/>
  <c r="L22" i="68" s="1"/>
  <c r="K18" i="67"/>
  <c r="L15" i="67" s="1"/>
  <c r="L17" i="67" s="1"/>
  <c r="L22" i="67" s="1"/>
  <c r="L24" i="67" s="1"/>
  <c r="L28" i="67" s="1"/>
  <c r="L32" i="67" s="1"/>
  <c r="L35" i="67" s="1"/>
  <c r="L24" i="68" l="1"/>
  <c r="L28" i="68" s="1"/>
  <c r="L32" i="68" s="1"/>
  <c r="L35" i="68" s="1"/>
  <c r="L18" i="68"/>
  <c r="M15" i="68" s="1"/>
  <c r="L18" i="67"/>
  <c r="M15" i="67" s="1"/>
  <c r="M17" i="67" s="1"/>
  <c r="M22" i="67" s="1"/>
  <c r="M24" i="67" s="1"/>
  <c r="M28" i="67" s="1"/>
  <c r="M32" i="67" s="1"/>
  <c r="M35" i="67" s="1"/>
  <c r="M17" i="68" l="1"/>
  <c r="M22" i="68" s="1"/>
  <c r="M18" i="67"/>
  <c r="N15" i="67" s="1"/>
  <c r="N17" i="67" s="1"/>
  <c r="N22" i="67" s="1"/>
  <c r="N24" i="67" s="1"/>
  <c r="N28" i="67" s="1"/>
  <c r="N32" i="67" s="1"/>
  <c r="N35" i="67" s="1"/>
  <c r="M24" i="68" l="1"/>
  <c r="M28" i="68" s="1"/>
  <c r="M32" i="68" s="1"/>
  <c r="M35" i="68" s="1"/>
  <c r="M18" i="68"/>
  <c r="N15" i="68" s="1"/>
  <c r="N17" i="68" s="1"/>
  <c r="N22" i="68" s="1"/>
  <c r="N18" i="67"/>
  <c r="O15" i="67" s="1"/>
  <c r="O17" i="67" s="1"/>
  <c r="O22" i="67" s="1"/>
  <c r="O24" i="67" s="1"/>
  <c r="O28" i="67" s="1"/>
  <c r="O32" i="67" s="1"/>
  <c r="O35" i="67" s="1"/>
  <c r="N24" i="68" l="1"/>
  <c r="N28" i="68" s="1"/>
  <c r="N32" i="68" s="1"/>
  <c r="N35" i="68" s="1"/>
  <c r="N18" i="68"/>
  <c r="O15" i="68" s="1"/>
  <c r="O18" i="67"/>
  <c r="P15" i="67" s="1"/>
  <c r="P17" i="67" s="1"/>
  <c r="P22" i="67" s="1"/>
  <c r="P24" i="67" s="1"/>
  <c r="P28" i="67" s="1"/>
  <c r="P32" i="67" s="1"/>
  <c r="P35" i="67" s="1"/>
  <c r="O17" i="68" l="1"/>
  <c r="O22" i="68" s="1"/>
  <c r="P18" i="67"/>
  <c r="Q15" i="67" s="1"/>
  <c r="O24" i="68" l="1"/>
  <c r="O28" i="68" s="1"/>
  <c r="O32" i="68" s="1"/>
  <c r="O35" i="68" s="1"/>
  <c r="O18" i="68"/>
  <c r="P15" i="68" s="1"/>
  <c r="Q17" i="67"/>
  <c r="Q22" i="67" s="1"/>
  <c r="Q24" i="67" s="1"/>
  <c r="Q28" i="67" s="1"/>
  <c r="Q32" i="67" s="1"/>
  <c r="Q35" i="67" s="1"/>
  <c r="P17" i="68" l="1"/>
  <c r="P22" i="68" s="1"/>
  <c r="Q18" i="67"/>
  <c r="R15" i="67" s="1"/>
  <c r="R17" i="67" s="1"/>
  <c r="R22" i="67" s="1"/>
  <c r="R24" i="67" s="1"/>
  <c r="R28" i="67" s="1"/>
  <c r="R32" i="67" s="1"/>
  <c r="R35" i="67" s="1"/>
  <c r="P24" i="68" l="1"/>
  <c r="P28" i="68" s="1"/>
  <c r="P32" i="68" s="1"/>
  <c r="P35" i="68" s="1"/>
  <c r="P18" i="68"/>
  <c r="Q15" i="68" s="1"/>
  <c r="R18" i="67"/>
  <c r="S15" i="67" s="1"/>
  <c r="S17" i="67" s="1"/>
  <c r="Q17" i="68" l="1"/>
  <c r="Q22" i="68" s="1"/>
  <c r="S22" i="67"/>
  <c r="S24" i="67" s="1"/>
  <c r="S28" i="67" s="1"/>
  <c r="S32" i="67" s="1"/>
  <c r="S35" i="67" s="1"/>
  <c r="S18" i="67"/>
  <c r="T15" i="67" s="1"/>
  <c r="T17" i="67" s="1"/>
  <c r="T22" i="67" s="1"/>
  <c r="T24" i="67" s="1"/>
  <c r="T28" i="67" s="1"/>
  <c r="T32" i="67" s="1"/>
  <c r="T35" i="67" s="1"/>
  <c r="Q24" i="68" l="1"/>
  <c r="Q28" i="68" s="1"/>
  <c r="Q32" i="68" s="1"/>
  <c r="Q35" i="68" s="1"/>
  <c r="Q18" i="68"/>
  <c r="R15" i="68" s="1"/>
  <c r="R17" i="68" s="1"/>
  <c r="R22" i="68" s="1"/>
  <c r="T18" i="67"/>
  <c r="U15" i="67" s="1"/>
  <c r="R24" i="68" l="1"/>
  <c r="R28" i="68" s="1"/>
  <c r="R32" i="68" s="1"/>
  <c r="R35" i="68" s="1"/>
  <c r="R18" i="68"/>
  <c r="S15" i="68" s="1"/>
  <c r="U17" i="67"/>
  <c r="U22" i="67" s="1"/>
  <c r="U24" i="67" s="1"/>
  <c r="U28" i="67" s="1"/>
  <c r="U32" i="67" s="1"/>
  <c r="U35" i="67" s="1"/>
  <c r="S17" i="68" l="1"/>
  <c r="S22" i="68" s="1"/>
  <c r="U18" i="67"/>
  <c r="V15" i="67" s="1"/>
  <c r="V17" i="67" s="1"/>
  <c r="V22" i="67" s="1"/>
  <c r="V24" i="67" s="1"/>
  <c r="V28" i="67" s="1"/>
  <c r="V32" i="67" s="1"/>
  <c r="V35" i="67" s="1"/>
  <c r="S24" i="68" l="1"/>
  <c r="S28" i="68" s="1"/>
  <c r="S32" i="68" s="1"/>
  <c r="S35" i="68" s="1"/>
  <c r="S18" i="68"/>
  <c r="T15" i="68" s="1"/>
  <c r="V18" i="67"/>
  <c r="W15" i="67" s="1"/>
  <c r="W17" i="67" s="1"/>
  <c r="W22" i="67" s="1"/>
  <c r="W24" i="67" s="1"/>
  <c r="W28" i="67" s="1"/>
  <c r="W32" i="67" s="1"/>
  <c r="W35" i="67" s="1"/>
  <c r="T17" i="68" l="1"/>
  <c r="T22" i="68" s="1"/>
  <c r="W18" i="67"/>
  <c r="X15" i="67" s="1"/>
  <c r="X17" i="67" s="1"/>
  <c r="X22" i="67" s="1"/>
  <c r="X24" i="67" s="1"/>
  <c r="X28" i="67" s="1"/>
  <c r="X32" i="67" s="1"/>
  <c r="X35" i="67" s="1"/>
  <c r="T24" i="68" l="1"/>
  <c r="T28" i="68" s="1"/>
  <c r="T32" i="68" s="1"/>
  <c r="T35" i="68" s="1"/>
  <c r="T18" i="68"/>
  <c r="U15" i="68" s="1"/>
  <c r="X18" i="67"/>
  <c r="Y15" i="67" s="1"/>
  <c r="Y17" i="67" s="1"/>
  <c r="Y22" i="67" s="1"/>
  <c r="Y24" i="67" s="1"/>
  <c r="Y28" i="67" s="1"/>
  <c r="Y32" i="67" s="1"/>
  <c r="Y35" i="67" s="1"/>
  <c r="U17" i="68" l="1"/>
  <c r="U22" i="68" s="1"/>
  <c r="Y18" i="67"/>
  <c r="Z15" i="67" s="1"/>
  <c r="Z17" i="67" s="1"/>
  <c r="Z22" i="67" s="1"/>
  <c r="Z24" i="67" s="1"/>
  <c r="Z28" i="67" s="1"/>
  <c r="Z32" i="67" s="1"/>
  <c r="Z35" i="67" s="1"/>
  <c r="U24" i="68" l="1"/>
  <c r="U28" i="68" s="1"/>
  <c r="U32" i="68" s="1"/>
  <c r="U35" i="68" s="1"/>
  <c r="U18" i="68"/>
  <c r="V15" i="68" s="1"/>
  <c r="V17" i="68" s="1"/>
  <c r="V22" i="68" s="1"/>
  <c r="Z18" i="67"/>
  <c r="AA15" i="67" s="1"/>
  <c r="AA17" i="67" s="1"/>
  <c r="AA22" i="67" s="1"/>
  <c r="AA24" i="67" s="1"/>
  <c r="AA28" i="67" s="1"/>
  <c r="AA32" i="67" s="1"/>
  <c r="AA35" i="67" s="1"/>
  <c r="V24" i="68" l="1"/>
  <c r="V28" i="68" s="1"/>
  <c r="V32" i="68" s="1"/>
  <c r="V35" i="68" s="1"/>
  <c r="V18" i="68"/>
  <c r="W15" i="68" s="1"/>
  <c r="W17" i="68" s="1"/>
  <c r="W22" i="68" s="1"/>
  <c r="AA18" i="67"/>
  <c r="AB15" i="67" s="1"/>
  <c r="AB17" i="67" s="1"/>
  <c r="AB22" i="67" s="1"/>
  <c r="AB24" i="67" s="1"/>
  <c r="AB28" i="67" s="1"/>
  <c r="AB32" i="67" s="1"/>
  <c r="AB35" i="67" s="1"/>
  <c r="W24" i="68" l="1"/>
  <c r="W28" i="68" s="1"/>
  <c r="W32" i="68" s="1"/>
  <c r="W35" i="68" s="1"/>
  <c r="W18" i="68"/>
  <c r="X15" i="68" s="1"/>
  <c r="X17" i="68" s="1"/>
  <c r="X22" i="68" s="1"/>
  <c r="AB18" i="67"/>
  <c r="AC15" i="67" s="1"/>
  <c r="X24" i="68" l="1"/>
  <c r="X28" i="68" s="1"/>
  <c r="X32" i="68" s="1"/>
  <c r="X35" i="68" s="1"/>
  <c r="X18" i="68"/>
  <c r="Y15" i="68" s="1"/>
  <c r="Y17" i="68" s="1"/>
  <c r="Y22" i="68" s="1"/>
  <c r="AC17" i="67"/>
  <c r="AC22" i="67" s="1"/>
  <c r="AC24" i="67" s="1"/>
  <c r="AC28" i="67" s="1"/>
  <c r="AC32" i="67" s="1"/>
  <c r="AC35" i="67" s="1"/>
  <c r="Y24" i="68" l="1"/>
  <c r="Y28" i="68" s="1"/>
  <c r="Y32" i="68" s="1"/>
  <c r="Y35" i="68" s="1"/>
  <c r="Y18" i="68"/>
  <c r="Z15" i="68" s="1"/>
  <c r="Z17" i="68" s="1"/>
  <c r="Z22" i="68" s="1"/>
  <c r="AC18" i="67"/>
  <c r="AD15" i="67" s="1"/>
  <c r="AD17" i="67" s="1"/>
  <c r="AD22" i="67" s="1"/>
  <c r="AD24" i="67" s="1"/>
  <c r="AD28" i="67" s="1"/>
  <c r="AD32" i="67" s="1"/>
  <c r="AD35" i="67" s="1"/>
  <c r="Z24" i="68" l="1"/>
  <c r="Z28" i="68" s="1"/>
  <c r="Z32" i="68" s="1"/>
  <c r="Z35" i="68" s="1"/>
  <c r="Z18" i="68"/>
  <c r="AA15" i="68" s="1"/>
  <c r="AD18" i="67"/>
  <c r="AE15" i="67" s="1"/>
  <c r="AE17" i="67" s="1"/>
  <c r="AE22" i="67" s="1"/>
  <c r="AE24" i="67" s="1"/>
  <c r="AE28" i="67" s="1"/>
  <c r="AE32" i="67" s="1"/>
  <c r="AE35" i="67" s="1"/>
  <c r="AA17" i="68" l="1"/>
  <c r="AA22" i="68" s="1"/>
  <c r="AE18" i="67"/>
  <c r="AF15" i="67" s="1"/>
  <c r="AF17" i="67" s="1"/>
  <c r="AF22" i="67" s="1"/>
  <c r="AF24" i="67" s="1"/>
  <c r="AF28" i="67" s="1"/>
  <c r="AF32" i="67" s="1"/>
  <c r="AF35" i="67" s="1"/>
  <c r="AA24" i="68" l="1"/>
  <c r="AA28" i="68" s="1"/>
  <c r="AA32" i="68" s="1"/>
  <c r="AA35" i="68" s="1"/>
  <c r="AA18" i="68"/>
  <c r="AB15" i="68" s="1"/>
  <c r="AB17" i="68" s="1"/>
  <c r="AB22" i="68" s="1"/>
  <c r="AF18" i="67"/>
  <c r="AG15" i="67" s="1"/>
  <c r="AG17" i="67" s="1"/>
  <c r="AG22" i="67" s="1"/>
  <c r="AG24" i="67" s="1"/>
  <c r="AG28" i="67" s="1"/>
  <c r="AG32" i="67" s="1"/>
  <c r="AG35" i="67" s="1"/>
  <c r="AB24" i="68" l="1"/>
  <c r="AB28" i="68" s="1"/>
  <c r="AB32" i="68" s="1"/>
  <c r="AB35" i="68" s="1"/>
  <c r="AB18" i="68"/>
  <c r="AC15" i="68" s="1"/>
  <c r="AC17" i="68" s="1"/>
  <c r="AC22" i="68" s="1"/>
  <c r="AG18" i="67"/>
  <c r="AH15" i="67" s="1"/>
  <c r="AH17" i="67" s="1"/>
  <c r="AH22" i="67" s="1"/>
  <c r="AH24" i="67" s="1"/>
  <c r="AH28" i="67" s="1"/>
  <c r="AH32" i="67" s="1"/>
  <c r="AH35" i="67" s="1"/>
  <c r="AC24" i="68" l="1"/>
  <c r="AC28" i="68" s="1"/>
  <c r="AC32" i="68" s="1"/>
  <c r="AC35" i="68" s="1"/>
  <c r="AC18" i="68"/>
  <c r="AD15" i="68" s="1"/>
  <c r="AH18" i="67"/>
  <c r="AI15" i="67" s="1"/>
  <c r="AI17" i="67" s="1"/>
  <c r="AI22" i="67" s="1"/>
  <c r="AI24" i="67" s="1"/>
  <c r="AI28" i="67" s="1"/>
  <c r="AI32" i="67" s="1"/>
  <c r="AI35" i="67" s="1"/>
  <c r="I36" i="67" s="1"/>
  <c r="I40" i="67" s="1"/>
  <c r="I11" i="21" s="1"/>
  <c r="I17" i="21" s="1"/>
  <c r="AD17" i="68" l="1"/>
  <c r="AD22" i="68" s="1"/>
  <c r="AI18" i="67"/>
  <c r="AD24" i="68" l="1"/>
  <c r="AD28" i="68" s="1"/>
  <c r="AD32" i="68" s="1"/>
  <c r="AD35" i="68" s="1"/>
  <c r="I23" i="21"/>
  <c r="AD18" i="68"/>
  <c r="AE15" i="68" s="1"/>
  <c r="AE17" i="68" l="1"/>
  <c r="AE22" i="68" s="1"/>
  <c r="AE24" i="68" l="1"/>
  <c r="AE28" i="68" s="1"/>
  <c r="AE32" i="68" s="1"/>
  <c r="AE35" i="68" s="1"/>
  <c r="AE18" i="68"/>
  <c r="AF15" i="68" s="1"/>
  <c r="AF17" i="68" s="1"/>
  <c r="AF22" i="68" s="1"/>
  <c r="AF24" i="68" l="1"/>
  <c r="AF28" i="68" s="1"/>
  <c r="AF32" i="68" s="1"/>
  <c r="AF35" i="68" s="1"/>
  <c r="AF18" i="68"/>
  <c r="AG15" i="68" s="1"/>
  <c r="AG17" i="68" l="1"/>
  <c r="AG22" i="68" s="1"/>
  <c r="AG24" i="68" l="1"/>
  <c r="AG28" i="68" s="1"/>
  <c r="AG32" i="68" s="1"/>
  <c r="AG35" i="68" s="1"/>
  <c r="AG18" i="68"/>
  <c r="AH15" i="68" s="1"/>
  <c r="AH17" i="68" l="1"/>
  <c r="AH22" i="68" s="1"/>
  <c r="AH24" i="68" l="1"/>
  <c r="AH28" i="68" s="1"/>
  <c r="AH32" i="68" s="1"/>
  <c r="AH35" i="68" s="1"/>
  <c r="AH18" i="68"/>
  <c r="AI15" i="68" s="1"/>
  <c r="AI17" i="68" l="1"/>
  <c r="AI22" i="68" s="1"/>
  <c r="AI24" i="68" l="1"/>
  <c r="AI28" i="68" s="1"/>
  <c r="AI32" i="68" s="1"/>
  <c r="AI35" i="68" s="1"/>
  <c r="I36" i="68" s="1"/>
  <c r="I40" i="68" s="1"/>
  <c r="I12" i="21" s="1"/>
  <c r="I18" i="21" s="1"/>
  <c r="AI18" i="68"/>
  <c r="I24" i="21" l="1"/>
</calcChain>
</file>

<file path=xl/sharedStrings.xml><?xml version="1.0" encoding="utf-8"?>
<sst xmlns="http://schemas.openxmlformats.org/spreadsheetml/2006/main" count="835" uniqueCount="331">
  <si>
    <t>Transaction costs</t>
  </si>
  <si>
    <t>Constant</t>
  </si>
  <si>
    <t>Units</t>
  </si>
  <si>
    <t>Parameter</t>
  </si>
  <si>
    <t>Annual values</t>
  </si>
  <si>
    <t>Year ending</t>
  </si>
  <si>
    <t>Capex</t>
  </si>
  <si>
    <t>flag</t>
  </si>
  <si>
    <t>End of sheet</t>
  </si>
  <si>
    <t>Inputs</t>
  </si>
  <si>
    <t>Project year</t>
  </si>
  <si>
    <t>%</t>
  </si>
  <si>
    <t>Operational notional gearing</t>
  </si>
  <si>
    <t>Model operation</t>
  </si>
  <si>
    <t>date</t>
  </si>
  <si>
    <t>full years</t>
  </si>
  <si>
    <t>Number of operational years</t>
  </si>
  <si>
    <t>Equity transaction costs</t>
  </si>
  <si>
    <t>Debt transaction costs</t>
  </si>
  <si>
    <t>Year is within operational period</t>
  </si>
  <si>
    <t>Depreciation (negative)</t>
  </si>
  <si>
    <t>Model key</t>
  </si>
  <si>
    <t>Sample</t>
  </si>
  <si>
    <t>Calculated value</t>
  </si>
  <si>
    <t>Notes and instructions</t>
  </si>
  <si>
    <t>Contents</t>
  </si>
  <si>
    <t>Cover</t>
  </si>
  <si>
    <t>Model key and content directory</t>
  </si>
  <si>
    <t>Regime design model</t>
  </si>
  <si>
    <t>scalar</t>
  </si>
  <si>
    <t>Pre-operational RAV transfers</t>
  </si>
  <si>
    <t>Pre-operational</t>
  </si>
  <si>
    <t>Operational</t>
  </si>
  <si>
    <t>Opening operational RAV (after transfers)</t>
  </si>
  <si>
    <t>Closing operational RAV</t>
  </si>
  <si>
    <t>Opening pre-operational RAV (before transfers)</t>
  </si>
  <si>
    <t>Years remaining until end of operational period</t>
  </si>
  <si>
    <t>Average operational RAV</t>
  </si>
  <si>
    <t>Finance</t>
  </si>
  <si>
    <t>Year is before end of operational period</t>
  </si>
  <si>
    <t>RAV depreciation</t>
  </si>
  <si>
    <t>Operational RAV return</t>
  </si>
  <si>
    <t>Jan 1987 = 100</t>
  </si>
  <si>
    <t>Cell intentionally blank</t>
  </si>
  <si>
    <t>NPV neutral return base  (cap)</t>
  </si>
  <si>
    <t>NPV neutral return base (floor)</t>
  </si>
  <si>
    <t>Unprofiled allowances except tax (floor)</t>
  </si>
  <si>
    <t>Unprofiled allowances except tax (cap)</t>
  </si>
  <si>
    <t>Discounted unprofiled allowances except tax (cap)</t>
  </si>
  <si>
    <t>Discounted unprofiled allowances except tax (floor)</t>
  </si>
  <si>
    <t>NPV of allowances except tax (cap)</t>
  </si>
  <si>
    <t>NPV of allowances except tax (floor)</t>
  </si>
  <si>
    <t>Annuitised allowances except tax (cap)</t>
  </si>
  <si>
    <t>Annuitised allowances except tax (floor)</t>
  </si>
  <si>
    <t>Annuity of allowances except tax (cap)</t>
  </si>
  <si>
    <t>Annuity of allowances except tax (floor)</t>
  </si>
  <si>
    <t>real annual %</t>
  </si>
  <si>
    <t>Variables set after financial close</t>
  </si>
  <si>
    <t>Note: changes in these variables may require structural changes to the model.</t>
  </si>
  <si>
    <t>Allowances except tax</t>
  </si>
  <si>
    <t>Annuity parameters</t>
  </si>
  <si>
    <t>Closing pre-operational RAV (after IDC)</t>
  </si>
  <si>
    <t>Development costs</t>
  </si>
  <si>
    <t>Cost of debt (for tax)</t>
  </si>
  <si>
    <t>Profiled allowances except tax (cap)</t>
  </si>
  <si>
    <t>Annuity factor (cap)</t>
  </si>
  <si>
    <t>Annuity factor (floor)</t>
  </si>
  <si>
    <t>Discount factor to start of operational period (cap)</t>
  </si>
  <si>
    <t>Discount factor to start of operational period (floor)</t>
  </si>
  <si>
    <t>Pre-operational notional gearing</t>
  </si>
  <si>
    <t>Depreciation equal to additions</t>
  </si>
  <si>
    <t>Allowance</t>
  </si>
  <si>
    <t>Spares</t>
  </si>
  <si>
    <t>Licence</t>
  </si>
  <si>
    <t>Terminology</t>
  </si>
  <si>
    <t>Variables set at financial close</t>
  </si>
  <si>
    <t>Capitalised IDC on transaction costs</t>
  </si>
  <si>
    <t>Transaction costs - closing</t>
  </si>
  <si>
    <t>Transaction costs - opening</t>
  </si>
  <si>
    <t>Model start date</t>
  </si>
  <si>
    <t>Year commencing</t>
  </si>
  <si>
    <t>Days in year</t>
  </si>
  <si>
    <t>days</t>
  </si>
  <si>
    <t>Regime start date</t>
  </si>
  <si>
    <t>Regime end date</t>
  </si>
  <si>
    <t>Flags</t>
  </si>
  <si>
    <t>Closing pre-operational RAV (after IDC) - adjusted for RAV transfers</t>
  </si>
  <si>
    <t>Opening operational RAV (before transfers)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</si>
  <si>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</si>
  <si>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</si>
  <si>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</si>
  <si>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</si>
  <si>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</si>
  <si>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</si>
  <si>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</si>
  <si>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</si>
  <si>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</si>
  <si>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</si>
  <si>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</si>
  <si>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</si>
  <si>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</si>
  <si>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</si>
  <si>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</si>
  <si>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</si>
  <si>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</si>
  <si>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</si>
  <si>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</si>
  <si>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</si>
  <si>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</si>
  <si>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</si>
  <si>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</si>
  <si>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</si>
  <si>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</si>
  <si>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Year</t>
  </si>
  <si>
    <t>Pre-operational RAV balances</t>
  </si>
  <si>
    <t>Operational Year</t>
  </si>
  <si>
    <t>Return (cap)</t>
  </si>
  <si>
    <t>Return (floor)</t>
  </si>
  <si>
    <t>PCAC</t>
  </si>
  <si>
    <t>PCAF</t>
  </si>
  <si>
    <t>PCL</t>
  </si>
  <si>
    <t>PFL</t>
  </si>
  <si>
    <t>UK RPI index t</t>
  </si>
  <si>
    <t>Decommissioning baseline</t>
  </si>
  <si>
    <t>Tax deductions</t>
  </si>
  <si>
    <t>Expected UK RPI inflation</t>
  </si>
  <si>
    <t>Total</t>
  </si>
  <si>
    <t>Revenue pool additions</t>
  </si>
  <si>
    <t>£m nominal</t>
  </si>
  <si>
    <t>Capital allowances</t>
  </si>
  <si>
    <t>Total tax deductions</t>
  </si>
  <si>
    <t>Tax pools</t>
  </si>
  <si>
    <t>Revenue pool</t>
  </si>
  <si>
    <t>Capital allowance pool</t>
  </si>
  <si>
    <t>Capital allowance rate (declining balance)</t>
  </si>
  <si>
    <t>Opening balance brought forward</t>
  </si>
  <si>
    <t>Tax book value pre-depreciation</t>
  </si>
  <si>
    <t>Capital allowance (reducing balance)</t>
  </si>
  <si>
    <t>Write-back allowance</t>
  </si>
  <si>
    <t>Closing balance carried forward</t>
  </si>
  <si>
    <t>Cost of debt</t>
  </si>
  <si>
    <t>nominal annual %</t>
  </si>
  <si>
    <t>Net debt</t>
  </si>
  <si>
    <t>Principal repayments</t>
  </si>
  <si>
    <t>Net interest paid</t>
  </si>
  <si>
    <t>Opening net debt</t>
  </si>
  <si>
    <t>Less principal repayment</t>
  </si>
  <si>
    <t>Closing net debt</t>
  </si>
  <si>
    <t>Unprofiled tax allowance (cap)</t>
  </si>
  <si>
    <t>Profits attributable to corporation tax</t>
  </si>
  <si>
    <t>£m nominal prices</t>
  </si>
  <si>
    <t>Less tax deductions</t>
  </si>
  <si>
    <t>Tax losses</t>
  </si>
  <si>
    <t>Taxable losses brought forward</t>
  </si>
  <si>
    <t>In-year taxable loss</t>
  </si>
  <si>
    <t>Tax allowance</t>
  </si>
  <si>
    <t>Profits attributable to corporation tax (after taxable losses)</t>
  </si>
  <si>
    <t>Corporation tax rate</t>
  </si>
  <si>
    <t>Corporation tax charge after losses</t>
  </si>
  <si>
    <t>Profiled tax allowance (cap)</t>
  </si>
  <si>
    <t>Discounted unprofiled tax allowance (cap)</t>
  </si>
  <si>
    <t>NPV of tax allowance (cap)</t>
  </si>
  <si>
    <t>Annuity of tax allowance (cap)</t>
  </si>
  <si>
    <t>Unprofiled tax allowance (floor)</t>
  </si>
  <si>
    <t>Profiled tax allowance (floor)</t>
  </si>
  <si>
    <t>Discounted unprofiled tax allowance (floor)</t>
  </si>
  <si>
    <t>NPV of tax allowance (floor)</t>
  </si>
  <si>
    <t>Annuity of tax allowance (floor)</t>
  </si>
  <si>
    <t>Indexation factor</t>
  </si>
  <si>
    <t>Pre-operational interest during construction</t>
  </si>
  <si>
    <t>Interest during construction rate</t>
  </si>
  <si>
    <t>Capitalised interest during construction</t>
  </si>
  <si>
    <t>Initial debt transaction costs</t>
  </si>
  <si>
    <t>Initial equity transaction costs</t>
  </si>
  <si>
    <t>Final debt transaction costs</t>
  </si>
  <si>
    <t>Final equity transaction costs</t>
  </si>
  <si>
    <t>Import from other sheet</t>
  </si>
  <si>
    <t>Export to other sheet</t>
  </si>
  <si>
    <t>Formula changes in cells to the right</t>
  </si>
  <si>
    <t>Initial input</t>
  </si>
  <si>
    <t>Updated input</t>
  </si>
  <si>
    <t>Cap return rate</t>
  </si>
  <si>
    <t>Floor return rate</t>
  </si>
  <si>
    <t>Interest during construction (IDC) rate</t>
  </si>
  <si>
    <t>End date for IDC</t>
  </si>
  <si>
    <t>Start of operations</t>
  </si>
  <si>
    <t>Post-IDC and pre-operations flag</t>
  </si>
  <si>
    <t>IDC flag</t>
  </si>
  <si>
    <t>Operations flag</t>
  </si>
  <si>
    <t>Transfer construction to operations flag</t>
  </si>
  <si>
    <t>Initial transaction costs flag</t>
  </si>
  <si>
    <t>Tax - Financial years</t>
  </si>
  <si>
    <t>Transaction costs - annual movement</t>
  </si>
  <si>
    <t>Transfer to operational RAV</t>
  </si>
  <si>
    <t>Transfers of transaction costs</t>
  </si>
  <si>
    <t>Transfers of pre-operational RAV</t>
  </si>
  <si>
    <t>Profiled allowances except tax (floor)</t>
  </si>
  <si>
    <t>Forecast UK inflation uplift</t>
  </si>
  <si>
    <t>Interest payable</t>
  </si>
  <si>
    <t>Preliminary Cap including tax (hardcoded at FPA)</t>
  </si>
  <si>
    <t>Preliminary Floor including tax (hardcoded at FPA)</t>
  </si>
  <si>
    <t>Cap at relevant stage excluding tax (calculated through the model)</t>
  </si>
  <si>
    <t>Floor at relevant stage excluding tax (calculated through the model)</t>
  </si>
  <si>
    <t>Cap at relevant stage - tax element (calculated through the model)</t>
  </si>
  <si>
    <t>Floor at relevant stage - tax element (calculated through the model)</t>
  </si>
  <si>
    <t>Cap at relevant stage including tax (calculated through the model)</t>
  </si>
  <si>
    <t>Floor at relevant stage including tax (calculated through the model)</t>
  </si>
  <si>
    <t>Cap PCA adjustment (at PCR)</t>
  </si>
  <si>
    <t>Floor PCA adjustment (at PCR)</t>
  </si>
  <si>
    <t>Cap and Floor levels and adjustments</t>
  </si>
  <si>
    <t>Cap and Floor levels at FPA (Preliminary) / PCR (Final) and PCA adjustments at PCR</t>
  </si>
  <si>
    <t>Tax - Annuity</t>
  </si>
  <si>
    <t>choice</t>
  </si>
  <si>
    <t>Cap at relevant stage - tax element (previously calculated through the model and fixed)</t>
  </si>
  <si>
    <t>Floor at relevant stage - tax element (previously calculated through the model and fixed)</t>
  </si>
  <si>
    <t>Currency of cost inputs</t>
  </si>
  <si>
    <t>Indexation, currency and base year price term</t>
  </si>
  <si>
    <t>Base year price term</t>
  </si>
  <si>
    <t>`</t>
  </si>
  <si>
    <t>Start of price base year</t>
  </si>
  <si>
    <t>End of price base year</t>
  </si>
  <si>
    <t>choice %</t>
  </si>
  <si>
    <t>Tax - Operational years</t>
  </si>
  <si>
    <t xml:space="preserve"> </t>
  </si>
  <si>
    <t>Grossing-up factor for tax on tax charge after losses</t>
  </si>
  <si>
    <t>Cap allowances (excluding tax) and annuitisation</t>
  </si>
  <si>
    <t>Floor allowances (excluding tax) and annuitisation</t>
  </si>
  <si>
    <t>Tax calculations</t>
  </si>
  <si>
    <t>Actual values</t>
  </si>
  <si>
    <t>Ex-ante allowances for the operational period</t>
  </si>
  <si>
    <t>Long-term expected UK RPI inflation</t>
  </si>
  <si>
    <t>Tax element of Cap and Floor annuity previously calculated and fixed</t>
  </si>
  <si>
    <t>RAV</t>
  </si>
  <si>
    <t>Parameters</t>
  </si>
  <si>
    <t>Operational RAV depreciation</t>
  </si>
  <si>
    <t>Interest</t>
  </si>
  <si>
    <t>Inflation</t>
  </si>
  <si>
    <t>Controllable Opex</t>
  </si>
  <si>
    <t>Non-controllable Opex baseline</t>
  </si>
  <si>
    <t>Non-controllable Opex (baseline)</t>
  </si>
  <si>
    <t>Replacement Capex</t>
  </si>
  <si>
    <t>Taxable losses carried forward</t>
  </si>
  <si>
    <t>Profits used to offset losses</t>
  </si>
  <si>
    <t>Pre Op RAV</t>
  </si>
  <si>
    <t>Op RAV</t>
  </si>
  <si>
    <t>Allowances Cap</t>
  </si>
  <si>
    <t>Allowances Floor</t>
  </si>
  <si>
    <t>Tax Deductions</t>
  </si>
  <si>
    <t>Tax Cap</t>
  </si>
  <si>
    <t>Tax Floor</t>
  </si>
  <si>
    <t>Cap Floor Levels</t>
  </si>
  <si>
    <t>Version number</t>
  </si>
  <si>
    <t>File pathname</t>
  </si>
  <si>
    <t>Based on version</t>
  </si>
  <si>
    <t>Author or editor</t>
  </si>
  <si>
    <t>Date</t>
  </si>
  <si>
    <t>Description of changes</t>
  </si>
  <si>
    <t>Rationale for changes</t>
  </si>
  <si>
    <t>Location of changes</t>
  </si>
  <si>
    <t>Impact of changes on outputs</t>
  </si>
  <si>
    <t>Quality assurance performed? By?</t>
  </si>
  <si>
    <t>Comments on QA performed</t>
  </si>
  <si>
    <t>N/a</t>
  </si>
  <si>
    <t>Martin Namor</t>
  </si>
  <si>
    <t>Version control and log of changes</t>
  </si>
  <si>
    <t>Version Control</t>
  </si>
  <si>
    <t>Throughout the model</t>
  </si>
  <si>
    <t>No impact</t>
  </si>
  <si>
    <t>Comments reflected in version 2.2</t>
  </si>
  <si>
    <t>Internal (ORE) and external (BDO)</t>
  </si>
  <si>
    <t>Internal (ORE - Svitlana Voronkova)</t>
  </si>
  <si>
    <t>Comments reflected in version 1.1</t>
  </si>
  <si>
    <t>Simplification and standardisation</t>
  </si>
  <si>
    <t>CFFM split into CFFM1 (up to PCR) &amp; CFFM2 (operations)</t>
  </si>
  <si>
    <t>Minor changes</t>
  </si>
  <si>
    <t>Source</t>
  </si>
  <si>
    <t>Link</t>
  </si>
  <si>
    <t>Reference row in</t>
  </si>
  <si>
    <t>Inputs sheet</t>
  </si>
  <si>
    <t>Data Sources</t>
  </si>
  <si>
    <t>Office for National Statistics</t>
  </si>
  <si>
    <t>RPI All Items Index: Jan 1987=100</t>
  </si>
  <si>
    <t>Cap and Floor Financial Model 1 (CFFM1)</t>
  </si>
  <si>
    <t>Sources of input data</t>
  </si>
  <si>
    <t>Interest during construction and transaction costs</t>
  </si>
  <si>
    <t>Operational RAV balances, return on RAV and RAV depreciation</t>
  </si>
  <si>
    <t>link</t>
  </si>
  <si>
    <t>Further comments reflected in version 2.2</t>
  </si>
  <si>
    <t>Relevant stage: FPA for Preliminary levels; PCR for final levels</t>
  </si>
  <si>
    <t>Reflecting comments from QA and tidying up</t>
  </si>
  <si>
    <t>Initial input for non-GB indexed portion (to be left empty if GB-indexed only)</t>
  </si>
  <si>
    <t>GB indexed portion of interconnector</t>
  </si>
  <si>
    <t>Non-GB indexed portion of interconnector</t>
  </si>
  <si>
    <t>Import from &amp; export to other sheet</t>
  </si>
  <si>
    <t>Cap and Floor values</t>
  </si>
  <si>
    <t>Andrew Stone &amp; Neill Aitken (NGV)</t>
  </si>
  <si>
    <t>Input data</t>
  </si>
  <si>
    <t>Tax allowances at cap and annuitisation</t>
  </si>
  <si>
    <t>Tax allowances at floor and annuitisation</t>
  </si>
  <si>
    <t>For guidance on the use of the CFFM1, please refer to the CFFM1 Handbook (CFFM1H)</t>
  </si>
  <si>
    <t>check</t>
  </si>
  <si>
    <t>Checks</t>
  </si>
  <si>
    <t>Depreciation</t>
  </si>
  <si>
    <t>£</t>
  </si>
  <si>
    <t>No</t>
  </si>
  <si>
    <t>Allowing all construction costs to be transferred into the operational RAV; simplifying formulas used to calculate IDC</t>
  </si>
  <si>
    <t>Minor changes to three formulas</t>
  </si>
  <si>
    <t>Inputs sheet and Finance sheet</t>
  </si>
  <si>
    <t>Comments reflected in version 2.3</t>
  </si>
  <si>
    <t>DISCLAIMER: In the event of any inconsistency between this model and the licence, licence conditions take precedence.</t>
  </si>
  <si>
    <t>Potential small impact if construction costs are incurred in the period after the period in which operations start</t>
  </si>
  <si>
    <t>12-month average UK RPI inflation index value (CHAW)</t>
  </si>
  <si>
    <t>Base year average UK RPI inflation index value (CHAW)</t>
  </si>
  <si>
    <t>UK RPI index 2019/20</t>
  </si>
  <si>
    <t>2019/20 average UK RPI inflation index value (CHAW)</t>
  </si>
  <si>
    <t>Post Construction Review (PCR) decision</t>
  </si>
  <si>
    <t>IFA2 licence - Special conditions - Schedule 1</t>
  </si>
  <si>
    <t>IFA2 Cap and Floor Financial Model 1 Handbook (IFA2CFFM1H)</t>
  </si>
  <si>
    <t>£m 16/17 prices</t>
  </si>
  <si>
    <t>UK RPI index 2016/17</t>
  </si>
  <si>
    <t>Indexation conversion from 19/20 to 16/17 terms</t>
  </si>
  <si>
    <t>UK RPI inflation uplift from 2016/17 term</t>
  </si>
  <si>
    <t>£m 19/20 prices</t>
  </si>
  <si>
    <t>UK RPI uplift from 2016/17 term to start of regime</t>
  </si>
  <si>
    <t>Multiple sheets</t>
  </si>
  <si>
    <t xml:space="preserve">Vanessa Simpson &amp; Neill Aitken (NGV) </t>
  </si>
  <si>
    <t>Implementing the regime for IFA2</t>
  </si>
  <si>
    <t>Internal (ORE - Rahmatullah Kawsary)</t>
  </si>
  <si>
    <t>Medium</t>
  </si>
  <si>
    <t>Comments reflected in version 2.4</t>
  </si>
  <si>
    <t>All Nemo input parameters replaced with IFA2 input parameters to generate C + F levels for IFA2 Project.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</si>
</sst>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3" formatCode="_-* #,##0.00_-;\-* #,##0.00_-;_-* &quot;-&quot;??_-;_-@_-"/>
    <numFmt numFmtId="164" formatCode="_(* #,##0.00_);_(* \(#,##0.00\);_(* &quot;-&quot;??_);_(@_)"/>
    <numFmt numFmtId="165" formatCode="&quot;£&quot;#,##0.00_);[Red]\(&quot;£&quot;#,##0.00\)"/>
    <numFmt numFmtId="166" formatCode="0.0"/>
    <numFmt numFmtId="167" formatCode="#,##0.0"/>
    <numFmt numFmtId="168" formatCode="0.0%"/>
    <numFmt numFmtId="169" formatCode="#,##0.0_);\(#,##0.0\);\-_)"/>
    <numFmt numFmtId="170" formatCode="dd\ mmm\ yyyy"/>
    <numFmt numFmtId="171" formatCode="#,##0_);\(#,##0\);\-_)"/>
    <numFmt numFmtId="172" formatCode="#,##0.00_);\(#,##0.00\);\-_)"/>
    <numFmt numFmtId="173" formatCode="yyyy"/>
    <numFmt numFmtId="174" formatCode="#,##0.0_ ;[Red]\-#,##0.0\ "/>
    <numFmt numFmtId="175" formatCode="#,##0.000"/>
    <numFmt numFmtId="176" formatCode="0.000"/>
    <numFmt numFmtId="177" formatCode="#,##0_);\(#,##0\);\-\ \ ;@"/>
    <numFmt numFmtId="178" formatCode="#,##0.0000_);\(#,##0.0000\);\-\ \ ;@"/>
    <numFmt numFmtId="179" formatCode="0.00%_);\-0.00%_);\-\ \ ;@"/>
    <numFmt numFmtId="180" formatCode="dd\-mmm\-yy_);;\-\ \ ;@"/>
    <numFmt numFmtId="181" formatCode="_-[$€-2]* #,##0.00_-;\-[$€-2]* #,##0.00_-;_-[$€-2]* &quot;-&quot;??_-"/>
    <numFmt numFmtId="182" formatCode="#,##0.000_);\(#,##0.000\);\-_)"/>
    <numFmt numFmtId="183" formatCode="#,##0_-;\(#,##0\);&quot;-&quot;"/>
    <numFmt numFmtId="184" formatCode="[Magenta]&quot;Err&quot;;[Magenta]&quot;Err&quot;;[Blue]&quot;OK&quot;"/>
    <numFmt numFmtId="185" formatCode="General\ &quot;.&quot;"/>
    <numFmt numFmtId="186" formatCode="#,##0_);[Red]\(#,##0\);\-_)"/>
    <numFmt numFmtId="187" formatCode="0.0_)%;[Red]\(0.0%\);0.0_)%"/>
    <numFmt numFmtId="188" formatCode="[Red][&gt;1]&quot;&gt;100 %&quot;;[Red]\(0.0%\);0.0_)%"/>
    <numFmt numFmtId="189" formatCode="_(* #,##0.000000_);_(* \(#,##0.000000\);_(* &quot;-&quot;??_);_(@_)"/>
    <numFmt numFmtId="190" formatCode="0.0000"/>
    <numFmt numFmtId="191" formatCode="#,##0.0000"/>
    <numFmt numFmtId="192" formatCode="_(* #,##0.000_);_(* \(#,##0.000\);_(* &quot;-&quot;??_);_(@_)"/>
    <numFmt numFmtId="193" formatCode="#,##0.0000_);\(#,##0.0000\);\-_)"/>
    <numFmt numFmtId="194" formatCode="0.0000%"/>
    <numFmt numFmtId="195" formatCode="_(* #,##0.0000_);_(* \(#,##0.0000\);_(* &quot;-&quot;??_);_(@_)"/>
    <numFmt numFmtId="196" formatCode="#,##0.00000_);\(#,##0.00000\);\-_)"/>
    <numFmt numFmtId="197" formatCode="#,##0.000000_);\(#,##0.000000\);\-_)"/>
  </numFmts>
  <fonts count="90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G Omeg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Genev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name val="Times New Roman"/>
      <family val="1"/>
    </font>
    <font>
      <u/>
      <sz val="11"/>
      <color indexed="48"/>
      <name val="CG Omega"/>
      <family val="2"/>
    </font>
    <font>
      <i/>
      <sz val="10"/>
      <color indexed="10"/>
      <name val="Arial"/>
      <family val="2"/>
    </font>
    <font>
      <sz val="10"/>
      <color theme="1"/>
      <name val="Calibri"/>
      <family val="2"/>
    </font>
    <font>
      <u/>
      <sz val="10"/>
      <color theme="1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0"/>
      <color indexed="12"/>
      <name val="Arial"/>
      <family val="2"/>
    </font>
    <font>
      <sz val="11"/>
      <color indexed="17"/>
      <name val="Calibri"/>
      <family val="2"/>
    </font>
    <font>
      <b/>
      <sz val="10"/>
      <name val="Arial"/>
      <family val="2"/>
    </font>
    <font>
      <sz val="11"/>
      <color indexed="20"/>
      <name val="Calibri"/>
      <family val="2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9"/>
      <color indexed="12"/>
      <name val="Arial"/>
      <family val="2"/>
    </font>
    <font>
      <b/>
      <sz val="8"/>
      <color indexed="12"/>
      <name val="Arial"/>
      <family val="2"/>
    </font>
    <font>
      <b/>
      <sz val="12"/>
      <color indexed="8"/>
      <name val="Arial"/>
      <family val="2"/>
    </font>
    <font>
      <b/>
      <sz val="10.5"/>
      <color indexed="8"/>
      <name val="Arial"/>
      <family val="2"/>
    </font>
    <font>
      <i/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4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12"/>
      <color indexed="8"/>
      <name val="Arial"/>
      <family val="2"/>
    </font>
    <font>
      <sz val="8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u/>
      <sz val="8"/>
      <color indexed="12"/>
      <name val="Arial"/>
      <family val="2"/>
    </font>
    <font>
      <b/>
      <u/>
      <sz val="10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10"/>
      <name val="Calibri"/>
      <family val="2"/>
    </font>
    <font>
      <b/>
      <i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 tint="0.59999389629810485"/>
      <name val="Calibri"/>
      <family val="2"/>
      <scheme val="minor"/>
    </font>
    <font>
      <b/>
      <sz val="11"/>
      <color theme="3"/>
      <name val="Verdana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rgb="FF7030A0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10"/>
      <color theme="4"/>
      <name val="Calibri"/>
      <family val="2"/>
      <scheme val="minor"/>
    </font>
  </fonts>
  <fills count="7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26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9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5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63">
    <xf numFmtId="0" fontId="0" fillId="0" borderId="0"/>
    <xf numFmtId="9" fontId="1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27" fillId="0" borderId="0"/>
    <xf numFmtId="0" fontId="27" fillId="0" borderId="0"/>
    <xf numFmtId="177" fontId="30" fillId="0" borderId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80" fontId="30" fillId="0" borderId="0"/>
    <xf numFmtId="181" fontId="35" fillId="0" borderId="0" applyFont="0" applyFill="0" applyBorder="0" applyAlignment="0" applyProtection="0"/>
    <xf numFmtId="0" fontId="31" fillId="0" borderId="0" applyFill="0" applyBorder="0" applyAlignment="0" applyProtection="0"/>
    <xf numFmtId="178" fontId="30" fillId="0" borderId="0"/>
    <xf numFmtId="0" fontId="36" fillId="10" borderId="0"/>
    <xf numFmtId="0" fontId="33" fillId="0" borderId="0"/>
    <xf numFmtId="0" fontId="30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5" fillId="0" borderId="0"/>
    <xf numFmtId="0" fontId="35" fillId="0" borderId="0"/>
    <xf numFmtId="0" fontId="29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3" fillId="0" borderId="0"/>
    <xf numFmtId="0" fontId="27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9" fontId="30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33" fillId="0" borderId="0" applyFont="0" applyFill="0" applyBorder="0" applyAlignment="0" applyProtection="0"/>
    <xf numFmtId="179" fontId="30" fillId="0" borderId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7" fillId="0" borderId="0"/>
    <xf numFmtId="0" fontId="32" fillId="0" borderId="0"/>
    <xf numFmtId="164" fontId="38" fillId="0" borderId="0" applyFont="0" applyFill="0" applyBorder="0" applyAlignment="0" applyProtection="0"/>
    <xf numFmtId="0" fontId="39" fillId="0" borderId="0" applyNumberFormat="0" applyFill="0" applyBorder="0" applyAlignment="0" applyProtection="0"/>
    <xf numFmtId="9" fontId="10" fillId="0" borderId="0" applyFont="0" applyFill="0" applyBorder="0" applyAlignment="0" applyProtection="0"/>
    <xf numFmtId="0" fontId="28" fillId="0" borderId="0"/>
    <xf numFmtId="177" fontId="28" fillId="0" borderId="0"/>
    <xf numFmtId="180" fontId="28" fillId="0" borderId="0"/>
    <xf numFmtId="178" fontId="28" fillId="0" borderId="0"/>
    <xf numFmtId="0" fontId="28" fillId="0" borderId="0"/>
    <xf numFmtId="9" fontId="28" fillId="0" borderId="0" applyFont="0" applyFill="0" applyBorder="0" applyAlignment="0" applyProtection="0"/>
    <xf numFmtId="179" fontId="28" fillId="0" borderId="0"/>
    <xf numFmtId="0" fontId="40" fillId="0" borderId="0"/>
    <xf numFmtId="0" fontId="9" fillId="0" borderId="0"/>
    <xf numFmtId="164" fontId="9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0" borderId="0" applyFont="0" applyFill="0" applyBorder="0" applyAlignment="0" applyProtection="0"/>
    <xf numFmtId="0" fontId="28" fillId="0" borderId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29" fillId="14" borderId="0" applyNumberFormat="0" applyBorder="0" applyAlignment="0" applyProtection="0"/>
    <xf numFmtId="0" fontId="29" fillId="17" borderId="0" applyNumberFormat="0" applyBorder="0" applyAlignment="0" applyProtection="0"/>
    <xf numFmtId="0" fontId="29" fillId="20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29" fillId="14" borderId="0" applyNumberFormat="0" applyBorder="0" applyAlignment="0" applyProtection="0"/>
    <xf numFmtId="0" fontId="29" fillId="17" borderId="0" applyNumberFormat="0" applyBorder="0" applyAlignment="0" applyProtection="0"/>
    <xf numFmtId="0" fontId="29" fillId="20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42" fillId="24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42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42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42" fillId="30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NumberFormat="0" applyBorder="0" applyAlignment="0" applyProtection="0"/>
    <xf numFmtId="0" fontId="42" fillId="33" borderId="0" applyNumberFormat="0" applyBorder="0" applyAlignment="0" applyProtection="0"/>
    <xf numFmtId="0" fontId="29" fillId="28" borderId="0" applyNumberFormat="0" applyBorder="0" applyAlignment="0" applyProtection="0"/>
    <xf numFmtId="0" fontId="29" fillId="34" borderId="0" applyNumberFormat="0" applyBorder="0" applyAlignment="0" applyProtection="0"/>
    <xf numFmtId="0" fontId="42" fillId="29" borderId="0" applyNumberFormat="0" applyBorder="0" applyAlignment="0" applyProtection="0"/>
    <xf numFmtId="0" fontId="29" fillId="35" borderId="0" applyNumberFormat="0" applyBorder="0" applyAlignment="0" applyProtection="0"/>
    <xf numFmtId="0" fontId="29" fillId="36" borderId="0" applyNumberFormat="0" applyBorder="0" applyAlignment="0" applyProtection="0"/>
    <xf numFmtId="0" fontId="42" fillId="27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NumberFormat="0" applyBorder="0" applyAlignment="0" applyProtection="0"/>
    <xf numFmtId="0" fontId="42" fillId="39" borderId="0" applyNumberFormat="0" applyBorder="0" applyAlignment="0" applyProtection="0"/>
    <xf numFmtId="0" fontId="43" fillId="0" borderId="0" applyNumberFormat="0" applyFill="0" applyBorder="0" applyAlignment="0" applyProtection="0"/>
    <xf numFmtId="0" fontId="28" fillId="10" borderId="10" applyNumberFormat="0" applyFont="0" applyAlignment="0" applyProtection="0"/>
    <xf numFmtId="0" fontId="29" fillId="10" borderId="10" applyNumberFormat="0" applyFont="0" applyAlignment="0" applyProtection="0"/>
    <xf numFmtId="0" fontId="44" fillId="40" borderId="11" applyNumberFormat="0" applyAlignment="0" applyProtection="0"/>
    <xf numFmtId="0" fontId="44" fillId="40" borderId="11" applyNumberFormat="0" applyAlignment="0" applyProtection="0"/>
    <xf numFmtId="183" fontId="45" fillId="41" borderId="12" applyAlignment="0">
      <protection locked="0"/>
    </xf>
    <xf numFmtId="0" fontId="46" fillId="13" borderId="0" applyNumberFormat="0" applyBorder="0" applyAlignment="0" applyProtection="0"/>
    <xf numFmtId="37" fontId="47" fillId="0" borderId="2">
      <alignment horizontal="center"/>
    </xf>
    <xf numFmtId="37" fontId="47" fillId="0" borderId="0">
      <alignment horizontal="center" vertical="center" wrapText="1"/>
    </xf>
    <xf numFmtId="164" fontId="28" fillId="0" borderId="0" applyFont="0" applyFill="0" applyBorder="0" applyAlignment="0" applyProtection="0"/>
    <xf numFmtId="0" fontId="48" fillId="12" borderId="0" applyNumberFormat="0" applyBorder="0" applyAlignment="0" applyProtection="0"/>
    <xf numFmtId="0" fontId="49" fillId="42" borderId="0" applyNumberFormat="0" applyBorder="0" applyAlignment="0" applyProtection="0"/>
    <xf numFmtId="0" fontId="49" fillId="43" borderId="0" applyNumberFormat="0" applyBorder="0" applyAlignment="0" applyProtection="0"/>
    <xf numFmtId="0" fontId="49" fillId="44" borderId="0" applyNumberFormat="0" applyBorder="0" applyAlignment="0" applyProtection="0"/>
    <xf numFmtId="181" fontId="28" fillId="0" borderId="0" applyFont="0" applyFill="0" applyBorder="0" applyAlignment="0" applyProtection="0"/>
    <xf numFmtId="0" fontId="50" fillId="45" borderId="0" applyNumberFormat="0" applyFont="0" applyBorder="0" applyAlignment="0" applyProtection="0"/>
    <xf numFmtId="0" fontId="51" fillId="0" borderId="0" applyNumberFormat="0" applyFill="0" applyBorder="0" applyAlignment="0" applyProtection="0"/>
    <xf numFmtId="184" fontId="52" fillId="0" borderId="0" applyFill="0" applyBorder="0"/>
    <xf numFmtId="15" fontId="31" fillId="0" borderId="0" applyFill="0" applyBorder="0" applyProtection="0">
      <alignment horizontal="center"/>
    </xf>
    <xf numFmtId="0" fontId="50" fillId="12" borderId="0" applyNumberFormat="0" applyFont="0" applyBorder="0" applyAlignment="0" applyProtection="0"/>
    <xf numFmtId="185" fontId="53" fillId="40" borderId="9" applyAlignment="0" applyProtection="0"/>
    <xf numFmtId="186" fontId="54" fillId="0" borderId="0" applyNumberFormat="0" applyFill="0" applyBorder="0" applyAlignment="0" applyProtection="0"/>
    <xf numFmtId="186" fontId="55" fillId="0" borderId="0" applyNumberFormat="0" applyFill="0" applyBorder="0" applyAlignment="0" applyProtection="0"/>
    <xf numFmtId="15" fontId="45" fillId="46" borderId="13">
      <alignment horizontal="center"/>
      <protection locked="0"/>
    </xf>
    <xf numFmtId="187" fontId="45" fillId="46" borderId="13" applyAlignment="0">
      <protection locked="0"/>
    </xf>
    <xf numFmtId="186" fontId="45" fillId="46" borderId="13" applyAlignment="0">
      <protection locked="0"/>
    </xf>
    <xf numFmtId="186" fontId="31" fillId="0" borderId="0" applyFill="0" applyBorder="0" applyAlignment="0" applyProtection="0"/>
    <xf numFmtId="187" fontId="31" fillId="0" borderId="0" applyFill="0" applyBorder="0" applyAlignment="0" applyProtection="0"/>
    <xf numFmtId="188" fontId="31" fillId="0" borderId="0" applyFill="0" applyBorder="0" applyAlignment="0" applyProtection="0"/>
    <xf numFmtId="0" fontId="50" fillId="0" borderId="14" applyNumberFormat="0" applyFont="0" applyAlignment="0" applyProtection="0"/>
    <xf numFmtId="0" fontId="50" fillId="0" borderId="15" applyNumberFormat="0" applyFont="0" applyAlignment="0" applyProtection="0"/>
    <xf numFmtId="0" fontId="50" fillId="19" borderId="0" applyNumberFormat="0" applyFon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42" fillId="50" borderId="0" applyNumberFormat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0" fillId="0" borderId="0" applyFont="0" applyFill="0" applyBorder="0" applyAlignment="0" applyProtection="0"/>
    <xf numFmtId="0" fontId="46" fillId="13" borderId="0" applyNumberFormat="0" applyBorder="0" applyAlignment="0" applyProtection="0"/>
    <xf numFmtId="0" fontId="57" fillId="16" borderId="11" applyNumberFormat="0" applyAlignment="0" applyProtection="0"/>
    <xf numFmtId="0" fontId="58" fillId="45" borderId="16" applyNumberFormat="0" applyAlignment="0" applyProtection="0"/>
    <xf numFmtId="0" fontId="58" fillId="45" borderId="16" applyNumberFormat="0" applyAlignment="0" applyProtection="0"/>
    <xf numFmtId="0" fontId="59" fillId="0" borderId="17" applyNumberFormat="0" applyFill="0" applyAlignment="0" applyProtection="0"/>
    <xf numFmtId="37" fontId="60" fillId="0" borderId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42" fillId="50" borderId="0" applyNumberFormat="0" applyBorder="0" applyAlignment="0" applyProtection="0"/>
    <xf numFmtId="186" fontId="28" fillId="45" borderId="0"/>
    <xf numFmtId="186" fontId="51" fillId="0" borderId="0"/>
    <xf numFmtId="184" fontId="52" fillId="0" borderId="0"/>
    <xf numFmtId="15" fontId="31" fillId="0" borderId="0">
      <alignment horizontal="center"/>
    </xf>
    <xf numFmtId="186" fontId="28" fillId="12" borderId="0"/>
    <xf numFmtId="185" fontId="53" fillId="40" borderId="9"/>
    <xf numFmtId="186" fontId="54" fillId="0" borderId="0"/>
    <xf numFmtId="186" fontId="55" fillId="0" borderId="0"/>
    <xf numFmtId="15" fontId="45" fillId="46" borderId="13">
      <alignment horizontal="center"/>
      <protection locked="0"/>
    </xf>
    <xf numFmtId="187" fontId="45" fillId="46" borderId="13">
      <protection locked="0"/>
    </xf>
    <xf numFmtId="186" fontId="45" fillId="46" borderId="13">
      <protection locked="0"/>
    </xf>
    <xf numFmtId="186" fontId="31" fillId="0" borderId="0"/>
    <xf numFmtId="187" fontId="31" fillId="0" borderId="0"/>
    <xf numFmtId="188" fontId="31" fillId="0" borderId="0"/>
    <xf numFmtId="186" fontId="28" fillId="0" borderId="14"/>
    <xf numFmtId="186" fontId="28" fillId="0" borderId="15"/>
    <xf numFmtId="186" fontId="28" fillId="19" borderId="0"/>
    <xf numFmtId="0" fontId="28" fillId="0" borderId="0"/>
    <xf numFmtId="0" fontId="61" fillId="0" borderId="18" applyNumberFormat="0" applyFill="0" applyAlignment="0" applyProtection="0"/>
    <xf numFmtId="0" fontId="62" fillId="0" borderId="19" applyNumberFormat="0" applyFill="0" applyAlignment="0" applyProtection="0"/>
    <xf numFmtId="0" fontId="63" fillId="0" borderId="20" applyNumberFormat="0" applyFill="0" applyAlignment="0" applyProtection="0"/>
    <xf numFmtId="0" fontId="63" fillId="0" borderId="0" applyNumberFormat="0" applyFill="0" applyBorder="0" applyAlignment="0" applyProtection="0"/>
    <xf numFmtId="9" fontId="29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1" fillId="0" borderId="18" applyNumberFormat="0" applyFill="0" applyAlignment="0" applyProtection="0"/>
    <xf numFmtId="0" fontId="62" fillId="0" borderId="19" applyNumberFormat="0" applyFill="0" applyAlignment="0" applyProtection="0"/>
    <xf numFmtId="0" fontId="63" fillId="0" borderId="20" applyNumberFormat="0" applyFill="0" applyAlignment="0" applyProtection="0"/>
    <xf numFmtId="0" fontId="63" fillId="0" borderId="0" applyNumberFormat="0" applyFill="0" applyBorder="0" applyAlignment="0" applyProtection="0"/>
    <xf numFmtId="0" fontId="59" fillId="0" borderId="17" applyNumberFormat="0" applyFill="0" applyAlignment="0" applyProtection="0"/>
    <xf numFmtId="4" fontId="53" fillId="41" borderId="21" applyNumberFormat="0" applyProtection="0">
      <alignment vertical="center"/>
    </xf>
    <xf numFmtId="4" fontId="65" fillId="41" borderId="21" applyNumberFormat="0" applyProtection="0">
      <alignment vertical="center"/>
    </xf>
    <xf numFmtId="4" fontId="66" fillId="41" borderId="21" applyNumberFormat="0" applyProtection="0">
      <alignment horizontal="left" vertical="center" indent="1"/>
    </xf>
    <xf numFmtId="0" fontId="67" fillId="46" borderId="21" applyNumberFormat="0" applyProtection="0">
      <alignment horizontal="left" vertical="top" indent="1"/>
    </xf>
    <xf numFmtId="4" fontId="66" fillId="51" borderId="0" applyNumberFormat="0" applyProtection="0">
      <alignment horizontal="left" vertical="center" indent="1"/>
    </xf>
    <xf numFmtId="4" fontId="66" fillId="52" borderId="21" applyNumberFormat="0" applyProtection="0">
      <alignment horizontal="right" vertical="center"/>
    </xf>
    <xf numFmtId="4" fontId="66" fillId="53" borderId="21" applyNumberFormat="0" applyProtection="0">
      <alignment horizontal="right" vertical="center"/>
    </xf>
    <xf numFmtId="4" fontId="66" fillId="54" borderId="21" applyNumberFormat="0" applyProtection="0">
      <alignment horizontal="right" vertical="center"/>
    </xf>
    <xf numFmtId="4" fontId="66" fillId="55" borderId="21" applyNumberFormat="0" applyProtection="0">
      <alignment horizontal="right" vertical="center"/>
    </xf>
    <xf numFmtId="4" fontId="66" fillId="56" borderId="21" applyNumberFormat="0" applyProtection="0">
      <alignment horizontal="right" vertical="center"/>
    </xf>
    <xf numFmtId="4" fontId="66" fillId="57" borderId="21" applyNumberFormat="0" applyProtection="0">
      <alignment horizontal="right" vertical="center"/>
    </xf>
    <xf numFmtId="4" fontId="66" fillId="58" borderId="21" applyNumberFormat="0" applyProtection="0">
      <alignment horizontal="right" vertical="center"/>
    </xf>
    <xf numFmtId="4" fontId="66" fillId="59" borderId="21" applyNumberFormat="0" applyProtection="0">
      <alignment horizontal="right" vertical="center"/>
    </xf>
    <xf numFmtId="4" fontId="66" fillId="60" borderId="21" applyNumberFormat="0" applyProtection="0">
      <alignment horizontal="right" vertical="center"/>
    </xf>
    <xf numFmtId="4" fontId="53" fillId="61" borderId="22" applyNumberFormat="0" applyProtection="0">
      <alignment horizontal="left" vertical="center" indent="1"/>
    </xf>
    <xf numFmtId="4" fontId="53" fillId="62" borderId="0" applyNumberFormat="0" applyProtection="0">
      <alignment horizontal="left" vertical="center" indent="1"/>
    </xf>
    <xf numFmtId="4" fontId="53" fillId="51" borderId="0" applyNumberFormat="0" applyProtection="0">
      <alignment horizontal="left" vertical="center" indent="1"/>
    </xf>
    <xf numFmtId="4" fontId="66" fillId="62" borderId="21" applyNumberFormat="0" applyProtection="0">
      <alignment horizontal="right" vertical="center"/>
    </xf>
    <xf numFmtId="4" fontId="31" fillId="62" borderId="0" applyNumberFormat="0" applyProtection="0">
      <alignment horizontal="left" vertical="center" indent="1"/>
    </xf>
    <xf numFmtId="4" fontId="31" fillId="51" borderId="0" applyNumberFormat="0" applyProtection="0">
      <alignment horizontal="left" vertical="center" indent="1"/>
    </xf>
    <xf numFmtId="0" fontId="68" fillId="40" borderId="23" applyNumberFormat="0" applyProtection="0">
      <alignment horizontal="left" vertical="center" indent="1"/>
    </xf>
    <xf numFmtId="0" fontId="68" fillId="63" borderId="21" applyNumberFormat="0" applyProtection="0">
      <alignment horizontal="left" vertical="top" indent="1"/>
    </xf>
    <xf numFmtId="0" fontId="68" fillId="64" borderId="23" applyNumberFormat="0" applyProtection="0">
      <alignment horizontal="left" vertical="center" indent="1"/>
    </xf>
    <xf numFmtId="0" fontId="68" fillId="65" borderId="21" applyNumberFormat="0" applyProtection="0">
      <alignment horizontal="left" vertical="top" indent="1"/>
    </xf>
    <xf numFmtId="0" fontId="68" fillId="17" borderId="23" applyNumberFormat="0" applyProtection="0">
      <alignment horizontal="left" vertical="center" indent="1"/>
    </xf>
    <xf numFmtId="0" fontId="68" fillId="17" borderId="21" applyNumberFormat="0" applyProtection="0">
      <alignment horizontal="left" vertical="top" indent="1"/>
    </xf>
    <xf numFmtId="0" fontId="68" fillId="66" borderId="23" applyNumberFormat="0" applyProtection="0">
      <alignment horizontal="left" vertical="center" indent="1"/>
    </xf>
    <xf numFmtId="0" fontId="68" fillId="66" borderId="21" applyNumberFormat="0" applyProtection="0">
      <alignment horizontal="left" vertical="top" indent="1"/>
    </xf>
    <xf numFmtId="0" fontId="68" fillId="67" borderId="24" applyNumberFormat="0">
      <protection locked="0"/>
    </xf>
    <xf numFmtId="0" fontId="69" fillId="63" borderId="25" applyBorder="0"/>
    <xf numFmtId="4" fontId="66" fillId="68" borderId="21" applyNumberFormat="0" applyProtection="0">
      <alignment vertical="center"/>
    </xf>
    <xf numFmtId="4" fontId="70" fillId="68" borderId="21" applyNumberFormat="0" applyProtection="0">
      <alignment vertical="center"/>
    </xf>
    <xf numFmtId="4" fontId="53" fillId="62" borderId="26" applyNumberFormat="0" applyProtection="0">
      <alignment horizontal="left" vertical="center" indent="1"/>
    </xf>
    <xf numFmtId="0" fontId="71" fillId="10" borderId="21" applyNumberFormat="0" applyProtection="0">
      <alignment horizontal="left" vertical="top" indent="1"/>
    </xf>
    <xf numFmtId="4" fontId="66" fillId="68" borderId="21" applyNumberFormat="0" applyProtection="0">
      <alignment horizontal="right" vertical="center"/>
    </xf>
    <xf numFmtId="4" fontId="70" fillId="68" borderId="21" applyNumberFormat="0" applyProtection="0">
      <alignment horizontal="right" vertical="center"/>
    </xf>
    <xf numFmtId="4" fontId="53" fillId="62" borderId="21" applyNumberFormat="0" applyProtection="0">
      <alignment horizontal="left" vertical="center" indent="1"/>
    </xf>
    <xf numFmtId="0" fontId="71" fillId="65" borderId="21" applyNumberFormat="0" applyProtection="0">
      <alignment horizontal="left" vertical="top" indent="1"/>
    </xf>
    <xf numFmtId="4" fontId="72" fillId="69" borderId="26" applyNumberFormat="0" applyProtection="0">
      <alignment horizontal="left" vertical="center" indent="1"/>
    </xf>
    <xf numFmtId="0" fontId="68" fillId="70" borderId="12"/>
    <xf numFmtId="4" fontId="73" fillId="68" borderId="21" applyNumberFormat="0" applyProtection="0">
      <alignment horizontal="right" vertical="center"/>
    </xf>
    <xf numFmtId="0" fontId="74" fillId="0" borderId="0" applyNumberFormat="0" applyFill="0" applyBorder="0" applyAlignment="0" applyProtection="0"/>
    <xf numFmtId="0" fontId="28" fillId="0" borderId="0"/>
    <xf numFmtId="37" fontId="47" fillId="0" borderId="27" applyNumberFormat="0"/>
    <xf numFmtId="0" fontId="49" fillId="0" borderId="28" applyNumberFormat="0" applyFill="0" applyAlignment="0" applyProtection="0"/>
    <xf numFmtId="49" fontId="50" fillId="0" borderId="0" applyFont="0" applyFill="0" applyBorder="0" applyAlignment="0" applyProtection="0"/>
    <xf numFmtId="0" fontId="64" fillId="0" borderId="0" applyNumberFormat="0" applyFill="0" applyBorder="0" applyAlignment="0" applyProtection="0"/>
    <xf numFmtId="37" fontId="47" fillId="0" borderId="29" applyNumberFormat="0" applyFill="0"/>
    <xf numFmtId="0" fontId="48" fillId="12" borderId="0" applyNumberFormat="0" applyBorder="0" applyAlignment="0" applyProtection="0"/>
    <xf numFmtId="0" fontId="75" fillId="40" borderId="30" applyNumberFormat="0" applyAlignment="0" applyProtection="0"/>
    <xf numFmtId="0" fontId="43" fillId="0" borderId="0" applyNumberFormat="0" applyFill="0" applyBorder="0" applyAlignment="0" applyProtection="0"/>
    <xf numFmtId="9" fontId="40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29" fillId="14" borderId="0" applyNumberFormat="0" applyBorder="0" applyAlignment="0" applyProtection="0"/>
    <xf numFmtId="0" fontId="29" fillId="17" borderId="0" applyNumberFormat="0" applyBorder="0" applyAlignment="0" applyProtection="0"/>
    <xf numFmtId="0" fontId="29" fillId="20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9" fillId="10" borderId="10" applyNumberFormat="0" applyFont="0" applyAlignment="0" applyProtection="0"/>
    <xf numFmtId="0" fontId="29" fillId="10" borderId="10" applyNumberFormat="0" applyFont="0" applyAlignment="0" applyProtection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41" fillId="0" borderId="0"/>
    <xf numFmtId="164" fontId="40" fillId="0" borderId="0" applyFont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0" fontId="7" fillId="0" borderId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86" fontId="28" fillId="0" borderId="0" applyFill="0" applyBorder="0" applyAlignment="0" applyProtection="0"/>
    <xf numFmtId="15" fontId="45" fillId="46" borderId="13">
      <alignment horizontal="center"/>
      <protection locked="0"/>
    </xf>
    <xf numFmtId="186" fontId="28" fillId="0" borderId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5" fontId="45" fillId="46" borderId="31">
      <alignment horizontal="center"/>
      <protection locked="0"/>
    </xf>
    <xf numFmtId="187" fontId="45" fillId="46" borderId="31" applyAlignment="0">
      <protection locked="0"/>
    </xf>
    <xf numFmtId="186" fontId="45" fillId="46" borderId="31" applyAlignment="0">
      <protection locked="0"/>
    </xf>
    <xf numFmtId="15" fontId="45" fillId="46" borderId="31">
      <alignment horizontal="center"/>
      <protection locked="0"/>
    </xf>
    <xf numFmtId="187" fontId="45" fillId="46" borderId="31">
      <protection locked="0"/>
    </xf>
    <xf numFmtId="186" fontId="45" fillId="46" borderId="31">
      <protection locked="0"/>
    </xf>
    <xf numFmtId="9" fontId="5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5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64" fontId="38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4" fontId="66" fillId="62" borderId="51" applyNumberFormat="0" applyProtection="0">
      <alignment horizontal="right" vertical="center"/>
    </xf>
    <xf numFmtId="4" fontId="66" fillId="60" borderId="51" applyNumberFormat="0" applyProtection="0">
      <alignment horizontal="right" vertical="center"/>
    </xf>
    <xf numFmtId="4" fontId="66" fillId="59" borderId="51" applyNumberFormat="0" applyProtection="0">
      <alignment horizontal="right" vertical="center"/>
    </xf>
    <xf numFmtId="4" fontId="66" fillId="58" borderId="51" applyNumberFormat="0" applyProtection="0">
      <alignment horizontal="right" vertical="center"/>
    </xf>
    <xf numFmtId="4" fontId="66" fillId="57" borderId="51" applyNumberFormat="0" applyProtection="0">
      <alignment horizontal="right" vertical="center"/>
    </xf>
    <xf numFmtId="4" fontId="66" fillId="56" borderId="51" applyNumberFormat="0" applyProtection="0">
      <alignment horizontal="right" vertical="center"/>
    </xf>
    <xf numFmtId="4" fontId="66" fillId="55" borderId="51" applyNumberFormat="0" applyProtection="0">
      <alignment horizontal="right" vertical="center"/>
    </xf>
    <xf numFmtId="4" fontId="66" fillId="54" borderId="51" applyNumberFormat="0" applyProtection="0">
      <alignment horizontal="right" vertical="center"/>
    </xf>
    <xf numFmtId="4" fontId="66" fillId="53" borderId="51" applyNumberFormat="0" applyProtection="0">
      <alignment horizontal="right" vertical="center"/>
    </xf>
    <xf numFmtId="4" fontId="66" fillId="52" borderId="51" applyNumberFormat="0" applyProtection="0">
      <alignment horizontal="right" vertical="center"/>
    </xf>
    <xf numFmtId="0" fontId="67" fillId="46" borderId="51" applyNumberFormat="0" applyProtection="0">
      <alignment horizontal="left" vertical="top" indent="1"/>
    </xf>
    <xf numFmtId="4" fontId="66" fillId="41" borderId="51" applyNumberFormat="0" applyProtection="0">
      <alignment horizontal="left" vertical="center" indent="1"/>
    </xf>
    <xf numFmtId="4" fontId="65" fillId="41" borderId="51" applyNumberFormat="0" applyProtection="0">
      <alignment vertical="center"/>
    </xf>
    <xf numFmtId="4" fontId="53" fillId="41" borderId="51" applyNumberFormat="0" applyProtection="0">
      <alignment vertical="center"/>
    </xf>
    <xf numFmtId="186" fontId="28" fillId="0" borderId="50"/>
    <xf numFmtId="186" fontId="28" fillId="0" borderId="49"/>
    <xf numFmtId="185" fontId="53" fillId="40" borderId="46"/>
    <xf numFmtId="0" fontId="57" fillId="16" borderId="48" applyNumberFormat="0" applyAlignment="0" applyProtection="0"/>
    <xf numFmtId="0" fontId="50" fillId="0" borderId="50" applyNumberFormat="0" applyFont="0" applyAlignment="0" applyProtection="0"/>
    <xf numFmtId="0" fontId="50" fillId="0" borderId="49" applyNumberFormat="0" applyFont="0" applyAlignment="0" applyProtection="0"/>
    <xf numFmtId="185" fontId="53" fillId="40" borderId="46" applyAlignment="0" applyProtection="0"/>
    <xf numFmtId="0" fontId="44" fillId="40" borderId="48" applyNumberFormat="0" applyAlignment="0" applyProtection="0"/>
    <xf numFmtId="0" fontId="44" fillId="40" borderId="48" applyNumberFormat="0" applyAlignment="0" applyProtection="0"/>
    <xf numFmtId="0" fontId="29" fillId="10" borderId="47" applyNumberFormat="0" applyFont="0" applyAlignment="0" applyProtection="0"/>
    <xf numFmtId="0" fontId="28" fillId="10" borderId="47" applyNumberFormat="0" applyFont="0" applyAlignment="0" applyProtection="0"/>
    <xf numFmtId="0" fontId="28" fillId="10" borderId="35" applyNumberFormat="0" applyFont="0" applyAlignment="0" applyProtection="0"/>
    <xf numFmtId="0" fontId="29" fillId="10" borderId="35" applyNumberFormat="0" applyFont="0" applyAlignment="0" applyProtection="0"/>
    <xf numFmtId="0" fontId="44" fillId="40" borderId="36" applyNumberFormat="0" applyAlignment="0" applyProtection="0"/>
    <xf numFmtId="0" fontId="44" fillId="40" borderId="36" applyNumberFormat="0" applyAlignment="0" applyProtection="0"/>
    <xf numFmtId="164" fontId="28" fillId="0" borderId="0" applyFont="0" applyFill="0" applyBorder="0" applyAlignment="0" applyProtection="0"/>
    <xf numFmtId="185" fontId="53" fillId="40" borderId="32" applyAlignment="0" applyProtection="0"/>
    <xf numFmtId="0" fontId="50" fillId="0" borderId="37" applyNumberFormat="0" applyFont="0" applyAlignment="0" applyProtection="0"/>
    <xf numFmtId="0" fontId="50" fillId="0" borderId="38" applyNumberFormat="0" applyFont="0" applyAlignment="0" applyProtection="0"/>
    <xf numFmtId="0" fontId="57" fillId="16" borderId="36" applyNumberFormat="0" applyAlignment="0" applyProtection="0"/>
    <xf numFmtId="185" fontId="53" fillId="40" borderId="32"/>
    <xf numFmtId="186" fontId="28" fillId="0" borderId="37"/>
    <xf numFmtId="186" fontId="28" fillId="0" borderId="38"/>
    <xf numFmtId="4" fontId="53" fillId="41" borderId="39" applyNumberFormat="0" applyProtection="0">
      <alignment vertical="center"/>
    </xf>
    <xf numFmtId="4" fontId="65" fillId="41" borderId="39" applyNumberFormat="0" applyProtection="0">
      <alignment vertical="center"/>
    </xf>
    <xf numFmtId="4" fontId="66" fillId="41" borderId="39" applyNumberFormat="0" applyProtection="0">
      <alignment horizontal="left" vertical="center" indent="1"/>
    </xf>
    <xf numFmtId="0" fontId="67" fillId="46" borderId="39" applyNumberFormat="0" applyProtection="0">
      <alignment horizontal="left" vertical="top" indent="1"/>
    </xf>
    <xf numFmtId="4" fontId="66" fillId="52" borderId="39" applyNumberFormat="0" applyProtection="0">
      <alignment horizontal="right" vertical="center"/>
    </xf>
    <xf numFmtId="4" fontId="66" fillId="53" borderId="39" applyNumberFormat="0" applyProtection="0">
      <alignment horizontal="right" vertical="center"/>
    </xf>
    <xf numFmtId="4" fontId="66" fillId="54" borderId="39" applyNumberFormat="0" applyProtection="0">
      <alignment horizontal="right" vertical="center"/>
    </xf>
    <xf numFmtId="4" fontId="66" fillId="55" borderId="39" applyNumberFormat="0" applyProtection="0">
      <alignment horizontal="right" vertical="center"/>
    </xf>
    <xf numFmtId="4" fontId="66" fillId="56" borderId="39" applyNumberFormat="0" applyProtection="0">
      <alignment horizontal="right" vertical="center"/>
    </xf>
    <xf numFmtId="4" fontId="66" fillId="57" borderId="39" applyNumberFormat="0" applyProtection="0">
      <alignment horizontal="right" vertical="center"/>
    </xf>
    <xf numFmtId="4" fontId="66" fillId="58" borderId="39" applyNumberFormat="0" applyProtection="0">
      <alignment horizontal="right" vertical="center"/>
    </xf>
    <xf numFmtId="4" fontId="66" fillId="59" borderId="39" applyNumberFormat="0" applyProtection="0">
      <alignment horizontal="right" vertical="center"/>
    </xf>
    <xf numFmtId="4" fontId="66" fillId="60" borderId="39" applyNumberFormat="0" applyProtection="0">
      <alignment horizontal="right" vertical="center"/>
    </xf>
    <xf numFmtId="4" fontId="66" fillId="62" borderId="39" applyNumberFormat="0" applyProtection="0">
      <alignment horizontal="right" vertical="center"/>
    </xf>
    <xf numFmtId="0" fontId="68" fillId="40" borderId="40" applyNumberFormat="0" applyProtection="0">
      <alignment horizontal="left" vertical="center" indent="1"/>
    </xf>
    <xf numFmtId="0" fontId="68" fillId="63" borderId="39" applyNumberFormat="0" applyProtection="0">
      <alignment horizontal="left" vertical="top" indent="1"/>
    </xf>
    <xf numFmtId="0" fontId="68" fillId="64" borderId="40" applyNumberFormat="0" applyProtection="0">
      <alignment horizontal="left" vertical="center" indent="1"/>
    </xf>
    <xf numFmtId="0" fontId="68" fillId="65" borderId="39" applyNumberFormat="0" applyProtection="0">
      <alignment horizontal="left" vertical="top" indent="1"/>
    </xf>
    <xf numFmtId="0" fontId="68" fillId="17" borderId="40" applyNumberFormat="0" applyProtection="0">
      <alignment horizontal="left" vertical="center" indent="1"/>
    </xf>
    <xf numFmtId="0" fontId="68" fillId="17" borderId="39" applyNumberFormat="0" applyProtection="0">
      <alignment horizontal="left" vertical="top" indent="1"/>
    </xf>
    <xf numFmtId="0" fontId="68" fillId="66" borderId="40" applyNumberFormat="0" applyProtection="0">
      <alignment horizontal="left" vertical="center" indent="1"/>
    </xf>
    <xf numFmtId="0" fontId="68" fillId="66" borderId="39" applyNumberFormat="0" applyProtection="0">
      <alignment horizontal="left" vertical="top" indent="1"/>
    </xf>
    <xf numFmtId="0" fontId="69" fillId="63" borderId="41" applyBorder="0"/>
    <xf numFmtId="4" fontId="66" fillId="68" borderId="39" applyNumberFormat="0" applyProtection="0">
      <alignment vertical="center"/>
    </xf>
    <xf numFmtId="4" fontId="70" fillId="68" borderId="39" applyNumberFormat="0" applyProtection="0">
      <alignment vertical="center"/>
    </xf>
    <xf numFmtId="4" fontId="53" fillId="62" borderId="42" applyNumberFormat="0" applyProtection="0">
      <alignment horizontal="left" vertical="center" indent="1"/>
    </xf>
    <xf numFmtId="0" fontId="71" fillId="10" borderId="39" applyNumberFormat="0" applyProtection="0">
      <alignment horizontal="left" vertical="top" indent="1"/>
    </xf>
    <xf numFmtId="4" fontId="66" fillId="68" borderId="39" applyNumberFormat="0" applyProtection="0">
      <alignment horizontal="right" vertical="center"/>
    </xf>
    <xf numFmtId="4" fontId="70" fillId="68" borderId="39" applyNumberFormat="0" applyProtection="0">
      <alignment horizontal="right" vertical="center"/>
    </xf>
    <xf numFmtId="4" fontId="53" fillId="62" borderId="39" applyNumberFormat="0" applyProtection="0">
      <alignment horizontal="left" vertical="center" indent="1"/>
    </xf>
    <xf numFmtId="0" fontId="71" fillId="65" borderId="39" applyNumberFormat="0" applyProtection="0">
      <alignment horizontal="left" vertical="top" indent="1"/>
    </xf>
    <xf numFmtId="4" fontId="72" fillId="69" borderId="42" applyNumberFormat="0" applyProtection="0">
      <alignment horizontal="left" vertical="center" indent="1"/>
    </xf>
    <xf numFmtId="4" fontId="73" fillId="68" borderId="39" applyNumberFormat="0" applyProtection="0">
      <alignment horizontal="right" vertical="center"/>
    </xf>
    <xf numFmtId="37" fontId="47" fillId="0" borderId="43" applyNumberFormat="0"/>
    <xf numFmtId="0" fontId="49" fillId="0" borderId="44" applyNumberFormat="0" applyFill="0" applyAlignment="0" applyProtection="0"/>
    <xf numFmtId="0" fontId="75" fillId="40" borderId="45" applyNumberFormat="0" applyAlignment="0" applyProtection="0"/>
    <xf numFmtId="0" fontId="29" fillId="10" borderId="35" applyNumberFormat="0" applyFont="0" applyAlignment="0" applyProtection="0"/>
    <xf numFmtId="0" fontId="29" fillId="10" borderId="35" applyNumberFormat="0" applyFont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164" fontId="40" fillId="0" borderId="0" applyFont="0" applyFill="0" applyBorder="0" applyAlignment="0" applyProtection="0"/>
    <xf numFmtId="0" fontId="5" fillId="0" borderId="0"/>
    <xf numFmtId="15" fontId="45" fillId="46" borderId="31">
      <alignment horizontal="center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68" fillId="40" borderId="52" applyNumberFormat="0" applyProtection="0">
      <alignment horizontal="left" vertical="center" indent="1"/>
    </xf>
    <xf numFmtId="0" fontId="68" fillId="63" borderId="51" applyNumberFormat="0" applyProtection="0">
      <alignment horizontal="left" vertical="top" indent="1"/>
    </xf>
    <xf numFmtId="0" fontId="68" fillId="64" borderId="52" applyNumberFormat="0" applyProtection="0">
      <alignment horizontal="left" vertical="center" indent="1"/>
    </xf>
    <xf numFmtId="0" fontId="68" fillId="65" borderId="51" applyNumberFormat="0" applyProtection="0">
      <alignment horizontal="left" vertical="top" indent="1"/>
    </xf>
    <xf numFmtId="0" fontId="68" fillId="17" borderId="52" applyNumberFormat="0" applyProtection="0">
      <alignment horizontal="left" vertical="center" indent="1"/>
    </xf>
    <xf numFmtId="0" fontId="68" fillId="17" borderId="51" applyNumberFormat="0" applyProtection="0">
      <alignment horizontal="left" vertical="top" indent="1"/>
    </xf>
    <xf numFmtId="0" fontId="68" fillId="66" borderId="52" applyNumberFormat="0" applyProtection="0">
      <alignment horizontal="left" vertical="center" indent="1"/>
    </xf>
    <xf numFmtId="0" fontId="68" fillId="66" borderId="51" applyNumberFormat="0" applyProtection="0">
      <alignment horizontal="left" vertical="top" indent="1"/>
    </xf>
    <xf numFmtId="0" fontId="69" fillId="63" borderId="53" applyBorder="0"/>
    <xf numFmtId="4" fontId="66" fillId="68" borderId="51" applyNumberFormat="0" applyProtection="0">
      <alignment vertical="center"/>
    </xf>
    <xf numFmtId="4" fontId="70" fillId="68" borderId="51" applyNumberFormat="0" applyProtection="0">
      <alignment vertical="center"/>
    </xf>
    <xf numFmtId="4" fontId="53" fillId="62" borderId="54" applyNumberFormat="0" applyProtection="0">
      <alignment horizontal="left" vertical="center" indent="1"/>
    </xf>
    <xf numFmtId="0" fontId="71" fillId="10" borderId="51" applyNumberFormat="0" applyProtection="0">
      <alignment horizontal="left" vertical="top" indent="1"/>
    </xf>
    <xf numFmtId="4" fontId="66" fillId="68" borderId="51" applyNumberFormat="0" applyProtection="0">
      <alignment horizontal="right" vertical="center"/>
    </xf>
    <xf numFmtId="4" fontId="70" fillId="68" borderId="51" applyNumberFormat="0" applyProtection="0">
      <alignment horizontal="right" vertical="center"/>
    </xf>
    <xf numFmtId="4" fontId="53" fillId="62" borderId="51" applyNumberFormat="0" applyProtection="0">
      <alignment horizontal="left" vertical="center" indent="1"/>
    </xf>
    <xf numFmtId="0" fontId="71" fillId="65" borderId="51" applyNumberFormat="0" applyProtection="0">
      <alignment horizontal="left" vertical="top" indent="1"/>
    </xf>
    <xf numFmtId="4" fontId="72" fillId="69" borderId="54" applyNumberFormat="0" applyProtection="0">
      <alignment horizontal="left" vertical="center" indent="1"/>
    </xf>
    <xf numFmtId="4" fontId="73" fillId="68" borderId="51" applyNumberFormat="0" applyProtection="0">
      <alignment horizontal="right" vertical="center"/>
    </xf>
    <xf numFmtId="37" fontId="47" fillId="0" borderId="55" applyNumberFormat="0"/>
    <xf numFmtId="0" fontId="49" fillId="0" borderId="56" applyNumberFormat="0" applyFill="0" applyAlignment="0" applyProtection="0"/>
    <xf numFmtId="0" fontId="75" fillId="40" borderId="57" applyNumberFormat="0" applyAlignment="0" applyProtection="0"/>
    <xf numFmtId="0" fontId="29" fillId="10" borderId="47" applyNumberFormat="0" applyFont="0" applyAlignment="0" applyProtection="0"/>
    <xf numFmtId="0" fontId="29" fillId="10" borderId="47" applyNumberFormat="0" applyFont="0" applyAlignment="0" applyProtection="0"/>
    <xf numFmtId="9" fontId="3" fillId="0" borderId="0" applyFont="0" applyFill="0" applyBorder="0" applyAlignment="0" applyProtection="0"/>
    <xf numFmtId="0" fontId="83" fillId="0" borderId="0" applyNumberFormat="0" applyFill="0" applyBorder="0" applyAlignment="0" applyProtection="0"/>
    <xf numFmtId="0" fontId="2" fillId="0" borderId="0"/>
    <xf numFmtId="0" fontId="38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</cellStyleXfs>
  <cellXfs count="297">
    <xf numFmtId="0" fontId="0" fillId="0" borderId="0" xfId="0"/>
    <xf numFmtId="173" fontId="13" fillId="0" borderId="0" xfId="0" applyNumberFormat="1" applyFont="1" applyAlignment="1">
      <alignment vertical="center"/>
    </xf>
    <xf numFmtId="0" fontId="12" fillId="9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169" fontId="12" fillId="0" borderId="0" xfId="0" applyNumberFormat="1" applyFont="1" applyAlignment="1">
      <alignment vertical="center"/>
    </xf>
    <xf numFmtId="169" fontId="12" fillId="0" borderId="0" xfId="0" applyNumberFormat="1" applyFont="1" applyAlignment="1">
      <alignment horizontal="left" vertical="center"/>
    </xf>
    <xf numFmtId="169" fontId="12" fillId="0" borderId="0" xfId="0" applyNumberFormat="1" applyFont="1" applyAlignment="1">
      <alignment horizontal="center" vertical="center"/>
    </xf>
    <xf numFmtId="169" fontId="12" fillId="0" borderId="1" xfId="0" applyNumberFormat="1" applyFont="1" applyBorder="1" applyAlignment="1">
      <alignment vertical="center"/>
    </xf>
    <xf numFmtId="169" fontId="12" fillId="0" borderId="0" xfId="0" applyNumberFormat="1" applyFont="1" applyBorder="1" applyAlignment="1">
      <alignment vertical="center"/>
    </xf>
    <xf numFmtId="169" fontId="12" fillId="0" borderId="4" xfId="0" applyNumberFormat="1" applyFont="1" applyBorder="1" applyAlignment="1">
      <alignment vertical="center"/>
    </xf>
    <xf numFmtId="170" fontId="13" fillId="4" borderId="0" xfId="0" applyNumberFormat="1" applyFont="1" applyFill="1" applyBorder="1" applyAlignment="1">
      <alignment vertical="center"/>
    </xf>
    <xf numFmtId="14" fontId="13" fillId="4" borderId="0" xfId="0" applyNumberFormat="1" applyFont="1" applyFill="1" applyBorder="1" applyAlignment="1">
      <alignment vertical="center"/>
    </xf>
    <xf numFmtId="169" fontId="12" fillId="2" borderId="0" xfId="0" applyNumberFormat="1" applyFont="1" applyFill="1" applyAlignment="1">
      <alignment vertical="center"/>
    </xf>
    <xf numFmtId="169" fontId="12" fillId="2" borderId="0" xfId="0" applyNumberFormat="1" applyFont="1" applyFill="1" applyBorder="1" applyAlignment="1">
      <alignment vertical="center"/>
    </xf>
    <xf numFmtId="169" fontId="16" fillId="5" borderId="0" xfId="0" applyNumberFormat="1" applyFont="1" applyFill="1" applyAlignment="1">
      <alignment vertical="center"/>
    </xf>
    <xf numFmtId="169" fontId="13" fillId="4" borderId="0" xfId="0" applyNumberFormat="1" applyFont="1" applyFill="1" applyBorder="1" applyAlignment="1">
      <alignment vertical="center"/>
    </xf>
    <xf numFmtId="169" fontId="13" fillId="4" borderId="0" xfId="0" applyNumberFormat="1" applyFont="1" applyFill="1" applyBorder="1" applyAlignment="1">
      <alignment horizontal="center" vertical="center"/>
    </xf>
    <xf numFmtId="169" fontId="14" fillId="4" borderId="0" xfId="0" applyNumberFormat="1" applyFont="1" applyFill="1" applyBorder="1" applyAlignment="1">
      <alignment vertical="center"/>
    </xf>
    <xf numFmtId="169" fontId="12" fillId="4" borderId="0" xfId="0" applyNumberFormat="1" applyFont="1" applyFill="1" applyBorder="1" applyAlignment="1">
      <alignment vertical="center"/>
    </xf>
    <xf numFmtId="10" fontId="12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" fontId="12" fillId="4" borderId="0" xfId="0" applyNumberFormat="1" applyFont="1" applyFill="1" applyBorder="1" applyAlignment="1">
      <alignment vertical="center"/>
    </xf>
    <xf numFmtId="169" fontId="12" fillId="0" borderId="0" xfId="0" applyNumberFormat="1" applyFont="1" applyFill="1" applyBorder="1" applyAlignment="1">
      <alignment vertical="center"/>
    </xf>
    <xf numFmtId="14" fontId="18" fillId="4" borderId="3" xfId="0" applyNumberFormat="1" applyFont="1" applyFill="1" applyBorder="1" applyAlignment="1">
      <alignment vertical="center"/>
    </xf>
    <xf numFmtId="171" fontId="12" fillId="0" borderId="0" xfId="0" applyNumberFormat="1" applyFont="1" applyAlignment="1">
      <alignment vertical="center"/>
    </xf>
    <xf numFmtId="169" fontId="13" fillId="4" borderId="0" xfId="0" applyNumberFormat="1" applyFont="1" applyFill="1" applyBorder="1" applyAlignment="1">
      <alignment horizontal="right" vertical="center"/>
    </xf>
    <xf numFmtId="169" fontId="14" fillId="4" borderId="0" xfId="0" applyNumberFormat="1" applyFont="1" applyFill="1" applyBorder="1" applyAlignment="1">
      <alignment horizontal="right" vertical="center"/>
    </xf>
    <xf numFmtId="170" fontId="15" fillId="4" borderId="0" xfId="0" applyNumberFormat="1" applyFont="1" applyFill="1" applyBorder="1" applyAlignment="1">
      <alignment horizontal="right" vertical="center"/>
    </xf>
    <xf numFmtId="169" fontId="12" fillId="0" borderId="0" xfId="0" applyNumberFormat="1" applyFont="1" applyAlignment="1">
      <alignment horizontal="right" vertical="center"/>
    </xf>
    <xf numFmtId="169" fontId="16" fillId="5" borderId="0" xfId="0" applyNumberFormat="1" applyFont="1" applyFill="1" applyAlignment="1">
      <alignment horizontal="right" vertical="center"/>
    </xf>
    <xf numFmtId="171" fontId="12" fillId="0" borderId="0" xfId="0" applyNumberFormat="1" applyFont="1" applyAlignment="1">
      <alignment horizontal="right" vertical="center"/>
    </xf>
    <xf numFmtId="0" fontId="21" fillId="0" borderId="0" xfId="0" applyFont="1" applyAlignment="1">
      <alignment vertical="center"/>
    </xf>
    <xf numFmtId="167" fontId="12" fillId="0" borderId="0" xfId="0" applyNumberFormat="1" applyFont="1" applyAlignment="1">
      <alignment vertical="center"/>
    </xf>
    <xf numFmtId="0" fontId="21" fillId="0" borderId="0" xfId="0" applyFont="1" applyBorder="1" applyAlignment="1">
      <alignment vertical="center"/>
    </xf>
    <xf numFmtId="167" fontId="12" fillId="0" borderId="0" xfId="0" applyNumberFormat="1" applyFont="1" applyBorder="1" applyAlignment="1">
      <alignment vertical="center"/>
    </xf>
    <xf numFmtId="10" fontId="12" fillId="0" borderId="0" xfId="0" applyNumberFormat="1" applyFont="1" applyBorder="1" applyAlignment="1">
      <alignment vertical="center"/>
    </xf>
    <xf numFmtId="0" fontId="12" fillId="0" borderId="0" xfId="0" quotePrefix="1" applyFont="1" applyBorder="1" applyAlignment="1">
      <alignment vertical="center"/>
    </xf>
    <xf numFmtId="3" fontId="12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166" fontId="13" fillId="0" borderId="0" xfId="0" applyNumberFormat="1" applyFont="1" applyBorder="1" applyAlignment="1">
      <alignment vertical="center"/>
    </xf>
    <xf numFmtId="0" fontId="13" fillId="0" borderId="0" xfId="0" applyFont="1" applyAlignment="1">
      <alignment horizontal="right" vertical="center"/>
    </xf>
    <xf numFmtId="0" fontId="23" fillId="4" borderId="0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vertical="center"/>
    </xf>
    <xf numFmtId="0" fontId="17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vertical="center"/>
    </xf>
    <xf numFmtId="169" fontId="13" fillId="0" borderId="0" xfId="0" applyNumberFormat="1" applyFont="1" applyAlignment="1">
      <alignment vertical="center"/>
    </xf>
    <xf numFmtId="169" fontId="19" fillId="0" borderId="0" xfId="0" applyNumberFormat="1" applyFont="1" applyAlignment="1">
      <alignment vertical="center"/>
    </xf>
    <xf numFmtId="0" fontId="13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169" fontId="15" fillId="0" borderId="0" xfId="0" applyNumberFormat="1" applyFont="1" applyFill="1" applyBorder="1" applyAlignment="1">
      <alignment vertical="center"/>
    </xf>
    <xf numFmtId="169" fontId="18" fillId="0" borderId="0" xfId="0" applyNumberFormat="1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173" fontId="13" fillId="0" borderId="0" xfId="0" applyNumberFormat="1" applyFont="1" applyAlignment="1">
      <alignment horizontal="left" vertical="center"/>
    </xf>
    <xf numFmtId="0" fontId="13" fillId="3" borderId="6" xfId="0" applyFont="1" applyFill="1" applyBorder="1" applyAlignment="1">
      <alignment vertical="center"/>
    </xf>
    <xf numFmtId="0" fontId="13" fillId="8" borderId="5" xfId="0" applyFont="1" applyFill="1" applyBorder="1" applyAlignment="1">
      <alignment vertical="center"/>
    </xf>
    <xf numFmtId="168" fontId="12" fillId="3" borderId="0" xfId="0" applyNumberFormat="1" applyFont="1" applyFill="1" applyBorder="1" applyAlignment="1">
      <alignment vertical="center"/>
    </xf>
    <xf numFmtId="168" fontId="12" fillId="7" borderId="0" xfId="0" applyNumberFormat="1" applyFont="1" applyFill="1" applyBorder="1" applyAlignment="1">
      <alignment vertical="center"/>
    </xf>
    <xf numFmtId="0" fontId="13" fillId="0" borderId="0" xfId="0" applyFont="1" applyBorder="1" applyAlignment="1">
      <alignment vertical="center"/>
    </xf>
    <xf numFmtId="174" fontId="12" fillId="0" borderId="0" xfId="0" applyNumberFormat="1" applyFont="1" applyFill="1" applyBorder="1" applyAlignment="1">
      <alignment vertical="center"/>
    </xf>
    <xf numFmtId="169" fontId="25" fillId="0" borderId="0" xfId="0" applyNumberFormat="1" applyFont="1" applyAlignment="1">
      <alignment vertical="center"/>
    </xf>
    <xf numFmtId="0" fontId="20" fillId="0" borderId="0" xfId="0" applyFont="1" applyBorder="1" applyAlignment="1">
      <alignment vertical="center"/>
    </xf>
    <xf numFmtId="169" fontId="12" fillId="6" borderId="0" xfId="0" applyNumberFormat="1" applyFont="1" applyFill="1" applyBorder="1" applyAlignment="1">
      <alignment vertical="center"/>
    </xf>
    <xf numFmtId="169" fontId="13" fillId="0" borderId="0" xfId="0" applyNumberFormat="1" applyFont="1" applyFill="1" applyAlignment="1">
      <alignment vertical="center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  <xf numFmtId="10" fontId="12" fillId="0" borderId="0" xfId="1" applyNumberFormat="1" applyFont="1" applyAlignment="1">
      <alignment vertical="center"/>
    </xf>
    <xf numFmtId="169" fontId="12" fillId="0" borderId="0" xfId="0" applyNumberFormat="1" applyFont="1" applyFill="1" applyAlignment="1">
      <alignment vertical="center"/>
    </xf>
    <xf numFmtId="10" fontId="12" fillId="0" borderId="0" xfId="0" applyNumberFormat="1" applyFont="1" applyFill="1" applyAlignment="1">
      <alignment vertical="center"/>
    </xf>
    <xf numFmtId="169" fontId="12" fillId="5" borderId="0" xfId="0" applyNumberFormat="1" applyFont="1" applyFill="1" applyAlignment="1">
      <alignment vertical="center"/>
    </xf>
    <xf numFmtId="0" fontId="21" fillId="0" borderId="0" xfId="0" applyFont="1" applyAlignment="1">
      <alignment horizontal="left" vertical="center" indent="1"/>
    </xf>
    <xf numFmtId="167" fontId="12" fillId="0" borderId="9" xfId="0" applyNumberFormat="1" applyFont="1" applyBorder="1" applyAlignment="1">
      <alignment vertical="center"/>
    </xf>
    <xf numFmtId="175" fontId="12" fillId="0" borderId="0" xfId="0" applyNumberFormat="1" applyFont="1" applyAlignment="1">
      <alignment vertical="center"/>
    </xf>
    <xf numFmtId="169" fontId="12" fillId="0" borderId="7" xfId="0" applyNumberFormat="1" applyFont="1" applyBorder="1" applyAlignment="1">
      <alignment vertical="center"/>
    </xf>
    <xf numFmtId="165" fontId="12" fillId="0" borderId="0" xfId="0" applyNumberFormat="1" applyFont="1" applyAlignment="1">
      <alignment vertical="center"/>
    </xf>
    <xf numFmtId="182" fontId="12" fillId="0" borderId="0" xfId="0" applyNumberFormat="1" applyFont="1" applyFill="1" applyBorder="1" applyAlignment="1">
      <alignment vertical="center"/>
    </xf>
    <xf numFmtId="169" fontId="12" fillId="0" borderId="9" xfId="0" applyNumberFormat="1" applyFont="1" applyBorder="1" applyAlignment="1">
      <alignment vertical="center"/>
    </xf>
    <xf numFmtId="0" fontId="13" fillId="0" borderId="0" xfId="0" applyFont="1" applyAlignment="1">
      <alignment vertical="center"/>
    </xf>
    <xf numFmtId="169" fontId="12" fillId="2" borderId="0" xfId="0" applyNumberFormat="1" applyFont="1" applyFill="1" applyBorder="1" applyAlignment="1">
      <alignment vertical="center"/>
    </xf>
    <xf numFmtId="169" fontId="16" fillId="5" borderId="0" xfId="0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67" fontId="12" fillId="0" borderId="0" xfId="0" applyNumberFormat="1" applyFont="1" applyAlignment="1">
      <alignment vertical="center"/>
    </xf>
    <xf numFmtId="14" fontId="12" fillId="0" borderId="0" xfId="0" applyNumberFormat="1" applyFont="1" applyFill="1" applyAlignment="1">
      <alignment vertical="center"/>
    </xf>
    <xf numFmtId="4" fontId="12" fillId="0" borderId="0" xfId="0" applyNumberFormat="1" applyFont="1" applyFill="1" applyAlignment="1">
      <alignment vertical="center"/>
    </xf>
    <xf numFmtId="2" fontId="12" fillId="0" borderId="0" xfId="0" applyNumberFormat="1" applyFont="1" applyAlignment="1">
      <alignment vertical="center"/>
    </xf>
    <xf numFmtId="0" fontId="13" fillId="0" borderId="0" xfId="0" applyFont="1" applyFill="1" applyAlignment="1">
      <alignment vertical="center"/>
    </xf>
    <xf numFmtId="169" fontId="12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82" fontId="13" fillId="0" borderId="0" xfId="0" applyNumberFormat="1" applyFont="1" applyAlignment="1">
      <alignment vertical="center"/>
    </xf>
    <xf numFmtId="182" fontId="12" fillId="0" borderId="0" xfId="0" applyNumberFormat="1" applyFont="1" applyAlignment="1">
      <alignment vertical="center"/>
    </xf>
    <xf numFmtId="169" fontId="12" fillId="0" borderId="8" xfId="0" applyNumberFormat="1" applyFont="1" applyBorder="1" applyAlignment="1">
      <alignment vertical="center"/>
    </xf>
    <xf numFmtId="169" fontId="12" fillId="6" borderId="33" xfId="0" applyNumberFormat="1" applyFont="1" applyFill="1" applyBorder="1" applyAlignment="1">
      <alignment vertical="center"/>
    </xf>
    <xf numFmtId="169" fontId="12" fillId="6" borderId="34" xfId="0" applyNumberFormat="1" applyFont="1" applyFill="1" applyBorder="1" applyAlignment="1">
      <alignment vertical="center"/>
    </xf>
    <xf numFmtId="169" fontId="19" fillId="4" borderId="0" xfId="0" applyNumberFormat="1" applyFont="1" applyFill="1" applyBorder="1" applyAlignment="1">
      <alignment vertical="center"/>
    </xf>
    <xf numFmtId="169" fontId="25" fillId="4" borderId="0" xfId="0" applyNumberFormat="1" applyFont="1" applyFill="1" applyBorder="1" applyAlignment="1">
      <alignment vertical="center"/>
    </xf>
    <xf numFmtId="169" fontId="77" fillId="4" borderId="0" xfId="0" applyNumberFormat="1" applyFont="1" applyFill="1" applyBorder="1" applyAlignment="1">
      <alignment vertical="center"/>
    </xf>
    <xf numFmtId="170" fontId="19" fillId="4" borderId="0" xfId="0" applyNumberFormat="1" applyFont="1" applyFill="1" applyBorder="1" applyAlignment="1">
      <alignment vertical="center"/>
    </xf>
    <xf numFmtId="170" fontId="78" fillId="4" borderId="0" xfId="0" applyNumberFormat="1" applyFont="1" applyFill="1" applyBorder="1" applyAlignment="1">
      <alignment vertical="center"/>
    </xf>
    <xf numFmtId="189" fontId="12" fillId="0" borderId="0" xfId="75" applyNumberFormat="1" applyFont="1" applyBorder="1" applyAlignment="1">
      <alignment vertical="center"/>
    </xf>
    <xf numFmtId="189" fontId="12" fillId="0" borderId="0" xfId="75" applyNumberFormat="1" applyFont="1" applyAlignment="1">
      <alignment vertical="center"/>
    </xf>
    <xf numFmtId="0" fontId="13" fillId="0" borderId="0" xfId="0" applyFont="1" applyFill="1" applyAlignment="1">
      <alignment vertical="center" wrapText="1"/>
    </xf>
    <xf numFmtId="190" fontId="18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vertical="center" wrapText="1"/>
    </xf>
    <xf numFmtId="176" fontId="12" fillId="0" borderId="0" xfId="0" applyNumberFormat="1" applyFont="1" applyFill="1" applyAlignment="1">
      <alignment vertical="center"/>
    </xf>
    <xf numFmtId="10" fontId="12" fillId="3" borderId="0" xfId="0" applyNumberFormat="1" applyFont="1" applyFill="1" applyAlignment="1">
      <alignment vertical="center"/>
    </xf>
    <xf numFmtId="14" fontId="12" fillId="3" borderId="0" xfId="0" applyNumberFormat="1" applyFont="1" applyFill="1" applyAlignment="1">
      <alignment vertical="center"/>
    </xf>
    <xf numFmtId="14" fontId="12" fillId="0" borderId="0" xfId="0" applyNumberFormat="1" applyFont="1" applyAlignment="1">
      <alignment vertical="center"/>
    </xf>
    <xf numFmtId="0" fontId="12" fillId="3" borderId="0" xfId="0" applyFont="1" applyFill="1" applyAlignment="1">
      <alignment vertical="center"/>
    </xf>
    <xf numFmtId="2" fontId="79" fillId="0" borderId="0" xfId="0" applyNumberFormat="1" applyFont="1"/>
    <xf numFmtId="169" fontId="12" fillId="5" borderId="0" xfId="0" applyNumberFormat="1" applyFont="1" applyFill="1" applyAlignment="1">
      <alignment horizontal="right" vertical="center"/>
    </xf>
    <xf numFmtId="175" fontId="12" fillId="0" borderId="0" xfId="0" applyNumberFormat="1" applyFont="1" applyBorder="1" applyAlignment="1">
      <alignment vertical="center"/>
    </xf>
    <xf numFmtId="169" fontId="15" fillId="0" borderId="0" xfId="0" applyNumberFormat="1" applyFont="1" applyAlignment="1">
      <alignment vertical="center"/>
    </xf>
    <xf numFmtId="169" fontId="15" fillId="0" borderId="0" xfId="0" applyNumberFormat="1" applyFont="1" applyBorder="1" applyAlignment="1">
      <alignment vertical="center"/>
    </xf>
    <xf numFmtId="10" fontId="15" fillId="0" borderId="0" xfId="0" applyNumberFormat="1" applyFont="1" applyAlignment="1">
      <alignment vertical="center"/>
    </xf>
    <xf numFmtId="175" fontId="18" fillId="0" borderId="9" xfId="0" applyNumberFormat="1" applyFont="1" applyBorder="1" applyAlignment="1">
      <alignment vertical="center"/>
    </xf>
    <xf numFmtId="169" fontId="18" fillId="0" borderId="0" xfId="0" applyNumberFormat="1" applyFont="1" applyAlignment="1">
      <alignment vertical="center"/>
    </xf>
    <xf numFmtId="10" fontId="18" fillId="0" borderId="0" xfId="0" applyNumberFormat="1" applyFont="1" applyFill="1" applyAlignment="1">
      <alignment vertical="center"/>
    </xf>
    <xf numFmtId="0" fontId="13" fillId="0" borderId="0" xfId="0" applyFont="1" applyFill="1" applyBorder="1" applyAlignment="1">
      <alignment vertical="center"/>
    </xf>
    <xf numFmtId="169" fontId="13" fillId="0" borderId="0" xfId="0" applyNumberFormat="1" applyFont="1" applyFill="1" applyBorder="1" applyAlignment="1">
      <alignment vertical="center"/>
    </xf>
    <xf numFmtId="0" fontId="80" fillId="0" borderId="0" xfId="0" applyFont="1" applyBorder="1" applyAlignment="1">
      <alignment vertical="center"/>
    </xf>
    <xf numFmtId="169" fontId="12" fillId="71" borderId="0" xfId="0" applyNumberFormat="1" applyFont="1" applyFill="1" applyAlignment="1">
      <alignment vertical="center"/>
    </xf>
    <xf numFmtId="169" fontId="12" fillId="71" borderId="0" xfId="0" applyNumberFormat="1" applyFont="1" applyFill="1" applyBorder="1" applyAlignment="1">
      <alignment vertical="center"/>
    </xf>
    <xf numFmtId="169" fontId="12" fillId="0" borderId="0" xfId="0" applyNumberFormat="1" applyFont="1" applyFill="1" applyBorder="1" applyAlignment="1" applyProtection="1">
      <alignment vertical="center"/>
      <protection locked="0"/>
    </xf>
    <xf numFmtId="168" fontId="13" fillId="0" borderId="0" xfId="0" applyNumberFormat="1" applyFont="1" applyFill="1" applyBorder="1" applyAlignment="1">
      <alignment vertical="center"/>
    </xf>
    <xf numFmtId="169" fontId="12" fillId="0" borderId="9" xfId="0" applyNumberFormat="1" applyFont="1" applyFill="1" applyBorder="1" applyAlignment="1">
      <alignment vertical="center"/>
    </xf>
    <xf numFmtId="10" fontId="12" fillId="0" borderId="0" xfId="0" applyNumberFormat="1" applyFont="1" applyFill="1" applyBorder="1" applyAlignment="1">
      <alignment vertical="center"/>
    </xf>
    <xf numFmtId="168" fontId="15" fillId="0" borderId="0" xfId="0" applyNumberFormat="1" applyFont="1" applyFill="1" applyBorder="1" applyAlignment="1">
      <alignment vertical="center"/>
    </xf>
    <xf numFmtId="10" fontId="1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69" fontId="12" fillId="0" borderId="7" xfId="0" applyNumberFormat="1" applyFont="1" applyFill="1" applyBorder="1" applyAlignment="1">
      <alignment vertical="center"/>
    </xf>
    <xf numFmtId="169" fontId="13" fillId="0" borderId="0" xfId="0" applyNumberFormat="1" applyFont="1" applyBorder="1" applyAlignment="1">
      <alignment vertical="center"/>
    </xf>
    <xf numFmtId="0" fontId="13" fillId="0" borderId="0" xfId="0" applyFont="1" applyBorder="1" applyAlignment="1">
      <alignment horizontal="right" vertical="center"/>
    </xf>
    <xf numFmtId="172" fontId="12" fillId="0" borderId="0" xfId="0" applyNumberFormat="1" applyFont="1" applyAlignment="1">
      <alignment horizontal="center" vertical="center"/>
    </xf>
    <xf numFmtId="193" fontId="12" fillId="0" borderId="0" xfId="0" applyNumberFormat="1" applyFont="1" applyFill="1" applyBorder="1" applyAlignment="1">
      <alignment vertical="center"/>
    </xf>
    <xf numFmtId="0" fontId="15" fillId="0" borderId="0" xfId="0" applyFont="1" applyAlignment="1">
      <alignment vertical="center"/>
    </xf>
    <xf numFmtId="10" fontId="15" fillId="0" borderId="0" xfId="0" applyNumberFormat="1" applyFont="1" applyBorder="1" applyAlignment="1">
      <alignment vertical="center"/>
    </xf>
    <xf numFmtId="4" fontId="12" fillId="0" borderId="0" xfId="0" applyNumberFormat="1" applyFont="1" applyAlignment="1">
      <alignment vertical="center"/>
    </xf>
    <xf numFmtId="169" fontId="12" fillId="0" borderId="2" xfId="0" applyNumberFormat="1" applyFont="1" applyFill="1" applyBorder="1" applyAlignment="1">
      <alignment vertical="center"/>
    </xf>
    <xf numFmtId="169" fontId="16" fillId="5" borderId="0" xfId="0" applyNumberFormat="1" applyFont="1" applyFill="1" applyBorder="1" applyAlignment="1">
      <alignment vertical="center"/>
    </xf>
    <xf numFmtId="169" fontId="15" fillId="0" borderId="0" xfId="0" applyNumberFormat="1" applyFont="1" applyFill="1" applyAlignment="1">
      <alignment vertical="center"/>
    </xf>
    <xf numFmtId="169" fontId="13" fillId="0" borderId="7" xfId="0" applyNumberFormat="1" applyFont="1" applyBorder="1" applyAlignment="1">
      <alignment vertical="center"/>
    </xf>
    <xf numFmtId="169" fontId="12" fillId="0" borderId="0" xfId="0" applyNumberFormat="1" applyFont="1" applyFill="1" applyBorder="1" applyAlignment="1">
      <alignment horizontal="center" vertical="center"/>
    </xf>
    <xf numFmtId="168" fontId="12" fillId="0" borderId="0" xfId="0" applyNumberFormat="1" applyFont="1" applyFill="1" applyBorder="1" applyAlignment="1">
      <alignment vertical="center"/>
    </xf>
    <xf numFmtId="172" fontId="12" fillId="0" borderId="0" xfId="0" applyNumberFormat="1" applyFont="1" applyFill="1" applyBorder="1" applyAlignment="1">
      <alignment vertical="center"/>
    </xf>
    <xf numFmtId="175" fontId="15" fillId="0" borderId="0" xfId="0" applyNumberFormat="1" applyFont="1" applyAlignment="1">
      <alignment vertical="center"/>
    </xf>
    <xf numFmtId="4" fontId="18" fillId="0" borderId="0" xfId="0" applyNumberFormat="1" applyFont="1" applyFill="1" applyBorder="1" applyAlignment="1">
      <alignment vertical="center"/>
    </xf>
    <xf numFmtId="176" fontId="15" fillId="0" borderId="0" xfId="0" applyNumberFormat="1" applyFont="1" applyBorder="1" applyAlignment="1">
      <alignment vertical="center"/>
    </xf>
    <xf numFmtId="169" fontId="12" fillId="0" borderId="0" xfId="0" applyNumberFormat="1" applyFont="1" applyFill="1" applyAlignment="1">
      <alignment horizontal="left" vertical="center"/>
    </xf>
    <xf numFmtId="182" fontId="15" fillId="0" borderId="0" xfId="0" applyNumberFormat="1" applyFont="1" applyAlignment="1">
      <alignment vertical="center"/>
    </xf>
    <xf numFmtId="10" fontId="15" fillId="0" borderId="0" xfId="0" applyNumberFormat="1" applyFont="1" applyFill="1" applyAlignment="1">
      <alignment vertical="center"/>
    </xf>
    <xf numFmtId="2" fontId="12" fillId="0" borderId="0" xfId="0" applyNumberFormat="1" applyFont="1" applyFill="1" applyAlignment="1">
      <alignment vertical="center"/>
    </xf>
    <xf numFmtId="0" fontId="22" fillId="0" borderId="0" xfId="0" applyFont="1" applyFill="1" applyBorder="1" applyAlignment="1">
      <alignment vertical="center"/>
    </xf>
    <xf numFmtId="166" fontId="13" fillId="0" borderId="0" xfId="0" applyNumberFormat="1" applyFont="1" applyFill="1" applyBorder="1" applyAlignment="1">
      <alignment vertical="center"/>
    </xf>
    <xf numFmtId="169" fontId="12" fillId="0" borderId="0" xfId="0" applyNumberFormat="1" applyFont="1" applyAlignment="1">
      <alignment horizontal="left" vertical="center" wrapText="1"/>
    </xf>
    <xf numFmtId="9" fontId="12" fillId="3" borderId="0" xfId="1" applyFont="1" applyFill="1" applyBorder="1" applyAlignment="1">
      <alignment vertical="center"/>
    </xf>
    <xf numFmtId="9" fontId="12" fillId="0" borderId="0" xfId="1" applyFont="1" applyFill="1" applyBorder="1" applyAlignment="1">
      <alignment vertical="center"/>
    </xf>
    <xf numFmtId="168" fontId="12" fillId="72" borderId="0" xfId="0" applyNumberFormat="1" applyFont="1" applyFill="1" applyBorder="1" applyAlignment="1">
      <alignment vertical="center"/>
    </xf>
    <xf numFmtId="175" fontId="12" fillId="0" borderId="0" xfId="0" applyNumberFormat="1" applyFont="1" applyFill="1" applyAlignment="1">
      <alignment vertical="center"/>
    </xf>
    <xf numFmtId="182" fontId="15" fillId="0" borderId="0" xfId="0" applyNumberFormat="1" applyFont="1" applyFill="1" applyBorder="1" applyAlignment="1">
      <alignment vertical="center"/>
    </xf>
    <xf numFmtId="175" fontId="18" fillId="0" borderId="0" xfId="0" applyNumberFormat="1" applyFont="1" applyFill="1" applyBorder="1" applyAlignment="1">
      <alignment vertical="center"/>
    </xf>
    <xf numFmtId="175" fontId="18" fillId="0" borderId="0" xfId="0" applyNumberFormat="1" applyFont="1" applyFill="1" applyAlignment="1">
      <alignment vertical="center"/>
    </xf>
    <xf numFmtId="10" fontId="18" fillId="3" borderId="0" xfId="0" applyNumberFormat="1" applyFont="1" applyFill="1" applyAlignment="1">
      <alignment vertical="center"/>
    </xf>
    <xf numFmtId="192" fontId="18" fillId="0" borderId="0" xfId="75" applyNumberFormat="1" applyFont="1" applyFill="1" applyAlignment="1">
      <alignment vertical="center"/>
    </xf>
    <xf numFmtId="169" fontId="12" fillId="6" borderId="58" xfId="0" applyNumberFormat="1" applyFont="1" applyFill="1" applyBorder="1" applyAlignment="1">
      <alignment vertical="center"/>
    </xf>
    <xf numFmtId="169" fontId="12" fillId="0" borderId="2" xfId="0" applyNumberFormat="1" applyFont="1" applyBorder="1" applyAlignment="1">
      <alignment vertical="center"/>
    </xf>
    <xf numFmtId="169" fontId="18" fillId="0" borderId="0" xfId="0" applyNumberFormat="1" applyFont="1" applyBorder="1" applyAlignment="1">
      <alignment vertical="center"/>
    </xf>
    <xf numFmtId="169" fontId="12" fillId="0" borderId="55" xfId="0" applyNumberFormat="1" applyFont="1" applyBorder="1" applyAlignment="1">
      <alignment vertical="center"/>
    </xf>
    <xf numFmtId="169" fontId="15" fillId="0" borderId="0" xfId="0" applyNumberFormat="1" applyFont="1" applyAlignment="1">
      <alignment horizontal="right" vertical="center"/>
    </xf>
    <xf numFmtId="171" fontId="15" fillId="0" borderId="0" xfId="0" applyNumberFormat="1" applyFont="1" applyAlignment="1">
      <alignment horizontal="right" vertical="center"/>
    </xf>
    <xf numFmtId="3" fontId="15" fillId="0" borderId="0" xfId="0" applyNumberFormat="1" applyFont="1" applyBorder="1" applyAlignment="1">
      <alignment vertical="center"/>
    </xf>
    <xf numFmtId="176" fontId="15" fillId="0" borderId="0" xfId="0" applyNumberFormat="1" applyFont="1" applyFill="1" applyBorder="1" applyAlignment="1">
      <alignment vertical="center"/>
    </xf>
    <xf numFmtId="169" fontId="12" fillId="6" borderId="2" xfId="0" applyNumberFormat="1" applyFont="1" applyFill="1" applyBorder="1" applyAlignment="1">
      <alignment vertical="center"/>
    </xf>
    <xf numFmtId="168" fontId="15" fillId="0" borderId="2" xfId="0" applyNumberFormat="1" applyFont="1" applyFill="1" applyBorder="1" applyAlignment="1">
      <alignment vertical="center"/>
    </xf>
    <xf numFmtId="189" fontId="12" fillId="0" borderId="55" xfId="75" applyNumberFormat="1" applyFont="1" applyBorder="1" applyAlignment="1">
      <alignment vertical="center"/>
    </xf>
    <xf numFmtId="189" fontId="12" fillId="0" borderId="2" xfId="75" applyNumberFormat="1" applyFont="1" applyBorder="1" applyAlignment="1">
      <alignment vertical="center"/>
    </xf>
    <xf numFmtId="169" fontId="12" fillId="3" borderId="0" xfId="0" applyNumberFormat="1" applyFont="1" applyFill="1" applyAlignment="1">
      <alignment horizontal="right" vertical="center"/>
    </xf>
    <xf numFmtId="169" fontId="12" fillId="0" borderId="0" xfId="0" applyNumberFormat="1" applyFont="1" applyFill="1" applyAlignment="1">
      <alignment horizontal="right" vertical="center"/>
    </xf>
    <xf numFmtId="10" fontId="12" fillId="0" borderId="0" xfId="1" applyNumberFormat="1" applyFont="1" applyFill="1" applyAlignment="1">
      <alignment vertical="center"/>
    </xf>
    <xf numFmtId="189" fontId="12" fillId="0" borderId="0" xfId="75" applyNumberFormat="1" applyFont="1" applyFill="1" applyBorder="1" applyAlignment="1">
      <alignment vertical="center"/>
    </xf>
    <xf numFmtId="169" fontId="12" fillId="0" borderId="0" xfId="0" applyNumberFormat="1" applyFont="1" applyAlignment="1">
      <alignment vertical="center" wrapText="1"/>
    </xf>
    <xf numFmtId="1" fontId="12" fillId="4" borderId="0" xfId="0" applyNumberFormat="1" applyFont="1" applyFill="1" applyBorder="1" applyAlignment="1">
      <alignment horizontal="center" vertical="center"/>
    </xf>
    <xf numFmtId="0" fontId="0" fillId="0" borderId="0" xfId="0" applyFont="1"/>
    <xf numFmtId="169" fontId="81" fillId="5" borderId="0" xfId="0" applyNumberFormat="1" applyFont="1" applyFill="1" applyAlignment="1">
      <alignment vertical="center"/>
    </xf>
    <xf numFmtId="0" fontId="12" fillId="4" borderId="0" xfId="75" applyNumberFormat="1" applyFont="1" applyFill="1" applyBorder="1" applyAlignment="1">
      <alignment horizontal="center" vertical="center"/>
    </xf>
    <xf numFmtId="169" fontId="81" fillId="5" borderId="0" xfId="0" applyNumberFormat="1" applyFont="1" applyFill="1" applyBorder="1" applyAlignment="1">
      <alignment vertical="center"/>
    </xf>
    <xf numFmtId="0" fontId="13" fillId="72" borderId="0" xfId="0" applyFont="1" applyFill="1" applyAlignment="1">
      <alignment vertical="center" wrapText="1"/>
    </xf>
    <xf numFmtId="0" fontId="13" fillId="72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vertical="center" wrapText="1"/>
    </xf>
    <xf numFmtId="168" fontId="13" fillId="0" borderId="0" xfId="1" applyNumberFormat="1" applyFont="1" applyAlignment="1">
      <alignment vertical="center"/>
    </xf>
    <xf numFmtId="0" fontId="13" fillId="74" borderId="5" xfId="0" applyFont="1" applyFill="1" applyBorder="1" applyAlignment="1">
      <alignment vertical="center"/>
    </xf>
    <xf numFmtId="0" fontId="82" fillId="73" borderId="5" xfId="0" applyFont="1" applyFill="1" applyBorder="1" applyAlignment="1">
      <alignment vertical="center"/>
    </xf>
    <xf numFmtId="2" fontId="18" fillId="0" borderId="0" xfId="0" applyNumberFormat="1" applyFont="1" applyFill="1" applyBorder="1" applyAlignment="1">
      <alignment vertical="center"/>
    </xf>
    <xf numFmtId="194" fontId="12" fillId="0" borderId="0" xfId="1" applyNumberFormat="1" applyFont="1" applyFill="1" applyBorder="1" applyAlignment="1">
      <alignment vertical="center"/>
    </xf>
    <xf numFmtId="173" fontId="39" fillId="0" borderId="0" xfId="76" applyNumberFormat="1" applyAlignment="1">
      <alignment vertical="center"/>
    </xf>
    <xf numFmtId="189" fontId="12" fillId="3" borderId="0" xfId="0" applyNumberFormat="1" applyFont="1" applyFill="1" applyBorder="1" applyAlignment="1">
      <alignment horizontal="right" vertical="center"/>
    </xf>
    <xf numFmtId="0" fontId="13" fillId="0" borderId="0" xfId="2257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3" fillId="4" borderId="0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3" fillId="0" borderId="0" xfId="2257" applyFont="1" applyAlignment="1">
      <alignment horizontal="center" vertical="center" wrapText="1"/>
    </xf>
    <xf numFmtId="0" fontId="13" fillId="0" borderId="0" xfId="2257" applyFont="1" applyFill="1" applyAlignment="1">
      <alignment horizontal="center" vertical="center"/>
    </xf>
    <xf numFmtId="0" fontId="84" fillId="0" borderId="0" xfId="2256" applyFont="1" applyFill="1" applyAlignment="1">
      <alignment horizontal="center" vertical="center" wrapText="1"/>
    </xf>
    <xf numFmtId="0" fontId="12" fillId="0" borderId="12" xfId="2257" applyFont="1" applyBorder="1" applyAlignment="1">
      <alignment horizontal="center" vertical="center" wrapText="1"/>
    </xf>
    <xf numFmtId="0" fontId="82" fillId="73" borderId="0" xfId="0" applyFont="1" applyFill="1" applyBorder="1" applyAlignment="1">
      <alignment vertical="center"/>
    </xf>
    <xf numFmtId="0" fontId="79" fillId="0" borderId="12" xfId="0" applyFont="1" applyBorder="1" applyAlignment="1">
      <alignment horizontal="center" vertical="center"/>
    </xf>
    <xf numFmtId="14" fontId="12" fillId="0" borderId="12" xfId="2257" applyNumberFormat="1" applyFont="1" applyBorder="1" applyAlignment="1">
      <alignment horizontal="center" vertical="center" wrapText="1"/>
    </xf>
    <xf numFmtId="0" fontId="12" fillId="0" borderId="12" xfId="2257" applyFont="1" applyBorder="1" applyAlignment="1">
      <alignment horizontal="center" vertical="center"/>
    </xf>
    <xf numFmtId="0" fontId="12" fillId="0" borderId="12" xfId="2257" applyFont="1" applyBorder="1" applyAlignment="1">
      <alignment horizontal="left" vertical="center" wrapText="1"/>
    </xf>
    <xf numFmtId="1" fontId="12" fillId="5" borderId="0" xfId="0" applyNumberFormat="1" applyFont="1" applyFill="1" applyAlignment="1">
      <alignment vertical="center"/>
    </xf>
    <xf numFmtId="1" fontId="13" fillId="0" borderId="0" xfId="0" applyNumberFormat="1" applyFont="1" applyAlignment="1">
      <alignment vertical="center"/>
    </xf>
    <xf numFmtId="1" fontId="12" fillId="0" borderId="0" xfId="1" applyNumberFormat="1" applyFont="1" applyFill="1" applyBorder="1" applyAlignment="1">
      <alignment vertical="center"/>
    </xf>
    <xf numFmtId="1" fontId="12" fillId="0" borderId="0" xfId="0" applyNumberFormat="1" applyFont="1" applyAlignment="1">
      <alignment vertical="center"/>
    </xf>
    <xf numFmtId="1" fontId="12" fillId="0" borderId="0" xfId="0" applyNumberFormat="1" applyFont="1" applyFill="1" applyAlignment="1">
      <alignment horizontal="right" vertical="center"/>
    </xf>
    <xf numFmtId="1" fontId="12" fillId="2" borderId="0" xfId="0" applyNumberFormat="1" applyFont="1" applyFill="1" applyBorder="1" applyAlignment="1">
      <alignment vertical="center"/>
    </xf>
    <xf numFmtId="1" fontId="13" fillId="0" borderId="0" xfId="0" applyNumberFormat="1" applyFont="1" applyFill="1" applyAlignment="1">
      <alignment vertical="center"/>
    </xf>
    <xf numFmtId="1" fontId="12" fillId="0" borderId="0" xfId="0" applyNumberFormat="1" applyFont="1" applyFill="1" applyBorder="1" applyAlignment="1">
      <alignment vertical="center"/>
    </xf>
    <xf numFmtId="1" fontId="12" fillId="0" borderId="0" xfId="0" applyNumberFormat="1" applyFont="1" applyFill="1" applyAlignment="1">
      <alignment vertical="center"/>
    </xf>
    <xf numFmtId="1" fontId="16" fillId="5" borderId="0" xfId="0" applyNumberFormat="1" applyFont="1" applyFill="1" applyAlignment="1">
      <alignment vertical="center"/>
    </xf>
    <xf numFmtId="1" fontId="12" fillId="0" borderId="0" xfId="0" applyNumberFormat="1" applyFont="1" applyAlignment="1">
      <alignment horizontal="left" vertical="center"/>
    </xf>
    <xf numFmtId="1" fontId="13" fillId="0" borderId="0" xfId="0" applyNumberFormat="1" applyFont="1" applyBorder="1" applyAlignment="1">
      <alignment vertical="center"/>
    </xf>
    <xf numFmtId="49" fontId="13" fillId="4" borderId="0" xfId="0" applyNumberFormat="1" applyFont="1" applyFill="1" applyBorder="1" applyAlignment="1">
      <alignment horizontal="center" vertical="center"/>
    </xf>
    <xf numFmtId="49" fontId="14" fillId="4" borderId="0" xfId="0" applyNumberFormat="1" applyFont="1" applyFill="1" applyBorder="1" applyAlignment="1">
      <alignment vertical="center"/>
    </xf>
    <xf numFmtId="49" fontId="13" fillId="0" borderId="0" xfId="0" applyNumberFormat="1" applyFont="1" applyAlignment="1">
      <alignment vertical="center"/>
    </xf>
    <xf numFmtId="49" fontId="12" fillId="5" borderId="0" xfId="0" applyNumberFormat="1" applyFont="1" applyFill="1" applyAlignment="1">
      <alignment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Fill="1" applyAlignment="1">
      <alignment vertical="center"/>
    </xf>
    <xf numFmtId="49" fontId="12" fillId="2" borderId="0" xfId="0" applyNumberFormat="1" applyFont="1" applyFill="1" applyBorder="1" applyAlignment="1">
      <alignment vertical="center"/>
    </xf>
    <xf numFmtId="49" fontId="12" fillId="3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49" fontId="12" fillId="0" borderId="0" xfId="1" applyNumberFormat="1" applyFont="1" applyFill="1" applyBorder="1" applyAlignment="1">
      <alignment vertical="center"/>
    </xf>
    <xf numFmtId="49" fontId="16" fillId="5" borderId="0" xfId="0" applyNumberFormat="1" applyFont="1" applyFill="1" applyAlignment="1">
      <alignment vertical="center"/>
    </xf>
    <xf numFmtId="49" fontId="79" fillId="0" borderId="0" xfId="0" applyNumberFormat="1" applyFont="1"/>
    <xf numFmtId="49" fontId="13" fillId="0" borderId="0" xfId="0" applyNumberFormat="1" applyFont="1" applyBorder="1" applyAlignment="1">
      <alignment vertical="center"/>
    </xf>
    <xf numFmtId="169" fontId="13" fillId="4" borderId="0" xfId="0" applyNumberFormat="1" applyFont="1" applyFill="1" applyBorder="1" applyAlignment="1">
      <alignment horizontal="left" vertical="center"/>
    </xf>
    <xf numFmtId="169" fontId="14" fillId="4" borderId="0" xfId="0" applyNumberFormat="1" applyFont="1" applyFill="1" applyBorder="1" applyAlignment="1">
      <alignment horizontal="left" vertical="center"/>
    </xf>
    <xf numFmtId="169" fontId="85" fillId="4" borderId="0" xfId="0" applyNumberFormat="1" applyFont="1" applyFill="1" applyBorder="1" applyAlignment="1">
      <alignment vertical="center"/>
    </xf>
    <xf numFmtId="169" fontId="86" fillId="4" borderId="0" xfId="0" applyNumberFormat="1" applyFont="1" applyFill="1" applyBorder="1" applyAlignment="1">
      <alignment vertical="center"/>
    </xf>
    <xf numFmtId="168" fontId="12" fillId="0" borderId="0" xfId="1" applyNumberFormat="1" applyFont="1" applyFill="1" applyBorder="1" applyAlignment="1">
      <alignment vertical="center"/>
    </xf>
    <xf numFmtId="49" fontId="39" fillId="3" borderId="0" xfId="76" applyNumberFormat="1" applyFill="1" applyBorder="1" applyAlignment="1">
      <alignment vertical="center"/>
    </xf>
    <xf numFmtId="0" fontId="39" fillId="3" borderId="0" xfId="76" applyFill="1"/>
    <xf numFmtId="0" fontId="39" fillId="0" borderId="12" xfId="76" applyBorder="1" applyAlignment="1">
      <alignment horizontal="center" vertical="center"/>
    </xf>
    <xf numFmtId="14" fontId="12" fillId="0" borderId="12" xfId="2257" applyNumberFormat="1" applyFont="1" applyFill="1" applyBorder="1" applyAlignment="1">
      <alignment horizontal="center" vertical="center" wrapText="1"/>
    </xf>
    <xf numFmtId="171" fontId="12" fillId="0" borderId="0" xfId="0" applyNumberFormat="1" applyFont="1" applyAlignment="1">
      <alignment horizontal="center" vertical="center"/>
    </xf>
    <xf numFmtId="169" fontId="18" fillId="3" borderId="0" xfId="0" applyNumberFormat="1" applyFont="1" applyFill="1" applyAlignment="1">
      <alignment horizontal="right" vertical="center"/>
    </xf>
    <xf numFmtId="14" fontId="12" fillId="4" borderId="3" xfId="0" applyNumberFormat="1" applyFont="1" applyFill="1" applyBorder="1" applyAlignment="1">
      <alignment vertical="center"/>
    </xf>
    <xf numFmtId="14" fontId="13" fillId="4" borderId="3" xfId="0" applyNumberFormat="1" applyFont="1" applyFill="1" applyBorder="1" applyAlignment="1">
      <alignment vertical="center"/>
    </xf>
    <xf numFmtId="14" fontId="18" fillId="3" borderId="0" xfId="0" applyNumberFormat="1" applyFont="1" applyFill="1" applyAlignment="1">
      <alignment vertical="center"/>
    </xf>
    <xf numFmtId="0" fontId="18" fillId="3" borderId="0" xfId="0" applyFont="1" applyFill="1" applyAlignment="1">
      <alignment vertical="center"/>
    </xf>
    <xf numFmtId="0" fontId="18" fillId="3" borderId="0" xfId="0" applyFont="1" applyFill="1" applyAlignment="1">
      <alignment horizontal="center" vertical="center"/>
    </xf>
    <xf numFmtId="169" fontId="18" fillId="0" borderId="2" xfId="0" applyNumberFormat="1" applyFont="1" applyBorder="1" applyAlignment="1">
      <alignment vertical="center"/>
    </xf>
    <xf numFmtId="169" fontId="87" fillId="0" borderId="0" xfId="0" applyNumberFormat="1" applyFont="1" applyFill="1" applyBorder="1" applyAlignment="1">
      <alignment vertical="center"/>
    </xf>
    <xf numFmtId="2" fontId="18" fillId="0" borderId="8" xfId="0" applyNumberFormat="1" applyFont="1" applyBorder="1" applyAlignment="1">
      <alignment vertical="center"/>
    </xf>
    <xf numFmtId="4" fontId="18" fillId="0" borderId="0" xfId="0" applyNumberFormat="1" applyFont="1" applyBorder="1" applyAlignment="1">
      <alignment vertical="center"/>
    </xf>
    <xf numFmtId="175" fontId="18" fillId="0" borderId="0" xfId="0" applyNumberFormat="1" applyFont="1" applyAlignment="1">
      <alignment vertical="center"/>
    </xf>
    <xf numFmtId="176" fontId="18" fillId="0" borderId="0" xfId="0" applyNumberFormat="1" applyFont="1" applyBorder="1" applyAlignment="1">
      <alignment vertical="center"/>
    </xf>
    <xf numFmtId="195" fontId="18" fillId="0" borderId="0" xfId="75" applyNumberFormat="1" applyFont="1" applyFill="1" applyBorder="1" applyAlignment="1">
      <alignment vertical="center"/>
    </xf>
    <xf numFmtId="192" fontId="18" fillId="0" borderId="33" xfId="75" applyNumberFormat="1" applyFont="1" applyFill="1" applyBorder="1" applyAlignment="1">
      <alignment vertical="center"/>
    </xf>
    <xf numFmtId="192" fontId="18" fillId="0" borderId="0" xfId="75" applyNumberFormat="1" applyFont="1" applyFill="1" applyBorder="1" applyAlignment="1">
      <alignment vertical="center"/>
    </xf>
    <xf numFmtId="169" fontId="15" fillId="0" borderId="3" xfId="0" applyNumberFormat="1" applyFont="1" applyBorder="1" applyAlignment="1">
      <alignment vertical="center"/>
    </xf>
    <xf numFmtId="189" fontId="15" fillId="0" borderId="0" xfId="75" applyNumberFormat="1" applyFont="1" applyBorder="1" applyAlignment="1">
      <alignment vertical="center"/>
    </xf>
    <xf numFmtId="0" fontId="88" fillId="4" borderId="0" xfId="0" applyFont="1" applyFill="1" applyBorder="1" applyAlignment="1">
      <alignment horizontal="center" vertical="center" wrapText="1"/>
    </xf>
    <xf numFmtId="0" fontId="85" fillId="4" borderId="0" xfId="0" applyFont="1" applyFill="1" applyBorder="1" applyAlignment="1">
      <alignment horizontal="left" vertical="center"/>
    </xf>
    <xf numFmtId="173" fontId="39" fillId="0" borderId="0" xfId="76" applyNumberFormat="1" applyFill="1" applyAlignment="1">
      <alignment vertical="center"/>
    </xf>
    <xf numFmtId="173" fontId="13" fillId="0" borderId="0" xfId="0" applyNumberFormat="1" applyFont="1" applyFill="1" applyAlignment="1">
      <alignment horizontal="left" vertical="center"/>
    </xf>
    <xf numFmtId="0" fontId="0" fillId="0" borderId="0" xfId="0" applyFill="1"/>
    <xf numFmtId="173" fontId="14" fillId="0" borderId="0" xfId="0" applyNumberFormat="1" applyFont="1" applyFill="1" applyAlignment="1">
      <alignment vertical="center"/>
    </xf>
    <xf numFmtId="169" fontId="20" fillId="0" borderId="0" xfId="0" applyNumberFormat="1" applyFont="1" applyFill="1" applyAlignment="1">
      <alignment horizontal="left" vertical="center"/>
    </xf>
    <xf numFmtId="169" fontId="89" fillId="0" borderId="0" xfId="0" applyNumberFormat="1" applyFont="1" applyFill="1" applyAlignment="1">
      <alignment horizontal="center" vertical="center"/>
    </xf>
    <xf numFmtId="175" fontId="12" fillId="3" borderId="0" xfId="0" applyNumberFormat="1" applyFont="1" applyFill="1" applyBorder="1" applyAlignment="1">
      <alignment vertical="center"/>
    </xf>
    <xf numFmtId="191" fontId="12" fillId="72" borderId="0" xfId="0" applyNumberFormat="1" applyFont="1" applyFill="1" applyBorder="1" applyAlignment="1">
      <alignment horizontal="right" vertical="center"/>
    </xf>
    <xf numFmtId="0" fontId="12" fillId="72" borderId="0" xfId="0" applyFont="1" applyFill="1" applyAlignment="1">
      <alignment vertical="center" wrapText="1"/>
    </xf>
    <xf numFmtId="175" fontId="12" fillId="3" borderId="0" xfId="0" applyNumberFormat="1" applyFont="1" applyFill="1" applyAlignment="1">
      <alignment vertical="center"/>
    </xf>
    <xf numFmtId="10" fontId="12" fillId="72" borderId="0" xfId="0" applyNumberFormat="1" applyFont="1" applyFill="1" applyAlignment="1">
      <alignment vertical="center"/>
    </xf>
    <xf numFmtId="175" fontId="12" fillId="0" borderId="0" xfId="0" applyNumberFormat="1" applyFont="1" applyFill="1" applyBorder="1" applyAlignment="1">
      <alignment vertical="center"/>
    </xf>
    <xf numFmtId="0" fontId="39" fillId="0" borderId="12" xfId="76" applyBorder="1" applyAlignment="1">
      <alignment horizontal="center" vertical="center" wrapText="1"/>
    </xf>
    <xf numFmtId="49" fontId="12" fillId="3" borderId="0" xfId="0" applyNumberFormat="1" applyFont="1" applyFill="1" applyBorder="1" applyAlignment="1">
      <alignment vertical="center" wrapText="1"/>
    </xf>
    <xf numFmtId="169" fontId="12" fillId="0" borderId="0" xfId="0" applyNumberFormat="1" applyFont="1" applyFill="1" applyBorder="1" applyAlignment="1">
      <alignment horizontal="left" vertical="center"/>
    </xf>
    <xf numFmtId="169" fontId="18" fillId="0" borderId="55" xfId="0" applyNumberFormat="1" applyFont="1" applyFill="1" applyBorder="1" applyAlignment="1">
      <alignment vertical="center"/>
    </xf>
    <xf numFmtId="169" fontId="18" fillId="0" borderId="9" xfId="0" applyNumberFormat="1" applyFont="1" applyFill="1" applyBorder="1" applyAlignment="1">
      <alignment vertical="center"/>
    </xf>
    <xf numFmtId="0" fontId="12" fillId="4" borderId="0" xfId="0" applyFont="1" applyFill="1" applyBorder="1" applyAlignment="1">
      <alignment horizontal="left" vertical="top"/>
    </xf>
    <xf numFmtId="0" fontId="12" fillId="4" borderId="0" xfId="0" applyFont="1" applyFill="1" applyBorder="1" applyAlignment="1">
      <alignment horizontal="left" vertical="top" wrapText="1"/>
    </xf>
    <xf numFmtId="192" fontId="18" fillId="0" borderId="0" xfId="75" applyNumberFormat="1" applyFont="1" applyAlignment="1">
      <alignment vertical="center"/>
    </xf>
    <xf numFmtId="167" fontId="18" fillId="0" borderId="9" xfId="0" applyNumberFormat="1" applyFont="1" applyFill="1" applyBorder="1" applyAlignment="1">
      <alignment vertical="center"/>
    </xf>
    <xf numFmtId="196" fontId="12" fillId="0" borderId="0" xfId="0" applyNumberFormat="1" applyFont="1" applyFill="1" applyBorder="1" applyAlignment="1">
      <alignment vertical="center"/>
    </xf>
    <xf numFmtId="197" fontId="15" fillId="0" borderId="2" xfId="0" applyNumberFormat="1" applyFont="1" applyFill="1" applyBorder="1" applyAlignment="1">
      <alignment vertical="center"/>
    </xf>
    <xf numFmtId="175" fontId="12" fillId="3" borderId="3" xfId="0" applyNumberFormat="1" applyFont="1" applyFill="1" applyBorder="1" applyAlignment="1">
      <alignment vertical="center"/>
    </xf>
    <xf numFmtId="169" fontId="12" fillId="3" borderId="0" xfId="0" applyNumberFormat="1" applyFont="1" applyFill="1" applyAlignment="1">
      <alignment vertical="center"/>
    </xf>
    <xf numFmtId="0" fontId="12" fillId="0" borderId="0" xfId="1" applyNumberFormat="1" applyFont="1" applyFill="1" applyBorder="1" applyAlignment="1">
      <alignment vertical="center"/>
    </xf>
    <xf numFmtId="176" fontId="0" fillId="3" borderId="0" xfId="0" applyNumberFormat="1" applyFill="1"/>
    <xf numFmtId="0" fontId="12" fillId="4" borderId="0" xfId="0" applyFont="1" applyFill="1" applyBorder="1" applyAlignment="1">
      <alignment horizontal="left" vertical="top" wrapText="1"/>
    </xf>
  </cellXfs>
  <cellStyles count="2263">
    <cellStyle name="%" xfId="5" xr:uid="{00000000-0005-0000-0000-000000000000}"/>
    <cellStyle name="% 2" xfId="6" xr:uid="{00000000-0005-0000-0000-000001000000}"/>
    <cellStyle name="% 3" xfId="88" xr:uid="{00000000-0005-0000-0000-000002000000}"/>
    <cellStyle name="%_NRA_model_for_NEMO" xfId="89" xr:uid="{00000000-0005-0000-0000-000003000000}"/>
    <cellStyle name="%_NRA_model_for_NEMO_NRA_model_for_NEMO2 (EMC Update) v0 30 1" xfId="90" xr:uid="{00000000-0005-0000-0000-000004000000}"/>
    <cellStyle name="%_NRA_model_for_NEMO_NRA_model_for_NEMO2 (EMC Update) v0.29.3" xfId="91" xr:uid="{00000000-0005-0000-0000-000005000000}"/>
    <cellStyle name="%_NRA_model_for_NEMO_NRA_model_for_NEMO2 (EMC Update) v0.29.3_NRA_model_for_NEMO2 (EMC Update) v0 30 1" xfId="92" xr:uid="{00000000-0005-0000-0000-000006000000}"/>
    <cellStyle name="%_NRA_model_for_NEMO_NRA_model_for_NEMO2 (EMC Update) v0.29.3_NRA_model_for_NEMO2 (EMC Update) v0.29.5" xfId="93" xr:uid="{00000000-0005-0000-0000-000007000000}"/>
    <cellStyle name="%_NRA_model_for_NEMO_NRA_model_for_NEMO2 (EMC Update) v0.29.3_NRA_model_for_NEMO2 (EMC Update) v0.29.5_NRA_model_for_NEMO2 (EMC Update) v0 30 1" xfId="94" xr:uid="{00000000-0005-0000-0000-000008000000}"/>
    <cellStyle name="%_NRA_model_for_NEMO_NRA_model_for_NEMO2 (EMC Update) v0.29.4" xfId="95" xr:uid="{00000000-0005-0000-0000-000009000000}"/>
    <cellStyle name="%_NRA_model_for_NEMO_NRA_model_for_NEMO2 (EMC Update) v0.29.4_NRA_model_for_NEMO2 (EMC Update) v0 30 1" xfId="96" xr:uid="{00000000-0005-0000-0000-00000A000000}"/>
    <cellStyle name="%_NRA_model_for_NEMO_NRA_model_for_NEMO2 (EMC Update) v0.29.4_NRA_model_for_NEMO2 (EMC Update) v0.29.5" xfId="97" xr:uid="{00000000-0005-0000-0000-00000B000000}"/>
    <cellStyle name="%_NRA_model_for_NEMO_NRA_model_for_NEMO2 (EMC Update) v0.29.4_NRA_model_for_NEMO2 (EMC Update) v0.29.5_NRA_model_for_NEMO2 (EMC Update) v0 30 1" xfId="98" xr:uid="{00000000-0005-0000-0000-00000C000000}"/>
    <cellStyle name="%_NRA_model_for_NEMO_NRA_model_for_NEMO2 (EMC Update) v0.29.5" xfId="99" xr:uid="{00000000-0005-0000-0000-00000D000000}"/>
    <cellStyle name="%_NRA_model_for_NEMO_NRA_model_for_NEMO2 (EMC Update) v0.29.5_NRA_model_for_NEMO2 (EMC Update) v0 30 1" xfId="100" xr:uid="{00000000-0005-0000-0000-00000E000000}"/>
    <cellStyle name="%_NRA_model_for_NEMO2 " xfId="101" xr:uid="{00000000-0005-0000-0000-00000F000000}"/>
    <cellStyle name="%_NRA_model_for_NEMO2 (E" xfId="102" xr:uid="{00000000-0005-0000-0000-000010000000}"/>
    <cellStyle name="%_NRA_model_for_NEMO2 (E_NRA_model_for_NEMO2 (EMC Update) v0 30 1" xfId="103" xr:uid="{00000000-0005-0000-0000-000011000000}"/>
    <cellStyle name="%_NRA_model_for_NEMO2 (EMC" xfId="104" xr:uid="{00000000-0005-0000-0000-000012000000}"/>
    <cellStyle name="%_NRA_model_for_NEMO2 (EMC Update) v0 30 1" xfId="105" xr:uid="{00000000-0005-0000-0000-000013000000}"/>
    <cellStyle name="%_NRA_model_for_NEMO2 (EMC Update) v0.19" xfId="106" xr:uid="{00000000-0005-0000-0000-000014000000}"/>
    <cellStyle name="%_NRA_model_for_NEMO2 (EMC Update) v0.19_NRA_model_for_NEMO2 (EMC Update) v0 30 1" xfId="107" xr:uid="{00000000-0005-0000-0000-000015000000}"/>
    <cellStyle name="%_NRA_model_for_NEMO2 (EMC Update) v0.19_NRA_model_for_NEMO2 (EMC Update) v0.21" xfId="108" xr:uid="{00000000-0005-0000-0000-000016000000}"/>
    <cellStyle name="%_NRA_model_for_NEMO2 (EMC Update) v0.19_NRA_model_for_NEMO2 (EMC Update) v0.21_NRA_model_for_NEMO2 (EMC Update) v0 30 1" xfId="109" xr:uid="{00000000-0005-0000-0000-000017000000}"/>
    <cellStyle name="%_NRA_model_for_NEMO2 (EMC Update) v0.19_NRA_model_for_NEMO2 (EMC Update) v0.21_NRA_model_for_NEMO2 (EMC Update) v0.22" xfId="110" xr:uid="{00000000-0005-0000-0000-000018000000}"/>
    <cellStyle name="%_NRA_model_for_NEMO2 (EMC Update) v0.19_NRA_model_for_NEMO2 (EMC Update) v0.21_NRA_model_for_NEMO2 (EMC Update) v0.22_NRA_model_for_NEMO2 (EMC Update) v0 30 1" xfId="111" xr:uid="{00000000-0005-0000-0000-000019000000}"/>
    <cellStyle name="%_NRA_model_for_NEMO2 (EMC Update) v0.19_NRA_model_for_NEMO2 (EMC Update) v0.21_NRA_model_for_NEMO2 (EMC Update) v0.22_NRA_model_for_NEMO2 (EMC Update) v0.25" xfId="112" xr:uid="{00000000-0005-0000-0000-00001A000000}"/>
    <cellStyle name="%_NRA_model_for_NEMO2 (EMC Update) v0.19_NRA_model_for_NEMO2 (EMC Update) v0.21_NRA_model_for_NEMO2 (EMC Update) v0.22_NRA_model_for_NEMO2 (EMC Update) v0.25_NRA_model_for_NEMO2 (EMC Update) v0 30 1" xfId="113" xr:uid="{00000000-0005-0000-0000-00001B000000}"/>
    <cellStyle name="%_NRA_model_for_NEMO2 (EMC Update) v0.19_NRA_model_for_NEMO2 (EMC Update) v0.21_NRA_model_for_NEMO2 (EMC Update) v0.22_NRA_model_for_NEMO2 (EMC Update) v0.25_NRA_model_for_NEMO2 (EMC Update) v0.26" xfId="114" xr:uid="{00000000-0005-0000-0000-00001C000000}"/>
    <cellStyle name="%_NRA_model_for_NEMO2 (EMC Update) v0.19_NRA_model_for_NEMO2 (EMC Update) v0.21_NRA_model_for_NEMO2 (EMC Update) v0.22_NRA_model_for_NEMO2 (EMC Update) v0.25_NRA_model_for_NEMO2 (EMC Update) v0.26_NRA_model_for_NEMO2 (EMC Update) v0 30 1" xfId="115" xr:uid="{00000000-0005-0000-0000-00001D000000}"/>
    <cellStyle name="%_NRA_model_for_NEMO2 (EMC Update) v0.19_NRA_model_for_NEMO2 (EMC Update) v0.21_NRA_model_for_NEMO2 (EMC Update) v0.22_NRA_model_for_NEMO2 (EMC Update) v0.25_NRA_model_for_NEMO2 (EMC Update) v0.26_NRA_model_for_NEMO2 (EMC Update) v0.29" xfId="116" xr:uid="{00000000-0005-0000-0000-00001E000000}"/>
    <cellStyle name="%_NRA_model_for_NEMO2 (EMC Update) v0.19_NRA_model_for_NEMO2 (EMC Update) v0.21_NRA_model_for_NEMO2 (EMC Update) v0.22_NRA_model_for_NEMO2 (EMC Update) v0.25_NRA_model_for_NEMO2 (EMC Update) v0.26_NRA_model_for_NEMO2 (EMC Update) v0.29.2" xfId="117" xr:uid="{00000000-0005-0000-0000-00001F000000}"/>
    <cellStyle name="%_NRA_model_for_NEMO2 (EMC Update) v0.19_NRA_model_for_NEMO2 (EMC Update) v0.21_NRA_model_for_NEMO2 (EMC Update) v0.22_NRA_model_for_NEMO2 (EMC Update) v0.25_NRA_model_for_NEMO2 (EMC Update) v0.26_NRA_model_for_NEMO2 (EMC Update) v0.29.3" xfId="118" xr:uid="{00000000-0005-0000-0000-000020000000}"/>
    <cellStyle name="%_NRA_model_for_NEMO2 (EMC Update) v0.19_NRA_model_for_NEMO2 (EMC Update) v0.21_NRA_model_for_NEMO2 (EMC Update) v0.22_NRA_model_for_NEMO2 (EMC Update) v0.25_NRA_model_for_NEMO2 (EMC Update) v0.26_NRA_model_for_NEMO2 (EMC Update) v0.29.4" xfId="119" xr:uid="{00000000-0005-0000-0000-000021000000}"/>
    <cellStyle name="%_NRA_model_for_NEMO2 (EMC Update) v0.19_NRA_model_for_NEMO2 (EMC Update) v0.21_NRA_model_for_NEMO2 (EMC Update) v0.22_NRA_model_for_NEMO2 (EMC Update) v0.25_NRA_model_for_NEMO2 (EMC Update) v0.26_NRA_model_for_NEMO2 (EMC Update) v0.29.5" xfId="120" xr:uid="{00000000-0005-0000-0000-000022000000}"/>
    <cellStyle name="%_NRA_model_for_NEMO2 (EMC Update) v0.19_NRA_model_for_NEMO2 (EMC Update) v0.21_NRA_model_for_NEMO2 (EMC Update) v0.22_NRA_model_for_NEMO2 (EMC Update) v0.25_NRA_model_for_NEMO2 (EMC Update) v0.29" xfId="121" xr:uid="{00000000-0005-0000-0000-000023000000}"/>
    <cellStyle name="%_NRA_model_for_NEMO2 (EMC Update) v0.19_NRA_model_for_NEMO2 (EMC Update) v0.21_NRA_model_for_NEMO2 (EMC Update) v0.22_NRA_model_for_NEMO2 (EMC Update) v0.25_NRA_model_for_NEMO2 (EMC Update) v0.29.2" xfId="122" xr:uid="{00000000-0005-0000-0000-000024000000}"/>
    <cellStyle name="%_NRA_model_for_NEMO2 (EMC Update) v0.19_NRA_model_for_NEMO2 (EMC Update) v0.21_NRA_model_for_NEMO2 (EMC Update) v0.22_NRA_model_for_NEMO2 (EMC Update) v0.25_NRA_model_for_NEMO2 (EMC Update) v0.29.2_NRA_model_for_NEMO2 (EMC Update) v0 30 1" xfId="123" xr:uid="{00000000-0005-0000-0000-000025000000}"/>
    <cellStyle name="%_NRA_model_for_NEMO2 (EMC Update) v0.19_NRA_model_for_NEMO2 (EMC Update) v0.21_NRA_model_for_NEMO2 (EMC Update) v0.22_NRA_model_for_NEMO2 (EMC Update) v0.25_NRA_model_for_NEMO2 (EMC Update) v0.29.2_NRA_model_for_NEMO2 (EMC Update) v0.29.3" xfId="124" xr:uid="{00000000-0005-0000-0000-000026000000}"/>
    <cellStyle name="%_NRA_model_for_NEMO2 (EMC Update) v0.19_NRA_model_for_NEMO2 (EMC Update) v0.21_NRA_model_for_NEMO2 (EMC Update) v0.22_NRA_model_for_NEMO2 (EMC Update) v0.25_NRA_model_for_NEMO2 (EMC Update) v0.29.2_NRA_model_for_NEMO2 (EMC Update) v0.29.4" xfId="125" xr:uid="{00000000-0005-0000-0000-000027000000}"/>
    <cellStyle name="%_NRA_model_for_NEMO2 (EMC Update) v0.19_NRA_model_for_NEMO2 (EMC Update) v0.21_NRA_model_for_NEMO2 (EMC Update) v0.22_NRA_model_for_NEMO2 (EMC Update) v0.25_NRA_model_for_NEMO2 (EMC Update) v0.29.2_NRA_model_for_NEMO2 (EMC Update) v0.29.5" xfId="126" xr:uid="{00000000-0005-0000-0000-000028000000}"/>
    <cellStyle name="%_NRA_model_for_NEMO2 (EMC Update) v0.19_NRA_model_for_NEMO2 (EMC Update) v0.21_NRA_model_for_NEMO2 (EMC Update) v0.22_NRA_model_for_NEMO2 (EMC Update) v0.25_NRA_model_for_NEMO2 (EMC Update) v0.29.3" xfId="127" xr:uid="{00000000-0005-0000-0000-000029000000}"/>
    <cellStyle name="%_NRA_model_for_NEMO2 (EMC Update) v0.19_NRA_model_for_NEMO2 (EMC Update) v0.21_NRA_model_for_NEMO2 (EMC Update) v0.22_NRA_model_for_NEMO2 (EMC Update) v0.25_NRA_model_for_NEMO2 (EMC Update) v0.29.3_NRA_model_for_NEMO2 (EMC Update) v0 30 1" xfId="128" xr:uid="{00000000-0005-0000-0000-00002A000000}"/>
    <cellStyle name="%_NRA_model_for_NEMO2 (EMC Update) v0.19_NRA_model_for_NEMO2 (EMC Update) v0.21_NRA_model_for_NEMO2 (EMC Update) v0.22_NRA_model_for_NEMO2 (EMC Update) v0.25_NRA_model_for_NEMO2 (EMC Update) v0.29.3_NRA_model_for_NEMO2 (EMC Update) v0.29.5" xfId="129" xr:uid="{00000000-0005-0000-0000-00002B000000}"/>
    <cellStyle name="%_NRA_model_for_NEMO2 (EMC Update) v0.19_NRA_model_for_NEMO2 (EMC Update) v0.21_NRA_model_for_NEMO2 (EMC Update) v0.22_NRA_model_for_NEMO2 (EMC Update) v0.25_NRA_model_for_NEMO2 (EMC Update) v0.29.4" xfId="130" xr:uid="{00000000-0005-0000-0000-00002C000000}"/>
    <cellStyle name="%_NRA_model_for_NEMO2 (EMC Update) v0.19_NRA_model_for_NEMO2 (EMC Update) v0.21_NRA_model_for_NEMO2 (EMC Update) v0.22_NRA_model_for_NEMO2 (EMC Update) v0.25_NRA_model_for_NEMO2 (EMC Update) v0.29.4_NRA_model_for_NEMO2 (EMC Update) v0 30 1" xfId="131" xr:uid="{00000000-0005-0000-0000-00002D000000}"/>
    <cellStyle name="%_NRA_model_for_NEMO2 (EMC Update) v0.19_NRA_model_for_NEMO2 (EMC Update) v0.21_NRA_model_for_NEMO2 (EMC Update) v0.22_NRA_model_for_NEMO2 (EMC Update) v0.25_NRA_model_for_NEMO2 (EMC Update) v0.29.4_NRA_model_for_NEMO2 (EMC Update) v0.29.5" xfId="132" xr:uid="{00000000-0005-0000-0000-00002E000000}"/>
    <cellStyle name="%_NRA_model_for_NEMO2 (EMC Update) v0.19_NRA_model_for_NEMO2 (EMC Update) v0.21_NRA_model_for_NEMO2 (EMC Update) v0.22_NRA_model_for_NEMO2 (EMC Update) v0.25_NRA_model_for_NEMO2 (EMC Update) v0.29.5" xfId="133" xr:uid="{00000000-0005-0000-0000-00002F000000}"/>
    <cellStyle name="%_NRA_model_for_NEMO2 (EMC Update) v0.19_NRA_model_for_NEMO2 (EMC Update) v0.21_NRA_model_for_NEMO2 (EMC Update) v0.22_NRA_model_for_NEMO2 (EMC Update) v0.25_NRA_model_for_NEMO2 (EMC Update) v0.29.5_NRA_model_for_NEMO2 (EMC Update) v0 30 1" xfId="134" xr:uid="{00000000-0005-0000-0000-000030000000}"/>
    <cellStyle name="%_NRA_model_for_NEMO2 (EMC Update) v0.19_NRA_model_for_NEMO2 (EMC Update) v0.21_NRA_model_for_NEMO2 (EMC Update) v0.22_NRA_model_for_NEMO2 (EMC Update) v0.25_NRA_model_for_NEMO2 (EMC Update) v0.29_NRA_model_for_NEMO2 (EMC Update) v0 30 1" xfId="135" xr:uid="{00000000-0005-0000-0000-000031000000}"/>
    <cellStyle name="%_NRA_model_for_NEMO2 (EMC Update) v0.19_NRA_model_for_NEMO2 (EMC Update) v0.21_NRA_model_for_NEMO2 (EMC Update) v0.22_NRA_model_for_NEMO2 (EMC Update) v0.25_NRA_model_for_NEMO2 (EMC Update) v0.29_NRA_model_for_NEMO2 (EMC Update) v0.29.2" xfId="136" xr:uid="{00000000-0005-0000-0000-000032000000}"/>
    <cellStyle name="%_NRA_model_for_NEMO2 (EMC Update) v0.19_NRA_model_for_NEMO2 (EMC Update) v0.21_NRA_model_for_NEMO2 (EMC Update) v0.22_NRA_model_for_NEMO2 (EMC Update) v0.25_NRA_model_for_NEMO2 (EMC Update) v0.29_NRA_model_for_NEMO2 (EMC Update) v0.29.3" xfId="137" xr:uid="{00000000-0005-0000-0000-000033000000}"/>
    <cellStyle name="%_NRA_model_for_NEMO2 (EMC Update) v0.19_NRA_model_for_NEMO2 (EMC Update) v0.21_NRA_model_for_NEMO2 (EMC Update) v0.22_NRA_model_for_NEMO2 (EMC Update) v0.25_NRA_model_for_NEMO2 (EMC Update) v0.29_NRA_model_for_NEMO2 (EMC Update) v0.29.4" xfId="138" xr:uid="{00000000-0005-0000-0000-000034000000}"/>
    <cellStyle name="%_NRA_model_for_NEMO2 (EMC Update) v0.19_NRA_model_for_NEMO2 (EMC Update) v0.21_NRA_model_for_NEMO2 (EMC Update) v0.22_NRA_model_for_NEMO2 (EMC Update) v0.25_NRA_model_for_NEMO2 (EMC Update) v0.29_NRA_model_for_NEMO2 (EMC Update) v0.29.5" xfId="139" xr:uid="{00000000-0005-0000-0000-000035000000}"/>
    <cellStyle name="%_NRA_model_for_NEMO2 (EMC Update) v0.19_NRA_model_for_NEMO2 (EMC Update) v0.21_NRA_model_for_NEMO2 (EMC Update) v0.22_NRA_model_for_NEMO2 (EMC Update) v0.26" xfId="140" xr:uid="{00000000-0005-0000-0000-000036000000}"/>
    <cellStyle name="%_NRA_model_for_NEMO2 (EMC Update) v0.19_NRA_model_for_NEMO2 (EMC Update) v0.21_NRA_model_for_NEMO2 (EMC Update) v0.22_NRA_model_for_NEMO2 (EMC Update) v0.26_NRA_model_for_NEMO2 (EMC Update) v0 30 1" xfId="141" xr:uid="{00000000-0005-0000-0000-000037000000}"/>
    <cellStyle name="%_NRA_model_for_NEMO2 (EMC Update) v0.19_NRA_model_for_NEMO2 (EMC Update) v0.21_NRA_model_for_NEMO2 (EMC Update) v0.22_NRA_model_for_NEMO2 (EMC Update) v0.26_NRA_model_for_NEMO2 (EMC Update) v0.29" xfId="142" xr:uid="{00000000-0005-0000-0000-000038000000}"/>
    <cellStyle name="%_NRA_model_for_NEMO2 (EMC Update) v0.19_NRA_model_for_NEMO2 (EMC Update) v0.21_NRA_model_for_NEMO2 (EMC Update) v0.22_NRA_model_for_NEMO2 (EMC Update) v0.26_NRA_model_for_NEMO2 (EMC Update) v0.29.2" xfId="143" xr:uid="{00000000-0005-0000-0000-000039000000}"/>
    <cellStyle name="%_NRA_model_for_NEMO2 (EMC Update) v0.19_NRA_model_for_NEMO2 (EMC Update) v0.21_NRA_model_for_NEMO2 (EMC Update) v0.22_NRA_model_for_NEMO2 (EMC Update) v0.26_NRA_model_for_NEMO2 (EMC Update) v0.29.2_NRA_model_for_NEMO2 (EMC Update) v0 30 1" xfId="144" xr:uid="{00000000-0005-0000-0000-00003A000000}"/>
    <cellStyle name="%_NRA_model_for_NEMO2 (EMC Update) v0.19_NRA_model_for_NEMO2 (EMC Update) v0.21_NRA_model_for_NEMO2 (EMC Update) v0.22_NRA_model_for_NEMO2 (EMC Update) v0.26_NRA_model_for_NEMO2 (EMC Update) v0.29.2_NRA_model_for_NEMO2 (EMC Update) v0.29.3" xfId="145" xr:uid="{00000000-0005-0000-0000-00003B000000}"/>
    <cellStyle name="%_NRA_model_for_NEMO2 (EMC Update) v0.19_NRA_model_for_NEMO2 (EMC Update) v0.21_NRA_model_for_NEMO2 (EMC Update) v0.22_NRA_model_for_NEMO2 (EMC Update) v0.26_NRA_model_for_NEMO2 (EMC Update) v0.29.2_NRA_model_for_NEMO2 (EMC Update) v0.29.4" xfId="146" xr:uid="{00000000-0005-0000-0000-00003C000000}"/>
    <cellStyle name="%_NRA_model_for_NEMO2 (EMC Update) v0.19_NRA_model_for_NEMO2 (EMC Update) v0.21_NRA_model_for_NEMO2 (EMC Update) v0.22_NRA_model_for_NEMO2 (EMC Update) v0.26_NRA_model_for_NEMO2 (EMC Update) v0.29.2_NRA_model_for_NEMO2 (EMC Update) v0.29.5" xfId="147" xr:uid="{00000000-0005-0000-0000-00003D000000}"/>
    <cellStyle name="%_NRA_model_for_NEMO2 (EMC Update) v0.19_NRA_model_for_NEMO2 (EMC Update) v0.21_NRA_model_for_NEMO2 (EMC Update) v0.22_NRA_model_for_NEMO2 (EMC Update) v0.26_NRA_model_for_NEMO2 (EMC Update) v0.29.3" xfId="148" xr:uid="{00000000-0005-0000-0000-00003E000000}"/>
    <cellStyle name="%_NRA_model_for_NEMO2 (EMC Update) v0.19_NRA_model_for_NEMO2 (EMC Update) v0.21_NRA_model_for_NEMO2 (EMC Update) v0.22_NRA_model_for_NEMO2 (EMC Update) v0.26_NRA_model_for_NEMO2 (EMC Update) v0.29.3_NRA_model_for_NEMO2 (EMC Update) v0 30 1" xfId="149" xr:uid="{00000000-0005-0000-0000-00003F000000}"/>
    <cellStyle name="%_NRA_model_for_NEMO2 (EMC Update) v0.19_NRA_model_for_NEMO2 (EMC Update) v0.21_NRA_model_for_NEMO2 (EMC Update) v0.22_NRA_model_for_NEMO2 (EMC Update) v0.26_NRA_model_for_NEMO2 (EMC Update) v0.29.3_NRA_model_for_NEMO2 (EMC Update) v0.29.5" xfId="150" xr:uid="{00000000-0005-0000-0000-000040000000}"/>
    <cellStyle name="%_NRA_model_for_NEMO2 (EMC Update) v0.19_NRA_model_for_NEMO2 (EMC Update) v0.21_NRA_model_for_NEMO2 (EMC Update) v0.22_NRA_model_for_NEMO2 (EMC Update) v0.26_NRA_model_for_NEMO2 (EMC Update) v0.29.4" xfId="151" xr:uid="{00000000-0005-0000-0000-000041000000}"/>
    <cellStyle name="%_NRA_model_for_NEMO2 (EMC Update) v0.19_NRA_model_for_NEMO2 (EMC Update) v0.21_NRA_model_for_NEMO2 (EMC Update) v0.22_NRA_model_for_NEMO2 (EMC Update) v0.26_NRA_model_for_NEMO2 (EMC Update) v0.29.4_NRA_model_for_NEMO2 (EMC Update) v0 30 1" xfId="152" xr:uid="{00000000-0005-0000-0000-000042000000}"/>
    <cellStyle name="%_NRA_model_for_NEMO2 (EMC Update) v0.19_NRA_model_for_NEMO2 (EMC Update) v0.21_NRA_model_for_NEMO2 (EMC Update) v0.22_NRA_model_for_NEMO2 (EMC Update) v0.26_NRA_model_for_NEMO2 (EMC Update) v0.29.4_NRA_model_for_NEMO2 (EMC Update) v0.29.5" xfId="153" xr:uid="{00000000-0005-0000-0000-000043000000}"/>
    <cellStyle name="%_NRA_model_for_NEMO2 (EMC Update) v0.19_NRA_model_for_NEMO2 (EMC Update) v0.21_NRA_model_for_NEMO2 (EMC Update) v0.22_NRA_model_for_NEMO2 (EMC Update) v0.26_NRA_model_for_NEMO2 (EMC Update) v0.29.5" xfId="154" xr:uid="{00000000-0005-0000-0000-000044000000}"/>
    <cellStyle name="%_NRA_model_for_NEMO2 (EMC Update) v0.19_NRA_model_for_NEMO2 (EMC Update) v0.21_NRA_model_for_NEMO2 (EMC Update) v0.22_NRA_model_for_NEMO2 (EMC Update) v0.26_NRA_model_for_NEMO2 (EMC Update) v0.29.5_NRA_model_for_NEMO2 (EMC Update) v0 30 1" xfId="155" xr:uid="{00000000-0005-0000-0000-000045000000}"/>
    <cellStyle name="%_NRA_model_for_NEMO2 (EMC Update) v0.19_NRA_model_for_NEMO2 (EMC Update) v0.21_NRA_model_for_NEMO2 (EMC Update) v0.22_NRA_model_for_NEMO2 (EMC Update) v0.26_NRA_model_for_NEMO2 (EMC Update) v0.29_NRA_model_for_NEMO2 (EMC Update) v0 30 1" xfId="156" xr:uid="{00000000-0005-0000-0000-000046000000}"/>
    <cellStyle name="%_NRA_model_for_NEMO2 (EMC Update) v0.19_NRA_model_for_NEMO2 (EMC Update) v0.21_NRA_model_for_NEMO2 (EMC Update) v0.22_NRA_model_for_NEMO2 (EMC Update) v0.26_NRA_model_for_NEMO2 (EMC Update) v0.29_NRA_model_for_NEMO2 (EMC Update) v0.29.2" xfId="157" xr:uid="{00000000-0005-0000-0000-000047000000}"/>
    <cellStyle name="%_NRA_model_for_NEMO2 (EMC Update) v0.19_NRA_model_for_NEMO2 (EMC Update) v0.21_NRA_model_for_NEMO2 (EMC Update) v0.22_NRA_model_for_NEMO2 (EMC Update) v0.26_NRA_model_for_NEMO2 (EMC Update) v0.29_NRA_model_for_NEMO2 (EMC Update) v0.29.3" xfId="158" xr:uid="{00000000-0005-0000-0000-000048000000}"/>
    <cellStyle name="%_NRA_model_for_NEMO2 (EMC Update) v0.19_NRA_model_for_NEMO2 (EMC Update) v0.21_NRA_model_for_NEMO2 (EMC Update) v0.22_NRA_model_for_NEMO2 (EMC Update) v0.26_NRA_model_for_NEMO2 (EMC Update) v0.29_NRA_model_for_NEMO2 (EMC Update) v0.29.4" xfId="159" xr:uid="{00000000-0005-0000-0000-000049000000}"/>
    <cellStyle name="%_NRA_model_for_NEMO2 (EMC Update) v0.19_NRA_model_for_NEMO2 (EMC Update) v0.21_NRA_model_for_NEMO2 (EMC Update) v0.22_NRA_model_for_NEMO2 (EMC Update) v0.26_NRA_model_for_NEMO2 (EMC Update) v0.29_NRA_model_for_NEMO2 (EMC Update) v0.29.5" xfId="160" xr:uid="{00000000-0005-0000-0000-00004A000000}"/>
    <cellStyle name="%_NRA_model_for_NEMO2 (EMC Update) v0.19_NRA_model_for_NEMO2 (EMC Update) v0.21_NRA_model_for_NEMO2 (EMC Update) v0.22_NRA_model_for_NEMO2 (EMC Update) v0.29" xfId="161" xr:uid="{00000000-0005-0000-0000-00004B000000}"/>
    <cellStyle name="%_NRA_model_for_NEMO2 (EMC Update) v0.19_NRA_model_for_NEMO2 (EMC Update) v0.21_NRA_model_for_NEMO2 (EMC Update) v0.22_NRA_model_for_NEMO2 (EMC Update) v0.29.2" xfId="162" xr:uid="{00000000-0005-0000-0000-00004C000000}"/>
    <cellStyle name="%_NRA_model_for_NEMO2 (EMC Update) v0.19_NRA_model_for_NEMO2 (EMC Update) v0.21_NRA_model_for_NEMO2 (EMC Update) v0.22_NRA_model_for_NEMO2 (EMC Update) v0.29.2_NRA_model_for_NEMO2 (EMC Update) v0 30 1" xfId="163" xr:uid="{00000000-0005-0000-0000-00004D000000}"/>
    <cellStyle name="%_NRA_model_for_NEMO2 (EMC Update) v0.19_NRA_model_for_NEMO2 (EMC Update) v0.21_NRA_model_for_NEMO2 (EMC Update) v0.22_NRA_model_for_NEMO2 (EMC Update) v0.29.2_NRA_model_for_NEMO2 (EMC Update) v0.29.3" xfId="164" xr:uid="{00000000-0005-0000-0000-00004E000000}"/>
    <cellStyle name="%_NRA_model_for_NEMO2 (EMC Update) v0.19_NRA_model_for_NEMO2 (EMC Update) v0.21_NRA_model_for_NEMO2 (EMC Update) v0.22_NRA_model_for_NEMO2 (EMC Update) v0.29.2_NRA_model_for_NEMO2 (EMC Update) v0.29.3_NRA_model_for_NEMO2 (EMC Update) v0 30 1" xfId="165" xr:uid="{00000000-0005-0000-0000-00004F000000}"/>
    <cellStyle name="%_NRA_model_for_NEMO2 (EMC Update) v0.19_NRA_model_for_NEMO2 (EMC Update) v0.21_NRA_model_for_NEMO2 (EMC Update) v0.22_NRA_model_for_NEMO2 (EMC Update) v0.29.2_NRA_model_for_NEMO2 (EMC Update) v0.29.3_NRA_model_for_NEMO2 (EMC Update) v0.29.5" xfId="166" xr:uid="{00000000-0005-0000-0000-000050000000}"/>
    <cellStyle name="%_NRA_model_for_NEMO2 (EMC Update) v0.19_NRA_model_for_NEMO2 (EMC Update) v0.21_NRA_model_for_NEMO2 (EMC Update) v0.22_NRA_model_for_NEMO2 (EMC Update) v0.29.2_NRA_model_for_NEMO2 (EMC Update) v0.29.4" xfId="167" xr:uid="{00000000-0005-0000-0000-000051000000}"/>
    <cellStyle name="%_NRA_model_for_NEMO2 (EMC Update) v0.19_NRA_model_for_NEMO2 (EMC Update) v0.21_NRA_model_for_NEMO2 (EMC Update) v0.22_NRA_model_for_NEMO2 (EMC Update) v0.29.2_NRA_model_for_NEMO2 (EMC Update) v0.29.4_NRA_model_for_NEMO2 (EMC Update) v0 30 1" xfId="168" xr:uid="{00000000-0005-0000-0000-000052000000}"/>
    <cellStyle name="%_NRA_model_for_NEMO2 (EMC Update) v0.19_NRA_model_for_NEMO2 (EMC Update) v0.21_NRA_model_for_NEMO2 (EMC Update) v0.22_NRA_model_for_NEMO2 (EMC Update) v0.29.2_NRA_model_for_NEMO2 (EMC Update) v0.29.4_NRA_model_for_NEMO2 (EMC Update) v0.29.5" xfId="169" xr:uid="{00000000-0005-0000-0000-000053000000}"/>
    <cellStyle name="%_NRA_model_for_NEMO2 (EMC Update) v0.19_NRA_model_for_NEMO2 (EMC Update) v0.21_NRA_model_for_NEMO2 (EMC Update) v0.22_NRA_model_for_NEMO2 (EMC Update) v0.29.2_NRA_model_for_NEMO2 (EMC Update) v0.29.5" xfId="170" xr:uid="{00000000-0005-0000-0000-000054000000}"/>
    <cellStyle name="%_NRA_model_for_NEMO2 (EMC Update) v0.19_NRA_model_for_NEMO2 (EMC Update) v0.21_NRA_model_for_NEMO2 (EMC Update) v0.22_NRA_model_for_NEMO2 (EMC Update) v0.29.2_NRA_model_for_NEMO2 (EMC Update) v0.29.5_NRA_model_for_NEMO2 (EMC Update) v0 30 1" xfId="171" xr:uid="{00000000-0005-0000-0000-000055000000}"/>
    <cellStyle name="%_NRA_model_for_NEMO2 (EMC Update) v0.19_NRA_model_for_NEMO2 (EMC Update) v0.21_NRA_model_for_NEMO2 (EMC Update) v0.22_NRA_model_for_NEMO2 (EMC Update) v0.29.3" xfId="172" xr:uid="{00000000-0005-0000-0000-000056000000}"/>
    <cellStyle name="%_NRA_model_for_NEMO2 (EMC Update) v0.19_NRA_model_for_NEMO2 (EMC Update) v0.21_NRA_model_for_NEMO2 (EMC Update) v0.22_NRA_model_for_NEMO2 (EMC Update) v0.29.3_NRA_model_for_NEMO2 (EMC Update) v0 30 1" xfId="173" xr:uid="{00000000-0005-0000-0000-000057000000}"/>
    <cellStyle name="%_NRA_model_for_NEMO2 (EMC Update) v0.19_NRA_model_for_NEMO2 (EMC Update) v0.21_NRA_model_for_NEMO2 (EMC Update) v0.22_NRA_model_for_NEMO2 (EMC Update) v0.29.3_NRA_model_for_NEMO2 (EMC Update) v0.29.5" xfId="174" xr:uid="{00000000-0005-0000-0000-000058000000}"/>
    <cellStyle name="%_NRA_model_for_NEMO2 (EMC Update) v0.19_NRA_model_for_NEMO2 (EMC Update) v0.21_NRA_model_for_NEMO2 (EMC Update) v0.22_NRA_model_for_NEMO2 (EMC Update) v0.29.3_NRA_model_for_NEMO2 (EMC Update) v0.29.5_NRA_model_for_NEMO2 (EMC Update) v0 30 1" xfId="175" xr:uid="{00000000-0005-0000-0000-000059000000}"/>
    <cellStyle name="%_NRA_model_for_NEMO2 (EMC Update) v0.19_NRA_model_for_NEMO2 (EMC Update) v0.21_NRA_model_for_NEMO2 (EMC Update) v0.22_NRA_model_for_NEMO2 (EMC Update) v0.29.4" xfId="176" xr:uid="{00000000-0005-0000-0000-00005A000000}"/>
    <cellStyle name="%_NRA_model_for_NEMO2 (EMC Update) v0.19_NRA_model_for_NEMO2 (EMC Update) v0.21_NRA_model_for_NEMO2 (EMC Update) v0.22_NRA_model_for_NEMO2 (EMC Update) v0.29.4_NRA_model_for_NEMO2 (EMC Update) v0 30 1" xfId="177" xr:uid="{00000000-0005-0000-0000-00005B000000}"/>
    <cellStyle name="%_NRA_model_for_NEMO2 (EMC Update) v0.19_NRA_model_for_NEMO2 (EMC Update) v0.21_NRA_model_for_NEMO2 (EMC Update) v0.22_NRA_model_for_NEMO2 (EMC Update) v0.29.4_NRA_model_for_NEMO2 (EMC Update) v0.29.5" xfId="178" xr:uid="{00000000-0005-0000-0000-00005C000000}"/>
    <cellStyle name="%_NRA_model_for_NEMO2 (EMC Update) v0.19_NRA_model_for_NEMO2 (EMC Update) v0.21_NRA_model_for_NEMO2 (EMC Update) v0.22_NRA_model_for_NEMO2 (EMC Update) v0.29.4_NRA_model_for_NEMO2 (EMC Update) v0.29.5_NRA_model_for_NEMO2 (EMC Update) v0 30 1" xfId="179" xr:uid="{00000000-0005-0000-0000-00005D000000}"/>
    <cellStyle name="%_NRA_model_for_NEMO2 (EMC Update) v0.19_NRA_model_for_NEMO2 (EMC Update) v0.21_NRA_model_for_NEMO2 (EMC Update) v0.22_NRA_model_for_NEMO2 (EMC Update) v0.29.5" xfId="180" xr:uid="{00000000-0005-0000-0000-00005E000000}"/>
    <cellStyle name="%_NRA_model_for_NEMO2 (EMC Update) v0.19_NRA_model_for_NEMO2 (EMC Update) v0.21_NRA_model_for_NEMO2 (EMC Update) v0.22_NRA_model_for_NEMO2 (EMC Update) v0.29.5_NRA_model_for_NEMO2 (EMC Update) v0 30 1" xfId="181" xr:uid="{00000000-0005-0000-0000-00005F000000}"/>
    <cellStyle name="%_NRA_model_for_NEMO2 (EMC Update) v0.19_NRA_model_for_NEMO2 (EMC Update) v0.21_NRA_model_for_NEMO2 (EMC Update) v0.22_NRA_model_for_NEMO2 (EMC Update) v0.29_NRA_model_for_NEMO2 (EMC Update) v0 30 1" xfId="182" xr:uid="{00000000-0005-0000-0000-000060000000}"/>
    <cellStyle name="%_NRA_model_for_NEMO2 (EMC Update) v0.19_NRA_model_for_NEMO2 (EMC Update) v0.21_NRA_model_for_NEMO2 (EMC Update) v0.22_NRA_model_for_NEMO2 (EMC Update) v0.29_NRA_model_for_NEMO2 (EMC Update) v0.29.2" xfId="183" xr:uid="{00000000-0005-0000-0000-000061000000}"/>
    <cellStyle name="%_NRA_model_for_NEMO2 (EMC Update) v0.19_NRA_model_for_NEMO2 (EMC Update) v0.21_NRA_model_for_NEMO2 (EMC Update) v0.22_NRA_model_for_NEMO2 (EMC Update) v0.29_NRA_model_for_NEMO2 (EMC Update) v0.29.2_NRA_model_for_NEMO2 (EMC Update) v0 30 1" xfId="184" xr:uid="{00000000-0005-0000-0000-000062000000}"/>
    <cellStyle name="%_NRA_model_for_NEMO2 (EMC Update) v0.19_NRA_model_for_NEMO2 (EMC Update) v0.21_NRA_model_for_NEMO2 (EMC Update) v0.22_NRA_model_for_NEMO2 (EMC Update) v0.29_NRA_model_for_NEMO2 (EMC Update) v0.29.2_NRA_model_for_NEMO2 (EMC Update) v0.29.3" xfId="185" xr:uid="{00000000-0005-0000-0000-000063000000}"/>
    <cellStyle name="%_NRA_model_for_NEMO2 (EMC Update) v0.19_NRA_model_for_NEMO2 (EMC Update) v0.21_NRA_model_for_NEMO2 (EMC Update) v0.22_NRA_model_for_NEMO2 (EMC Update) v0.29_NRA_model_for_NEMO2 (EMC Update) v0.29.2_NRA_model_for_NEMO2 (EMC Update) v0.29.4" xfId="186" xr:uid="{00000000-0005-0000-0000-000064000000}"/>
    <cellStyle name="%_NRA_model_for_NEMO2 (EMC Update) v0.19_NRA_model_for_NEMO2 (EMC Update) v0.21_NRA_model_for_NEMO2 (EMC Update) v0.22_NRA_model_for_NEMO2 (EMC Update) v0.29_NRA_model_for_NEMO2 (EMC Update) v0.29.2_NRA_model_for_NEMO2 (EMC Update) v0.29.5" xfId="187" xr:uid="{00000000-0005-0000-0000-000065000000}"/>
    <cellStyle name="%_NRA_model_for_NEMO2 (EMC Update) v0.19_NRA_model_for_NEMO2 (EMC Update) v0.21_NRA_model_for_NEMO2 (EMC Update) v0.22_NRA_model_for_NEMO2 (EMC Update) v0.29_NRA_model_for_NEMO2 (EMC Update) v0.29.3" xfId="188" xr:uid="{00000000-0005-0000-0000-000066000000}"/>
    <cellStyle name="%_NRA_model_for_NEMO2 (EMC Update) v0.19_NRA_model_for_NEMO2 (EMC Update) v0.21_NRA_model_for_NEMO2 (EMC Update) v0.22_NRA_model_for_NEMO2 (EMC Update) v0.29_NRA_model_for_NEMO2 (EMC Update) v0.29.3_NRA_model_for_NEMO2 (EMC Update) v0 30 1" xfId="189" xr:uid="{00000000-0005-0000-0000-000067000000}"/>
    <cellStyle name="%_NRA_model_for_NEMO2 (EMC Update) v0.19_NRA_model_for_NEMO2 (EMC Update) v0.21_NRA_model_for_NEMO2 (EMC Update) v0.22_NRA_model_for_NEMO2 (EMC Update) v0.29_NRA_model_for_NEMO2 (EMC Update) v0.29.3_NRA_model_for_NEMO2 (EMC Update) v0.29.5" xfId="190" xr:uid="{00000000-0005-0000-0000-000068000000}"/>
    <cellStyle name="%_NRA_model_for_NEMO2 (EMC Update) v0.19_NRA_model_for_NEMO2 (EMC Update) v0.21_NRA_model_for_NEMO2 (EMC Update) v0.22_NRA_model_for_NEMO2 (EMC Update) v0.29_NRA_model_for_NEMO2 (EMC Update) v0.29.4" xfId="191" xr:uid="{00000000-0005-0000-0000-000069000000}"/>
    <cellStyle name="%_NRA_model_for_NEMO2 (EMC Update) v0.19_NRA_model_for_NEMO2 (EMC Update) v0.21_NRA_model_for_NEMO2 (EMC Update) v0.22_NRA_model_for_NEMO2 (EMC Update) v0.29_NRA_model_for_NEMO2 (EMC Update) v0.29.4_NRA_model_for_NEMO2 (EMC Update) v0 30 1" xfId="192" xr:uid="{00000000-0005-0000-0000-00006A000000}"/>
    <cellStyle name="%_NRA_model_for_NEMO2 (EMC Update) v0.19_NRA_model_for_NEMO2 (EMC Update) v0.21_NRA_model_for_NEMO2 (EMC Update) v0.22_NRA_model_for_NEMO2 (EMC Update) v0.29_NRA_model_for_NEMO2 (EMC Update) v0.29.4_NRA_model_for_NEMO2 (EMC Update) v0.29.5" xfId="193" xr:uid="{00000000-0005-0000-0000-00006B000000}"/>
    <cellStyle name="%_NRA_model_for_NEMO2 (EMC Update) v0.19_NRA_model_for_NEMO2 (EMC Update) v0.21_NRA_model_for_NEMO2 (EMC Update) v0.22_NRA_model_for_NEMO2 (EMC Update) v0.29_NRA_model_for_NEMO2 (EMC Update) v0.29.5" xfId="194" xr:uid="{00000000-0005-0000-0000-00006C000000}"/>
    <cellStyle name="%_NRA_model_for_NEMO2 (EMC Update) v0.19_NRA_model_for_NEMO2 (EMC Update) v0.21_NRA_model_for_NEMO2 (EMC Update) v0.22_NRA_model_for_NEMO2 (EMC Update) v0.29_NRA_model_for_NEMO2 (EMC Update) v0.29.5_NRA_model_for_NEMO2 (EMC Update) v0 30 1" xfId="195" xr:uid="{00000000-0005-0000-0000-00006D000000}"/>
    <cellStyle name="%_NRA_model_for_NEMO2 (EMC Update) v0.19_NRA_model_for_NEMO2 (EMC Update) v0.21_NRA_model_for_NEMO2 (EMC Update) v0.25" xfId="196" xr:uid="{00000000-0005-0000-0000-00006E000000}"/>
    <cellStyle name="%_NRA_model_for_NEMO2 (EMC Update) v0.19_NRA_model_for_NEMO2 (EMC Update) v0.21_NRA_model_for_NEMO2 (EMC Update) v0.25_NRA_model_for_NEMO2 (EMC Update) v0 30 1" xfId="197" xr:uid="{00000000-0005-0000-0000-00006F000000}"/>
    <cellStyle name="%_NRA_model_for_NEMO2 (EMC Update) v0.19_NRA_model_for_NEMO2 (EMC Update) v0.21_NRA_model_for_NEMO2 (EMC Update) v0.25_NRA_model_for_NEMO2 (EMC Update) v0.26" xfId="198" xr:uid="{00000000-0005-0000-0000-000070000000}"/>
    <cellStyle name="%_NRA_model_for_NEMO2 (EMC Update) v0.19_NRA_model_for_NEMO2 (EMC Update) v0.21_NRA_model_for_NEMO2 (EMC Update) v0.25_NRA_model_for_NEMO2 (EMC Update) v0.26_NRA_model_for_NEMO2 (EMC Update) v0 30 1" xfId="199" xr:uid="{00000000-0005-0000-0000-000071000000}"/>
    <cellStyle name="%_NRA_model_for_NEMO2 (EMC Update) v0.19_NRA_model_for_NEMO2 (EMC Update) v0.21_NRA_model_for_NEMO2 (EMC Update) v0.25_NRA_model_for_NEMO2 (EMC Update) v0.26_NRA_model_for_NEMO2 (EMC Update) v0.29" xfId="200" xr:uid="{00000000-0005-0000-0000-000072000000}"/>
    <cellStyle name="%_NRA_model_for_NEMO2 (EMC Update) v0.19_NRA_model_for_NEMO2 (EMC Update) v0.21_NRA_model_for_NEMO2 (EMC Update) v0.25_NRA_model_for_NEMO2 (EMC Update) v0.26_NRA_model_for_NEMO2 (EMC Update) v0.29.2" xfId="201" xr:uid="{00000000-0005-0000-0000-000073000000}"/>
    <cellStyle name="%_NRA_model_for_NEMO2 (EMC Update) v0.19_NRA_model_for_NEMO2 (EMC Update) v0.21_NRA_model_for_NEMO2 (EMC Update) v0.25_NRA_model_for_NEMO2 (EMC Update) v0.26_NRA_model_for_NEMO2 (EMC Update) v0.29.2_NRA_model_for_NEMO2 (EMC Update) v0 30 1" xfId="202" xr:uid="{00000000-0005-0000-0000-000074000000}"/>
    <cellStyle name="%_NRA_model_for_NEMO2 (EMC Update) v0.19_NRA_model_for_NEMO2 (EMC Update) v0.21_NRA_model_for_NEMO2 (EMC Update) v0.25_NRA_model_for_NEMO2 (EMC Update) v0.26_NRA_model_for_NEMO2 (EMC Update) v0.29.2_NRA_model_for_NEMO2 (EMC Update) v0.29.3" xfId="203" xr:uid="{00000000-0005-0000-0000-000075000000}"/>
    <cellStyle name="%_NRA_model_for_NEMO2 (EMC Update) v0.19_NRA_model_for_NEMO2 (EMC Update) v0.21_NRA_model_for_NEMO2 (EMC Update) v0.25_NRA_model_for_NEMO2 (EMC Update) v0.26_NRA_model_for_NEMO2 (EMC Update) v0.29.2_NRA_model_for_NEMO2 (EMC Update) v0.29.4" xfId="204" xr:uid="{00000000-0005-0000-0000-000076000000}"/>
    <cellStyle name="%_NRA_model_for_NEMO2 (EMC Update) v0.19_NRA_model_for_NEMO2 (EMC Update) v0.21_NRA_model_for_NEMO2 (EMC Update) v0.25_NRA_model_for_NEMO2 (EMC Update) v0.26_NRA_model_for_NEMO2 (EMC Update) v0.29.2_NRA_model_for_NEMO2 (EMC Update) v0.29.5" xfId="205" xr:uid="{00000000-0005-0000-0000-000077000000}"/>
    <cellStyle name="%_NRA_model_for_NEMO2 (EMC Update) v0.19_NRA_model_for_NEMO2 (EMC Update) v0.21_NRA_model_for_NEMO2 (EMC Update) v0.25_NRA_model_for_NEMO2 (EMC Update) v0.26_NRA_model_for_NEMO2 (EMC Update) v0.29.3" xfId="206" xr:uid="{00000000-0005-0000-0000-000078000000}"/>
    <cellStyle name="%_NRA_model_for_NEMO2 (EMC Update) v0.19_NRA_model_for_NEMO2 (EMC Update) v0.21_NRA_model_for_NEMO2 (EMC Update) v0.25_NRA_model_for_NEMO2 (EMC Update) v0.26_NRA_model_for_NEMO2 (EMC Update) v0.29.3_NRA_model_for_NEMO2 (EMC Update) v0 30 1" xfId="207" xr:uid="{00000000-0005-0000-0000-000079000000}"/>
    <cellStyle name="%_NRA_model_for_NEMO2 (EMC Update) v0.19_NRA_model_for_NEMO2 (EMC Update) v0.21_NRA_model_for_NEMO2 (EMC Update) v0.25_NRA_model_for_NEMO2 (EMC Update) v0.26_NRA_model_for_NEMO2 (EMC Update) v0.29.3_NRA_model_for_NEMO2 (EMC Update) v0.29.5" xfId="208" xr:uid="{00000000-0005-0000-0000-00007A000000}"/>
    <cellStyle name="%_NRA_model_for_NEMO2 (EMC Update) v0.19_NRA_model_for_NEMO2 (EMC Update) v0.21_NRA_model_for_NEMO2 (EMC Update) v0.25_NRA_model_for_NEMO2 (EMC Update) v0.26_NRA_model_for_NEMO2 (EMC Update) v0.29.4" xfId="209" xr:uid="{00000000-0005-0000-0000-00007B000000}"/>
    <cellStyle name="%_NRA_model_for_NEMO2 (EMC Update) v0.19_NRA_model_for_NEMO2 (EMC Update) v0.21_NRA_model_for_NEMO2 (EMC Update) v0.25_NRA_model_for_NEMO2 (EMC Update) v0.26_NRA_model_for_NEMO2 (EMC Update) v0.29.4_NRA_model_for_NEMO2 (EMC Update) v0 30 1" xfId="210" xr:uid="{00000000-0005-0000-0000-00007C000000}"/>
    <cellStyle name="%_NRA_model_for_NEMO2 (EMC Update) v0.19_NRA_model_for_NEMO2 (EMC Update) v0.21_NRA_model_for_NEMO2 (EMC Update) v0.25_NRA_model_for_NEMO2 (EMC Update) v0.26_NRA_model_for_NEMO2 (EMC Update) v0.29.4_NRA_model_for_NEMO2 (EMC Update) v0.29.5" xfId="211" xr:uid="{00000000-0005-0000-0000-00007D000000}"/>
    <cellStyle name="%_NRA_model_for_NEMO2 (EMC Update) v0.19_NRA_model_for_NEMO2 (EMC Update) v0.21_NRA_model_for_NEMO2 (EMC Update) v0.25_NRA_model_for_NEMO2 (EMC Update) v0.26_NRA_model_for_NEMO2 (EMC Update) v0.29.5" xfId="212" xr:uid="{00000000-0005-0000-0000-00007E000000}"/>
    <cellStyle name="%_NRA_model_for_NEMO2 (EMC Update) v0.19_NRA_model_for_NEMO2 (EMC Update) v0.21_NRA_model_for_NEMO2 (EMC Update) v0.25_NRA_model_for_NEMO2 (EMC Update) v0.26_NRA_model_for_NEMO2 (EMC Update) v0.29.5_NRA_model_for_NEMO2 (EMC Update) v0 30 1" xfId="213" xr:uid="{00000000-0005-0000-0000-00007F000000}"/>
    <cellStyle name="%_NRA_model_for_NEMO2 (EMC Update) v0.19_NRA_model_for_NEMO2 (EMC Update) v0.21_NRA_model_for_NEMO2 (EMC Update) v0.25_NRA_model_for_NEMO2 (EMC Update) v0.26_NRA_model_for_NEMO2 (EMC Update) v0.29_NRA_model_for_NEMO2 (EMC Update) v0 30 1" xfId="214" xr:uid="{00000000-0005-0000-0000-000080000000}"/>
    <cellStyle name="%_NRA_model_for_NEMO2 (EMC Update) v0.19_NRA_model_for_NEMO2 (EMC Update) v0.21_NRA_model_for_NEMO2 (EMC Update) v0.25_NRA_model_for_NEMO2 (EMC Update) v0.26_NRA_model_for_NEMO2 (EMC Update) v0.29_NRA_model_for_NEMO2 (EMC Update) v0.29.2" xfId="215" xr:uid="{00000000-0005-0000-0000-000081000000}"/>
    <cellStyle name="%_NRA_model_for_NEMO2 (EMC Update) v0.19_NRA_model_for_NEMO2 (EMC Update) v0.21_NRA_model_for_NEMO2 (EMC Update) v0.25_NRA_model_for_NEMO2 (EMC Update) v0.26_NRA_model_for_NEMO2 (EMC Update) v0.29_NRA_model_for_NEMO2 (EMC Update) v0.29.3" xfId="216" xr:uid="{00000000-0005-0000-0000-000082000000}"/>
    <cellStyle name="%_NRA_model_for_NEMO2 (EMC Update) v0.19_NRA_model_for_NEMO2 (EMC Update) v0.21_NRA_model_for_NEMO2 (EMC Update) v0.25_NRA_model_for_NEMO2 (EMC Update) v0.26_NRA_model_for_NEMO2 (EMC Update) v0.29_NRA_model_for_NEMO2 (EMC Update) v0.29.4" xfId="217" xr:uid="{00000000-0005-0000-0000-000083000000}"/>
    <cellStyle name="%_NRA_model_for_NEMO2 (EMC Update) v0.19_NRA_model_for_NEMO2 (EMC Update) v0.21_NRA_model_for_NEMO2 (EMC Update) v0.25_NRA_model_for_NEMO2 (EMC Update) v0.26_NRA_model_for_NEMO2 (EMC Update) v0.29_NRA_model_for_NEMO2 (EMC Update) v0.29.5" xfId="218" xr:uid="{00000000-0005-0000-0000-000084000000}"/>
    <cellStyle name="%_NRA_model_for_NEMO2 (EMC Update) v0.19_NRA_model_for_NEMO2 (EMC Update) v0.21_NRA_model_for_NEMO2 (EMC Update) v0.25_NRA_model_for_NEMO2 (EMC Update) v0.29" xfId="219" xr:uid="{00000000-0005-0000-0000-000085000000}"/>
    <cellStyle name="%_NRA_model_for_NEMO2 (EMC Update) v0.19_NRA_model_for_NEMO2 (EMC Update) v0.21_NRA_model_for_NEMO2 (EMC Update) v0.25_NRA_model_for_NEMO2 (EMC Update) v0.29.2" xfId="220" xr:uid="{00000000-0005-0000-0000-000086000000}"/>
    <cellStyle name="%_NRA_model_for_NEMO2 (EMC Update) v0.19_NRA_model_for_NEMO2 (EMC Update) v0.21_NRA_model_for_NEMO2 (EMC Update) v0.25_NRA_model_for_NEMO2 (EMC Update) v0.29.2_NRA_model_for_NEMO2 (EMC Update) v0 30 1" xfId="221" xr:uid="{00000000-0005-0000-0000-000087000000}"/>
    <cellStyle name="%_NRA_model_for_NEMO2 (EMC Update) v0.19_NRA_model_for_NEMO2 (EMC Update) v0.21_NRA_model_for_NEMO2 (EMC Update) v0.25_NRA_model_for_NEMO2 (EMC Update) v0.29.2_NRA_model_for_NEMO2 (EMC Update) v0.29.3" xfId="222" xr:uid="{00000000-0005-0000-0000-000088000000}"/>
    <cellStyle name="%_NRA_model_for_NEMO2 (EMC Update) v0.19_NRA_model_for_NEMO2 (EMC Update) v0.21_NRA_model_for_NEMO2 (EMC Update) v0.25_NRA_model_for_NEMO2 (EMC Update) v0.29.2_NRA_model_for_NEMO2 (EMC Update) v0.29.3_NRA_model_for_NEMO2 (EMC Update) v0 30 1" xfId="223" xr:uid="{00000000-0005-0000-0000-000089000000}"/>
    <cellStyle name="%_NRA_model_for_NEMO2 (EMC Update) v0.19_NRA_model_for_NEMO2 (EMC Update) v0.21_NRA_model_for_NEMO2 (EMC Update) v0.25_NRA_model_for_NEMO2 (EMC Update) v0.29.2_NRA_model_for_NEMO2 (EMC Update) v0.29.3_NRA_model_for_NEMO2 (EMC Update) v0.29.5" xfId="224" xr:uid="{00000000-0005-0000-0000-00008A000000}"/>
    <cellStyle name="%_NRA_model_for_NEMO2 (EMC Update) v0.19_NRA_model_for_NEMO2 (EMC Update) v0.21_NRA_model_for_NEMO2 (EMC Update) v0.25_NRA_model_for_NEMO2 (EMC Update) v0.29.2_NRA_model_for_NEMO2 (EMC Update) v0.29.4" xfId="225" xr:uid="{00000000-0005-0000-0000-00008B000000}"/>
    <cellStyle name="%_NRA_model_for_NEMO2 (EMC Update) v0.19_NRA_model_for_NEMO2 (EMC Update) v0.21_NRA_model_for_NEMO2 (EMC Update) v0.25_NRA_model_for_NEMO2 (EMC Update) v0.29.2_NRA_model_for_NEMO2 (EMC Update) v0.29.4_NRA_model_for_NEMO2 (EMC Update) v0 30 1" xfId="226" xr:uid="{00000000-0005-0000-0000-00008C000000}"/>
    <cellStyle name="%_NRA_model_for_NEMO2 (EMC Update) v0.19_NRA_model_for_NEMO2 (EMC Update) v0.21_NRA_model_for_NEMO2 (EMC Update) v0.25_NRA_model_for_NEMO2 (EMC Update) v0.29.2_NRA_model_for_NEMO2 (EMC Update) v0.29.4_NRA_model_for_NEMO2 (EMC Update) v0.29.5" xfId="227" xr:uid="{00000000-0005-0000-0000-00008D000000}"/>
    <cellStyle name="%_NRA_model_for_NEMO2 (EMC Update) v0.19_NRA_model_for_NEMO2 (EMC Update) v0.21_NRA_model_for_NEMO2 (EMC Update) v0.25_NRA_model_for_NEMO2 (EMC Update) v0.29.2_NRA_model_for_NEMO2 (EMC Update) v0.29.5" xfId="228" xr:uid="{00000000-0005-0000-0000-00008E000000}"/>
    <cellStyle name="%_NRA_model_for_NEMO2 (EMC Update) v0.19_NRA_model_for_NEMO2 (EMC Update) v0.21_NRA_model_for_NEMO2 (EMC Update) v0.25_NRA_model_for_NEMO2 (EMC Update) v0.29.2_NRA_model_for_NEMO2 (EMC Update) v0.29.5_NRA_model_for_NEMO2 (EMC Update) v0 30 1" xfId="229" xr:uid="{00000000-0005-0000-0000-00008F000000}"/>
    <cellStyle name="%_NRA_model_for_NEMO2 (EMC Update) v0.19_NRA_model_for_NEMO2 (EMC Update) v0.21_NRA_model_for_NEMO2 (EMC Update) v0.25_NRA_model_for_NEMO2 (EMC Update) v0.29.3" xfId="230" xr:uid="{00000000-0005-0000-0000-000090000000}"/>
    <cellStyle name="%_NRA_model_for_NEMO2 (EMC Update) v0.19_NRA_model_for_NEMO2 (EMC Update) v0.21_NRA_model_for_NEMO2 (EMC Update) v0.25_NRA_model_for_NEMO2 (EMC Update) v0.29.3_NRA_model_for_NEMO2 (EMC Update) v0 30 1" xfId="231" xr:uid="{00000000-0005-0000-0000-000091000000}"/>
    <cellStyle name="%_NRA_model_for_NEMO2 (EMC Update) v0.19_NRA_model_for_NEMO2 (EMC Update) v0.21_NRA_model_for_NEMO2 (EMC Update) v0.25_NRA_model_for_NEMO2 (EMC Update) v0.29.3_NRA_model_for_NEMO2 (EMC Update) v0.29.5" xfId="232" xr:uid="{00000000-0005-0000-0000-000092000000}"/>
    <cellStyle name="%_NRA_model_for_NEMO2 (EMC Update) v0.19_NRA_model_for_NEMO2 (EMC Update) v0.21_NRA_model_for_NEMO2 (EMC Update) v0.25_NRA_model_for_NEMO2 (EMC Update) v0.29.3_NRA_model_for_NEMO2 (EMC Update) v0.29.5_NRA_model_for_NEMO2 (EMC Update) v0 30 1" xfId="233" xr:uid="{00000000-0005-0000-0000-000093000000}"/>
    <cellStyle name="%_NRA_model_for_NEMO2 (EMC Update) v0.19_NRA_model_for_NEMO2 (EMC Update) v0.21_NRA_model_for_NEMO2 (EMC Update) v0.25_NRA_model_for_NEMO2 (EMC Update) v0.29.4" xfId="234" xr:uid="{00000000-0005-0000-0000-000094000000}"/>
    <cellStyle name="%_NRA_model_for_NEMO2 (EMC Update) v0.19_NRA_model_for_NEMO2 (EMC Update) v0.21_NRA_model_for_NEMO2 (EMC Update) v0.25_NRA_model_for_NEMO2 (EMC Update) v0.29.4_NRA_model_for_NEMO2 (EMC Update) v0 30 1" xfId="235" xr:uid="{00000000-0005-0000-0000-000095000000}"/>
    <cellStyle name="%_NRA_model_for_NEMO2 (EMC Update) v0.19_NRA_model_for_NEMO2 (EMC Update) v0.21_NRA_model_for_NEMO2 (EMC Update) v0.25_NRA_model_for_NEMO2 (EMC Update) v0.29.4_NRA_model_for_NEMO2 (EMC Update) v0.29.5" xfId="236" xr:uid="{00000000-0005-0000-0000-000096000000}"/>
    <cellStyle name="%_NRA_model_for_NEMO2 (EMC Update) v0.19_NRA_model_for_NEMO2 (EMC Update) v0.21_NRA_model_for_NEMO2 (EMC Update) v0.25_NRA_model_for_NEMO2 (EMC Update) v0.29.4_NRA_model_for_NEMO2 (EMC Update) v0.29.5_NRA_model_for_NEMO2 (EMC Update) v0 30 1" xfId="237" xr:uid="{00000000-0005-0000-0000-000097000000}"/>
    <cellStyle name="%_NRA_model_for_NEMO2 (EMC Update) v0.19_NRA_model_for_NEMO2 (EMC Update) v0.21_NRA_model_for_NEMO2 (EMC Update) v0.25_NRA_model_for_NEMO2 (EMC Update) v0.29.5" xfId="238" xr:uid="{00000000-0005-0000-0000-000098000000}"/>
    <cellStyle name="%_NRA_model_for_NEMO2 (EMC Update) v0.19_NRA_model_for_NEMO2 (EMC Update) v0.21_NRA_model_for_NEMO2 (EMC Update) v0.25_NRA_model_for_NEMO2 (EMC Update) v0.29.5_NRA_model_for_NEMO2 (EMC Update) v0 30 1" xfId="239" xr:uid="{00000000-0005-0000-0000-000099000000}"/>
    <cellStyle name="%_NRA_model_for_NEMO2 (EMC Update) v0.19_NRA_model_for_NEMO2 (EMC Update) v0.21_NRA_model_for_NEMO2 (EMC Update) v0.25_NRA_model_for_NEMO2 (EMC Update) v0.29_NRA_model_for_NEMO2 (EMC Update) v0 30 1" xfId="240" xr:uid="{00000000-0005-0000-0000-00009A000000}"/>
    <cellStyle name="%_NRA_model_for_NEMO2 (EMC Update) v0.19_NRA_model_for_NEMO2 (EMC Update) v0.21_NRA_model_for_NEMO2 (EMC Update) v0.25_NRA_model_for_NEMO2 (EMC Update) v0.29_NRA_model_for_NEMO2 (EMC Update) v0.29.2" xfId="241" xr:uid="{00000000-0005-0000-0000-00009B000000}"/>
    <cellStyle name="%_NRA_model_for_NEMO2 (EMC Update) v0.19_NRA_model_for_NEMO2 (EMC Update) v0.21_NRA_model_for_NEMO2 (EMC Update) v0.25_NRA_model_for_NEMO2 (EMC Update) v0.29_NRA_model_for_NEMO2 (EMC Update) v0.29.2_NRA_model_for_NEMO2 (EMC Update) v0 30 1" xfId="242" xr:uid="{00000000-0005-0000-0000-00009C000000}"/>
    <cellStyle name="%_NRA_model_for_NEMO2 (EMC Update) v0.19_NRA_model_for_NEMO2 (EMC Update) v0.21_NRA_model_for_NEMO2 (EMC Update) v0.25_NRA_model_for_NEMO2 (EMC Update) v0.29_NRA_model_for_NEMO2 (EMC Update) v0.29.2_NRA_model_for_NEMO2 (EMC Update) v0.29.3" xfId="243" xr:uid="{00000000-0005-0000-0000-00009D000000}"/>
    <cellStyle name="%_NRA_model_for_NEMO2 (EMC Update) v0.19_NRA_model_for_NEMO2 (EMC Update) v0.21_NRA_model_for_NEMO2 (EMC Update) v0.25_NRA_model_for_NEMO2 (EMC Update) v0.29_NRA_model_for_NEMO2 (EMC Update) v0.29.2_NRA_model_for_NEMO2 (EMC Update) v0.29.4" xfId="244" xr:uid="{00000000-0005-0000-0000-00009E000000}"/>
    <cellStyle name="%_NRA_model_for_NEMO2 (EMC Update) v0.19_NRA_model_for_NEMO2 (EMC Update) v0.21_NRA_model_for_NEMO2 (EMC Update) v0.25_NRA_model_for_NEMO2 (EMC Update) v0.29_NRA_model_for_NEMO2 (EMC Update) v0.29.2_NRA_model_for_NEMO2 (EMC Update) v0.29.5" xfId="245" xr:uid="{00000000-0005-0000-0000-00009F000000}"/>
    <cellStyle name="%_NRA_model_for_NEMO2 (EMC Update) v0.19_NRA_model_for_NEMO2 (EMC Update) v0.21_NRA_model_for_NEMO2 (EMC Update) v0.25_NRA_model_for_NEMO2 (EMC Update) v0.29_NRA_model_for_NEMO2 (EMC Update) v0.29.3" xfId="246" xr:uid="{00000000-0005-0000-0000-0000A0000000}"/>
    <cellStyle name="%_NRA_model_for_NEMO2 (EMC Update) v0.19_NRA_model_for_NEMO2 (EMC Update) v0.21_NRA_model_for_NEMO2 (EMC Update) v0.25_NRA_model_for_NEMO2 (EMC Update) v0.29_NRA_model_for_NEMO2 (EMC Update) v0.29.3_NRA_model_for_NEMO2 (EMC Update) v0 30 1" xfId="247" xr:uid="{00000000-0005-0000-0000-0000A1000000}"/>
    <cellStyle name="%_NRA_model_for_NEMO2 (EMC Update) v0.19_NRA_model_for_NEMO2 (EMC Update) v0.21_NRA_model_for_NEMO2 (EMC Update) v0.25_NRA_model_for_NEMO2 (EMC Update) v0.29_NRA_model_for_NEMO2 (EMC Update) v0.29.3_NRA_model_for_NEMO2 (EMC Update) v0.29.5" xfId="248" xr:uid="{00000000-0005-0000-0000-0000A2000000}"/>
    <cellStyle name="%_NRA_model_for_NEMO2 (EMC Update) v0.19_NRA_model_for_NEMO2 (EMC Update) v0.21_NRA_model_for_NEMO2 (EMC Update) v0.25_NRA_model_for_NEMO2 (EMC Update) v0.29_NRA_model_for_NEMO2 (EMC Update) v0.29.4" xfId="249" xr:uid="{00000000-0005-0000-0000-0000A3000000}"/>
    <cellStyle name="%_NRA_model_for_NEMO2 (EMC Update) v0.19_NRA_model_for_NEMO2 (EMC Update) v0.21_NRA_model_for_NEMO2 (EMC Update) v0.25_NRA_model_for_NEMO2 (EMC Update) v0.29_NRA_model_for_NEMO2 (EMC Update) v0.29.4_NRA_model_for_NEMO2 (EMC Update) v0 30 1" xfId="250" xr:uid="{00000000-0005-0000-0000-0000A4000000}"/>
    <cellStyle name="%_NRA_model_for_NEMO2 (EMC Update) v0.19_NRA_model_for_NEMO2 (EMC Update) v0.21_NRA_model_for_NEMO2 (EMC Update) v0.25_NRA_model_for_NEMO2 (EMC Update) v0.29_NRA_model_for_NEMO2 (EMC Update) v0.29.4_NRA_model_for_NEMO2 (EMC Update) v0.29.5" xfId="251" xr:uid="{00000000-0005-0000-0000-0000A5000000}"/>
    <cellStyle name="%_NRA_model_for_NEMO2 (EMC Update) v0.19_NRA_model_for_NEMO2 (EMC Update) v0.21_NRA_model_for_NEMO2 (EMC Update) v0.25_NRA_model_for_NEMO2 (EMC Update) v0.29_NRA_model_for_NEMO2 (EMC Update) v0.29.5" xfId="252" xr:uid="{00000000-0005-0000-0000-0000A6000000}"/>
    <cellStyle name="%_NRA_model_for_NEMO2 (EMC Update) v0.19_NRA_model_for_NEMO2 (EMC Update) v0.21_NRA_model_for_NEMO2 (EMC Update) v0.25_NRA_model_for_NEMO2 (EMC Update) v0.29_NRA_model_for_NEMO2 (EMC Update) v0.29.5_NRA_model_for_NEMO2 (EMC Update) v0 30 1" xfId="253" xr:uid="{00000000-0005-0000-0000-0000A7000000}"/>
    <cellStyle name="%_NRA_model_for_NEMO2 (EMC Update) v0.19_NRA_model_for_NEMO2 (EMC Update) v0.21_NRA_model_for_NEMO2 (EMC Update) v0.26" xfId="254" xr:uid="{00000000-0005-0000-0000-0000A8000000}"/>
    <cellStyle name="%_NRA_model_for_NEMO2 (EMC Update) v0.19_NRA_model_for_NEMO2 (EMC Update) v0.21_NRA_model_for_NEMO2 (EMC Update) v0.26_NRA_model_for_NEMO2 (EMC Update) v0 30 1" xfId="255" xr:uid="{00000000-0005-0000-0000-0000A9000000}"/>
    <cellStyle name="%_NRA_model_for_NEMO2 (EMC Update) v0.19_NRA_model_for_NEMO2 (EMC Update) v0.21_NRA_model_for_NEMO2 (EMC Update) v0.26_NRA_model_for_NEMO2 (EMC Update) v0.29" xfId="256" xr:uid="{00000000-0005-0000-0000-0000AA000000}"/>
    <cellStyle name="%_NRA_model_for_NEMO2 (EMC Update) v0.19_NRA_model_for_NEMO2 (EMC Update) v0.21_NRA_model_for_NEMO2 (EMC Update) v0.26_NRA_model_for_NEMO2 (EMC Update) v0.29.2" xfId="257" xr:uid="{00000000-0005-0000-0000-0000AB000000}"/>
    <cellStyle name="%_NRA_model_for_NEMO2 (EMC Update) v0.19_NRA_model_for_NEMO2 (EMC Update) v0.21_NRA_model_for_NEMO2 (EMC Update) v0.26_NRA_model_for_NEMO2 (EMC Update) v0.29.2_NRA_model_for_NEMO2 (EMC Update) v0 30 1" xfId="258" xr:uid="{00000000-0005-0000-0000-0000AC000000}"/>
    <cellStyle name="%_NRA_model_for_NEMO2 (EMC Update) v0.19_NRA_model_for_NEMO2 (EMC Update) v0.21_NRA_model_for_NEMO2 (EMC Update) v0.26_NRA_model_for_NEMO2 (EMC Update) v0.29.2_NRA_model_for_NEMO2 (EMC Update) v0.29.3" xfId="259" xr:uid="{00000000-0005-0000-0000-0000AD000000}"/>
    <cellStyle name="%_NRA_model_for_NEMO2 (EMC Update) v0.19_NRA_model_for_NEMO2 (EMC Update) v0.21_NRA_model_for_NEMO2 (EMC Update) v0.26_NRA_model_for_NEMO2 (EMC Update) v0.29.2_NRA_model_for_NEMO2 (EMC Update) v0.29.3_NRA_model_for_NEMO2 (EMC Update) v0 30 1" xfId="260" xr:uid="{00000000-0005-0000-0000-0000AE000000}"/>
    <cellStyle name="%_NRA_model_for_NEMO2 (EMC Update) v0.19_NRA_model_for_NEMO2 (EMC Update) v0.21_NRA_model_for_NEMO2 (EMC Update) v0.26_NRA_model_for_NEMO2 (EMC Update) v0.29.2_NRA_model_for_NEMO2 (EMC Update) v0.29.3_NRA_model_for_NEMO2 (EMC Update) v0.29.5" xfId="261" xr:uid="{00000000-0005-0000-0000-0000AF000000}"/>
    <cellStyle name="%_NRA_model_for_NEMO2 (EMC Update) v0.19_NRA_model_for_NEMO2 (EMC Update) v0.21_NRA_model_for_NEMO2 (EMC Update) v0.26_NRA_model_for_NEMO2 (EMC Update) v0.29.2_NRA_model_for_NEMO2 (EMC Update) v0.29.4" xfId="262" xr:uid="{00000000-0005-0000-0000-0000B0000000}"/>
    <cellStyle name="%_NRA_model_for_NEMO2 (EMC Update) v0.19_NRA_model_for_NEMO2 (EMC Update) v0.21_NRA_model_for_NEMO2 (EMC Update) v0.26_NRA_model_for_NEMO2 (EMC Update) v0.29.2_NRA_model_for_NEMO2 (EMC Update) v0.29.4_NRA_model_for_NEMO2 (EMC Update) v0 30 1" xfId="263" xr:uid="{00000000-0005-0000-0000-0000B1000000}"/>
    <cellStyle name="%_NRA_model_for_NEMO2 (EMC Update) v0.19_NRA_model_for_NEMO2 (EMC Update) v0.21_NRA_model_for_NEMO2 (EMC Update) v0.26_NRA_model_for_NEMO2 (EMC Update) v0.29.2_NRA_model_for_NEMO2 (EMC Update) v0.29.4_NRA_model_for_NEMO2 (EMC Update) v0.29.5" xfId="264" xr:uid="{00000000-0005-0000-0000-0000B2000000}"/>
    <cellStyle name="%_NRA_model_for_NEMO2 (EMC Update) v0.19_NRA_model_for_NEMO2 (EMC Update) v0.21_NRA_model_for_NEMO2 (EMC Update) v0.26_NRA_model_for_NEMO2 (EMC Update) v0.29.2_NRA_model_for_NEMO2 (EMC Update) v0.29.5" xfId="265" xr:uid="{00000000-0005-0000-0000-0000B3000000}"/>
    <cellStyle name="%_NRA_model_for_NEMO2 (EMC Update) v0.19_NRA_model_for_NEMO2 (EMC Update) v0.21_NRA_model_for_NEMO2 (EMC Update) v0.26_NRA_model_for_NEMO2 (EMC Update) v0.29.2_NRA_model_for_NEMO2 (EMC Update) v0.29.5_NRA_model_for_NEMO2 (EMC Update) v0 30 1" xfId="266" xr:uid="{00000000-0005-0000-0000-0000B4000000}"/>
    <cellStyle name="%_NRA_model_for_NEMO2 (EMC Update) v0.19_NRA_model_for_NEMO2 (EMC Update) v0.21_NRA_model_for_NEMO2 (EMC Update) v0.26_NRA_model_for_NEMO2 (EMC Update) v0.29.3" xfId="267" xr:uid="{00000000-0005-0000-0000-0000B5000000}"/>
    <cellStyle name="%_NRA_model_for_NEMO2 (EMC Update) v0.19_NRA_model_for_NEMO2 (EMC Update) v0.21_NRA_model_for_NEMO2 (EMC Update) v0.26_NRA_model_for_NEMO2 (EMC Update) v0.29.3_NRA_model_for_NEMO2 (EMC Update) v0 30 1" xfId="268" xr:uid="{00000000-0005-0000-0000-0000B6000000}"/>
    <cellStyle name="%_NRA_model_for_NEMO2 (EMC Update) v0.19_NRA_model_for_NEMO2 (EMC Update) v0.21_NRA_model_for_NEMO2 (EMC Update) v0.26_NRA_model_for_NEMO2 (EMC Update) v0.29.3_NRA_model_for_NEMO2 (EMC Update) v0.29.5" xfId="269" xr:uid="{00000000-0005-0000-0000-0000B7000000}"/>
    <cellStyle name="%_NRA_model_for_NEMO2 (EMC Update) v0.19_NRA_model_for_NEMO2 (EMC Update) v0.21_NRA_model_for_NEMO2 (EMC Update) v0.26_NRA_model_for_NEMO2 (EMC Update) v0.29.3_NRA_model_for_NEMO2 (EMC Update) v0.29.5_NRA_model_for_NEMO2 (EMC Update) v0 30 1" xfId="270" xr:uid="{00000000-0005-0000-0000-0000B8000000}"/>
    <cellStyle name="%_NRA_model_for_NEMO2 (EMC Update) v0.19_NRA_model_for_NEMO2 (EMC Update) v0.21_NRA_model_for_NEMO2 (EMC Update) v0.26_NRA_model_for_NEMO2 (EMC Update) v0.29.4" xfId="271" xr:uid="{00000000-0005-0000-0000-0000B9000000}"/>
    <cellStyle name="%_NRA_model_for_NEMO2 (EMC Update) v0.19_NRA_model_for_NEMO2 (EMC Update) v0.21_NRA_model_for_NEMO2 (EMC Update) v0.26_NRA_model_for_NEMO2 (EMC Update) v0.29.4_NRA_model_for_NEMO2 (EMC Update) v0 30 1" xfId="272" xr:uid="{00000000-0005-0000-0000-0000BA000000}"/>
    <cellStyle name="%_NRA_model_for_NEMO2 (EMC Update) v0.19_NRA_model_for_NEMO2 (EMC Update) v0.21_NRA_model_for_NEMO2 (EMC Update) v0.26_NRA_model_for_NEMO2 (EMC Update) v0.29.4_NRA_model_for_NEMO2 (EMC Update) v0.29.5" xfId="273" xr:uid="{00000000-0005-0000-0000-0000BB000000}"/>
    <cellStyle name="%_NRA_model_for_NEMO2 (EMC Update) v0.19_NRA_model_for_NEMO2 (EMC Update) v0.21_NRA_model_for_NEMO2 (EMC Update) v0.26_NRA_model_for_NEMO2 (EMC Update) v0.29.4_NRA_model_for_NEMO2 (EMC Update) v0.29.5_NRA_model_for_NEMO2 (EMC Update) v0 30 1" xfId="274" xr:uid="{00000000-0005-0000-0000-0000BC000000}"/>
    <cellStyle name="%_NRA_model_for_NEMO2 (EMC Update) v0.19_NRA_model_for_NEMO2 (EMC Update) v0.21_NRA_model_for_NEMO2 (EMC Update) v0.26_NRA_model_for_NEMO2 (EMC Update) v0.29.5" xfId="275" xr:uid="{00000000-0005-0000-0000-0000BD000000}"/>
    <cellStyle name="%_NRA_model_for_NEMO2 (EMC Update) v0.19_NRA_model_for_NEMO2 (EMC Update) v0.21_NRA_model_for_NEMO2 (EMC Update) v0.26_NRA_model_for_NEMO2 (EMC Update) v0.29.5_NRA_model_for_NEMO2 (EMC Update) v0 30 1" xfId="276" xr:uid="{00000000-0005-0000-0000-0000BE000000}"/>
    <cellStyle name="%_NRA_model_for_NEMO2 (EMC Update) v0.19_NRA_model_for_NEMO2 (EMC Update) v0.21_NRA_model_for_NEMO2 (EMC Update) v0.26_NRA_model_for_NEMO2 (EMC Update) v0.29_NRA_model_for_NEMO2 (EMC Update) v0 30 1" xfId="277" xr:uid="{00000000-0005-0000-0000-0000BF000000}"/>
    <cellStyle name="%_NRA_model_for_NEMO2 (EMC Update) v0.19_NRA_model_for_NEMO2 (EMC Update) v0.21_NRA_model_for_NEMO2 (EMC Update) v0.26_NRA_model_for_NEMO2 (EMC Update) v0.29_NRA_model_for_NEMO2 (EMC Update) v0.29.2" xfId="278" xr:uid="{00000000-0005-0000-0000-0000C0000000}"/>
    <cellStyle name="%_NRA_model_for_NEMO2 (EMC Update) v0.19_NRA_model_for_NEMO2 (EMC Update) v0.21_NRA_model_for_NEMO2 (EMC Update) v0.26_NRA_model_for_NEMO2 (EMC Update) v0.29_NRA_model_for_NEMO2 (EMC Update) v0.29.2_NRA_model_for_NEMO2 (EMC Update) v0 30 1" xfId="279" xr:uid="{00000000-0005-0000-0000-0000C1000000}"/>
    <cellStyle name="%_NRA_model_for_NEMO2 (EMC Update) v0.19_NRA_model_for_NEMO2 (EMC Update) v0.21_NRA_model_for_NEMO2 (EMC Update) v0.26_NRA_model_for_NEMO2 (EMC Update) v0.29_NRA_model_for_NEMO2 (EMC Update) v0.29.2_NRA_model_for_NEMO2 (EMC Update) v0.29.3" xfId="280" xr:uid="{00000000-0005-0000-0000-0000C2000000}"/>
    <cellStyle name="%_NRA_model_for_NEMO2 (EMC Update) v0.19_NRA_model_for_NEMO2 (EMC Update) v0.21_NRA_model_for_NEMO2 (EMC Update) v0.26_NRA_model_for_NEMO2 (EMC Update) v0.29_NRA_model_for_NEMO2 (EMC Update) v0.29.2_NRA_model_for_NEMO2 (EMC Update) v0.29.4" xfId="281" xr:uid="{00000000-0005-0000-0000-0000C3000000}"/>
    <cellStyle name="%_NRA_model_for_NEMO2 (EMC Update) v0.19_NRA_model_for_NEMO2 (EMC Update) v0.21_NRA_model_for_NEMO2 (EMC Update) v0.26_NRA_model_for_NEMO2 (EMC Update) v0.29_NRA_model_for_NEMO2 (EMC Update) v0.29.2_NRA_model_for_NEMO2 (EMC Update) v0.29.5" xfId="282" xr:uid="{00000000-0005-0000-0000-0000C4000000}"/>
    <cellStyle name="%_NRA_model_for_NEMO2 (EMC Update) v0.19_NRA_model_for_NEMO2 (EMC Update) v0.21_NRA_model_for_NEMO2 (EMC Update) v0.26_NRA_model_for_NEMO2 (EMC Update) v0.29_NRA_model_for_NEMO2 (EMC Update) v0.29.3" xfId="283" xr:uid="{00000000-0005-0000-0000-0000C5000000}"/>
    <cellStyle name="%_NRA_model_for_NEMO2 (EMC Update) v0.19_NRA_model_for_NEMO2 (EMC Update) v0.21_NRA_model_for_NEMO2 (EMC Update) v0.26_NRA_model_for_NEMO2 (EMC Update) v0.29_NRA_model_for_NEMO2 (EMC Update) v0.29.3_NRA_model_for_NEMO2 (EMC Update) v0 30 1" xfId="284" xr:uid="{00000000-0005-0000-0000-0000C6000000}"/>
    <cellStyle name="%_NRA_model_for_NEMO2 (EMC Update) v0.19_NRA_model_for_NEMO2 (EMC Update) v0.21_NRA_model_for_NEMO2 (EMC Update) v0.26_NRA_model_for_NEMO2 (EMC Update) v0.29_NRA_model_for_NEMO2 (EMC Update) v0.29.3_NRA_model_for_NEMO2 (EMC Update) v0.29.5" xfId="285" xr:uid="{00000000-0005-0000-0000-0000C7000000}"/>
    <cellStyle name="%_NRA_model_for_NEMO2 (EMC Update) v0.19_NRA_model_for_NEMO2 (EMC Update) v0.21_NRA_model_for_NEMO2 (EMC Update) v0.26_NRA_model_for_NEMO2 (EMC Update) v0.29_NRA_model_for_NEMO2 (EMC Update) v0.29.4" xfId="286" xr:uid="{00000000-0005-0000-0000-0000C8000000}"/>
    <cellStyle name="%_NRA_model_for_NEMO2 (EMC Update) v0.19_NRA_model_for_NEMO2 (EMC Update) v0.21_NRA_model_for_NEMO2 (EMC Update) v0.26_NRA_model_for_NEMO2 (EMC Update) v0.29_NRA_model_for_NEMO2 (EMC Update) v0.29.4_NRA_model_for_NEMO2 (EMC Update) v0 30 1" xfId="287" xr:uid="{00000000-0005-0000-0000-0000C9000000}"/>
    <cellStyle name="%_NRA_model_for_NEMO2 (EMC Update) v0.19_NRA_model_for_NEMO2 (EMC Update) v0.21_NRA_model_for_NEMO2 (EMC Update) v0.26_NRA_model_for_NEMO2 (EMC Update) v0.29_NRA_model_for_NEMO2 (EMC Update) v0.29.4_NRA_model_for_NEMO2 (EMC Update) v0.29.5" xfId="288" xr:uid="{00000000-0005-0000-0000-0000CA000000}"/>
    <cellStyle name="%_NRA_model_for_NEMO2 (EMC Update) v0.19_NRA_model_for_NEMO2 (EMC Update) v0.21_NRA_model_for_NEMO2 (EMC Update) v0.26_NRA_model_for_NEMO2 (EMC Update) v0.29_NRA_model_for_NEMO2 (EMC Update) v0.29.5" xfId="289" xr:uid="{00000000-0005-0000-0000-0000CB000000}"/>
    <cellStyle name="%_NRA_model_for_NEMO2 (EMC Update) v0.19_NRA_model_for_NEMO2 (EMC Update) v0.21_NRA_model_for_NEMO2 (EMC Update) v0.26_NRA_model_for_NEMO2 (EMC Update) v0.29_NRA_model_for_NEMO2 (EMC Update) v0.29.5_NRA_model_for_NEMO2 (EMC Update) v0 30 1" xfId="290" xr:uid="{00000000-0005-0000-0000-0000CC000000}"/>
    <cellStyle name="%_NRA_model_for_NEMO2 (EMC Update) v0.19_NRA_model_for_NEMO2 (EMC Update) v0.21_NRA_model_for_NEMO2 (EMC Update) v0.29" xfId="291" xr:uid="{00000000-0005-0000-0000-0000CD000000}"/>
    <cellStyle name="%_NRA_model_for_NEMO2 (EMC Update) v0.19_NRA_model_for_NEMO2 (EMC Update) v0.21_NRA_model_for_NEMO2 (EMC Update) v0.29.2" xfId="292" xr:uid="{00000000-0005-0000-0000-0000CE000000}"/>
    <cellStyle name="%_NRA_model_for_NEMO2 (EMC Update) v0.19_NRA_model_for_NEMO2 (EMC Update) v0.21_NRA_model_for_NEMO2 (EMC Update) v0.29.2_NRA_model_for_NEMO2 (EMC Update) v0 30 1" xfId="293" xr:uid="{00000000-0005-0000-0000-0000CF000000}"/>
    <cellStyle name="%_NRA_model_for_NEMO2 (EMC Update) v0.19_NRA_model_for_NEMO2 (EMC Update) v0.21_NRA_model_for_NEMO2 (EMC Update) v0.29.2_NRA_model_for_NEMO2 (EMC Update) v0.29.3" xfId="294" xr:uid="{00000000-0005-0000-0000-0000D0000000}"/>
    <cellStyle name="%_NRA_model_for_NEMO2 (EMC Update) v0.19_NRA_model_for_NEMO2 (EMC Update) v0.21_NRA_model_for_NEMO2 (EMC Update) v0.29.2_NRA_model_for_NEMO2 (EMC Update) v0.29.3_NRA_model_for_NEMO2 (EMC Update) v0 30 1" xfId="295" xr:uid="{00000000-0005-0000-0000-0000D1000000}"/>
    <cellStyle name="%_NRA_model_for_NEMO2 (EMC Update) v0.19_NRA_model_for_NEMO2 (EMC Update) v0.21_NRA_model_for_NEMO2 (EMC Update) v0.29.2_NRA_model_for_NEMO2 (EMC Update) v0.29.3_NRA_model_for_NEMO2 (EMC Update) v0.29.5" xfId="296" xr:uid="{00000000-0005-0000-0000-0000D2000000}"/>
    <cellStyle name="%_NRA_model_for_NEMO2 (EMC Update) v0.19_NRA_model_for_NEMO2 (EMC Update) v0.21_NRA_model_for_NEMO2 (EMC Update) v0.29.2_NRA_model_for_NEMO2 (EMC Update) v0.29.3_NRA_model_for_NEMO2 (EMC Update) v0.29.5_NRA_model_for_NEMO2 (EMC Update) v0 30 1" xfId="297" xr:uid="{00000000-0005-0000-0000-0000D3000000}"/>
    <cellStyle name="%_NRA_model_for_NEMO2 (EMC Update) v0.19_NRA_model_for_NEMO2 (EMC Update) v0.21_NRA_model_for_NEMO2 (EMC Update) v0.29.2_NRA_model_for_NEMO2 (EMC Update) v0.29.4" xfId="298" xr:uid="{00000000-0005-0000-0000-0000D4000000}"/>
    <cellStyle name="%_NRA_model_for_NEMO2 (EMC Update) v0.19_NRA_model_for_NEMO2 (EMC Update) v0.21_NRA_model_for_NEMO2 (EMC Update) v0.29.2_NRA_model_for_NEMO2 (EMC Update) v0.29.4_NRA_model_for_NEMO2 (EMC Update) v0 30 1" xfId="299" xr:uid="{00000000-0005-0000-0000-0000D5000000}"/>
    <cellStyle name="%_NRA_model_for_NEMO2 (EMC Update) v0.19_NRA_model_for_NEMO2 (EMC Update) v0.21_NRA_model_for_NEMO2 (EMC Update) v0.29.2_NRA_model_for_NEMO2 (EMC Update) v0.29.4_NRA_model_for_NEMO2 (EMC Update) v0.29.5" xfId="300" xr:uid="{00000000-0005-0000-0000-0000D6000000}"/>
    <cellStyle name="%_NRA_model_for_NEMO2 (EMC Update) v0.19_NRA_model_for_NEMO2 (EMC Update) v0.21_NRA_model_for_NEMO2 (EMC Update) v0.29.2_NRA_model_for_NEMO2 (EMC Update) v0.29.4_NRA_model_for_NEMO2 (EMC Update) v0.29.5_NRA_model_for_NEMO2 (EMC Update) v0 30 1" xfId="301" xr:uid="{00000000-0005-0000-0000-0000D7000000}"/>
    <cellStyle name="%_NRA_model_for_NEMO2 (EMC Update) v0.19_NRA_model_for_NEMO2 (EMC Update) v0.21_NRA_model_for_NEMO2 (EMC Update) v0.29.2_NRA_model_for_NEMO2 (EMC Update) v0.29.5" xfId="302" xr:uid="{00000000-0005-0000-0000-0000D8000000}"/>
    <cellStyle name="%_NRA_model_for_NEMO2 (EMC Update) v0.19_NRA_model_for_NEMO2 (EMC Update) v0.21_NRA_model_for_NEMO2 (EMC Update) v0.29.2_NRA_model_for_NEMO2 (EMC Update) v0.29.5_NRA_model_for_NEMO2 (EMC Update) v0 30 1" xfId="303" xr:uid="{00000000-0005-0000-0000-0000D9000000}"/>
    <cellStyle name="%_NRA_model_for_NEMO2 (EMC Update) v0.19_NRA_model_for_NEMO2 (EMC Update) v0.21_NRA_model_for_NEMO2 (EMC Update) v0.29.3" xfId="304" xr:uid="{00000000-0005-0000-0000-0000DA000000}"/>
    <cellStyle name="%_NRA_model_for_NEMO2 (EMC Update) v0.19_NRA_model_for_NEMO2 (EMC Update) v0.21_NRA_model_for_NEMO2 (EMC Update) v0.29.3_NRA_model_for_NEMO2 (EMC Update) v0 30 1" xfId="305" xr:uid="{00000000-0005-0000-0000-0000DB000000}"/>
    <cellStyle name="%_NRA_model_for_NEMO2 (EMC Update) v0.19_NRA_model_for_NEMO2 (EMC Update) v0.21_NRA_model_for_NEMO2 (EMC Update) v0.29.3_NRA_model_for_NEMO2 (EMC Update) v0.29.5" xfId="306" xr:uid="{00000000-0005-0000-0000-0000DC000000}"/>
    <cellStyle name="%_NRA_model_for_NEMO2 (EMC Update) v0.19_NRA_model_for_NEMO2 (EMC Update) v0.21_NRA_model_for_NEMO2 (EMC Update) v0.29.3_NRA_model_for_NEMO2 (EMC Update) v0.29.5_NRA_model_for_NEMO2 (EMC Update) v0 30 1" xfId="307" xr:uid="{00000000-0005-0000-0000-0000DD000000}"/>
    <cellStyle name="%_NRA_model_for_NEMO2 (EMC Update) v0.19_NRA_model_for_NEMO2 (EMC Update) v0.21_NRA_model_for_NEMO2 (EMC Update) v0.29.4" xfId="308" xr:uid="{00000000-0005-0000-0000-0000DE000000}"/>
    <cellStyle name="%_NRA_model_for_NEMO2 (EMC Update) v0.19_NRA_model_for_NEMO2 (EMC Update) v0.21_NRA_model_for_NEMO2 (EMC Update) v0.29.4_NRA_model_for_NEMO2 (EMC Update) v0 30 1" xfId="309" xr:uid="{00000000-0005-0000-0000-0000DF000000}"/>
    <cellStyle name="%_NRA_model_for_NEMO2 (EMC Update) v0.19_NRA_model_for_NEMO2 (EMC Update) v0.21_NRA_model_for_NEMO2 (EMC Update) v0.29.4_NRA_model_for_NEMO2 (EMC Update) v0.29.5" xfId="310" xr:uid="{00000000-0005-0000-0000-0000E0000000}"/>
    <cellStyle name="%_NRA_model_for_NEMO2 (EMC Update) v0.19_NRA_model_for_NEMO2 (EMC Update) v0.21_NRA_model_for_NEMO2 (EMC Update) v0.29.4_NRA_model_for_NEMO2 (EMC Update) v0.29.5_NRA_model_for_NEMO2 (EMC Update) v0 30 1" xfId="311" xr:uid="{00000000-0005-0000-0000-0000E1000000}"/>
    <cellStyle name="%_NRA_model_for_NEMO2 (EMC Update) v0.19_NRA_model_for_NEMO2 (EMC Update) v0.21_NRA_model_for_NEMO2 (EMC Update) v0.29.5" xfId="312" xr:uid="{00000000-0005-0000-0000-0000E2000000}"/>
    <cellStyle name="%_NRA_model_for_NEMO2 (EMC Update) v0.19_NRA_model_for_NEMO2 (EMC Update) v0.21_NRA_model_for_NEMO2 (EMC Update) v0.29.5_NRA_model_for_NEMO2 (EMC Update) v0 30 1" xfId="313" xr:uid="{00000000-0005-0000-0000-0000E3000000}"/>
    <cellStyle name="%_NRA_model_for_NEMO2 (EMC Update) v0.19_NRA_model_for_NEMO2 (EMC Update) v0.21_NRA_model_for_NEMO2 (EMC Update) v0.29_NRA_model_for_NEMO2 (EMC Update) v0 30 1" xfId="314" xr:uid="{00000000-0005-0000-0000-0000E4000000}"/>
    <cellStyle name="%_NRA_model_for_NEMO2 (EMC Update) v0.19_NRA_model_for_NEMO2 (EMC Update) v0.21_NRA_model_for_NEMO2 (EMC Update) v0.29_NRA_model_for_NEMO2 (EMC Update) v0.29.2" xfId="315" xr:uid="{00000000-0005-0000-0000-0000E5000000}"/>
    <cellStyle name="%_NRA_model_for_NEMO2 (EMC Update) v0.19_NRA_model_for_NEMO2 (EMC Update) v0.21_NRA_model_for_NEMO2 (EMC Update) v0.29_NRA_model_for_NEMO2 (EMC Update) v0.29.2_NRA_model_for_NEMO2 (EMC Update) v0 30 1" xfId="316" xr:uid="{00000000-0005-0000-0000-0000E6000000}"/>
    <cellStyle name="%_NRA_model_for_NEMO2 (EMC Update) v0.19_NRA_model_for_NEMO2 (EMC Update) v0.21_NRA_model_for_NEMO2 (EMC Update) v0.29_NRA_model_for_NEMO2 (EMC Update) v0.29.2_NRA_model_for_NEMO2 (EMC Update) v0.29.3" xfId="317" xr:uid="{00000000-0005-0000-0000-0000E7000000}"/>
    <cellStyle name="%_NRA_model_for_NEMO2 (EMC Update) v0.19_NRA_model_for_NEMO2 (EMC Update) v0.21_NRA_model_for_NEMO2 (EMC Update) v0.29_NRA_model_for_NEMO2 (EMC Update) v0.29.2_NRA_model_for_NEMO2 (EMC Update) v0.29.3_NRA_model_for_NEMO2 (EMC Update) v0 30 1" xfId="318" xr:uid="{00000000-0005-0000-0000-0000E8000000}"/>
    <cellStyle name="%_NRA_model_for_NEMO2 (EMC Update) v0.19_NRA_model_for_NEMO2 (EMC Update) v0.21_NRA_model_for_NEMO2 (EMC Update) v0.29_NRA_model_for_NEMO2 (EMC Update) v0.29.2_NRA_model_for_NEMO2 (EMC Update) v0.29.3_NRA_model_for_NEMO2 (EMC Update) v0.29.5" xfId="319" xr:uid="{00000000-0005-0000-0000-0000E9000000}"/>
    <cellStyle name="%_NRA_model_for_NEMO2 (EMC Update) v0.19_NRA_model_for_NEMO2 (EMC Update) v0.21_NRA_model_for_NEMO2 (EMC Update) v0.29_NRA_model_for_NEMO2 (EMC Update) v0.29.2_NRA_model_for_NEMO2 (EMC Update) v0.29.4" xfId="320" xr:uid="{00000000-0005-0000-0000-0000EA000000}"/>
    <cellStyle name="%_NRA_model_for_NEMO2 (EMC Update) v0.19_NRA_model_for_NEMO2 (EMC Update) v0.21_NRA_model_for_NEMO2 (EMC Update) v0.29_NRA_model_for_NEMO2 (EMC Update) v0.29.2_NRA_model_for_NEMO2 (EMC Update) v0.29.4_NRA_model_for_NEMO2 (EMC Update) v0 30 1" xfId="321" xr:uid="{00000000-0005-0000-0000-0000EB000000}"/>
    <cellStyle name="%_NRA_model_for_NEMO2 (EMC Update) v0.19_NRA_model_for_NEMO2 (EMC Update) v0.21_NRA_model_for_NEMO2 (EMC Update) v0.29_NRA_model_for_NEMO2 (EMC Update) v0.29.2_NRA_model_for_NEMO2 (EMC Update) v0.29.4_NRA_model_for_NEMO2 (EMC Update) v0.29.5" xfId="322" xr:uid="{00000000-0005-0000-0000-0000EC000000}"/>
    <cellStyle name="%_NRA_model_for_NEMO2 (EMC Update) v0.19_NRA_model_for_NEMO2 (EMC Update) v0.21_NRA_model_for_NEMO2 (EMC Update) v0.29_NRA_model_for_NEMO2 (EMC Update) v0.29.2_NRA_model_for_NEMO2 (EMC Update) v0.29.5" xfId="323" xr:uid="{00000000-0005-0000-0000-0000ED000000}"/>
    <cellStyle name="%_NRA_model_for_NEMO2 (EMC Update) v0.19_NRA_model_for_NEMO2 (EMC Update) v0.21_NRA_model_for_NEMO2 (EMC Update) v0.29_NRA_model_for_NEMO2 (EMC Update) v0.29.2_NRA_model_for_NEMO2 (EMC Update) v0.29.5_NRA_model_for_NEMO2 (EMC Update) v0 30 1" xfId="324" xr:uid="{00000000-0005-0000-0000-0000EE000000}"/>
    <cellStyle name="%_NRA_model_for_NEMO2 (EMC Update) v0.19_NRA_model_for_NEMO2 (EMC Update) v0.21_NRA_model_for_NEMO2 (EMC Update) v0.29_NRA_model_for_NEMO2 (EMC Update) v0.29.3" xfId="325" xr:uid="{00000000-0005-0000-0000-0000EF000000}"/>
    <cellStyle name="%_NRA_model_for_NEMO2 (EMC Update) v0.19_NRA_model_for_NEMO2 (EMC Update) v0.21_NRA_model_for_NEMO2 (EMC Update) v0.29_NRA_model_for_NEMO2 (EMC Update) v0.29.3_NRA_model_for_NEMO2 (EMC Update) v0 30 1" xfId="326" xr:uid="{00000000-0005-0000-0000-0000F0000000}"/>
    <cellStyle name="%_NRA_model_for_NEMO2 (EMC Update) v0.19_NRA_model_for_NEMO2 (EMC Update) v0.21_NRA_model_for_NEMO2 (EMC Update) v0.29_NRA_model_for_NEMO2 (EMC Update) v0.29.3_NRA_model_for_NEMO2 (EMC Update) v0.29.5" xfId="327" xr:uid="{00000000-0005-0000-0000-0000F1000000}"/>
    <cellStyle name="%_NRA_model_for_NEMO2 (EMC Update) v0.19_NRA_model_for_NEMO2 (EMC Update) v0.21_NRA_model_for_NEMO2 (EMC Update) v0.29_NRA_model_for_NEMO2 (EMC Update) v0.29.3_NRA_model_for_NEMO2 (EMC Update) v0.29.5_NRA_model_for_NEMO2 (EMC Update) v0 30 1" xfId="328" xr:uid="{00000000-0005-0000-0000-0000F2000000}"/>
    <cellStyle name="%_NRA_model_for_NEMO2 (EMC Update) v0.19_NRA_model_for_NEMO2 (EMC Update) v0.21_NRA_model_for_NEMO2 (EMC Update) v0.29_NRA_model_for_NEMO2 (EMC Update) v0.29.4" xfId="329" xr:uid="{00000000-0005-0000-0000-0000F3000000}"/>
    <cellStyle name="%_NRA_model_for_NEMO2 (EMC Update) v0.19_NRA_model_for_NEMO2 (EMC Update) v0.21_NRA_model_for_NEMO2 (EMC Update) v0.29_NRA_model_for_NEMO2 (EMC Update) v0.29.4_NRA_model_for_NEMO2 (EMC Update) v0 30 1" xfId="330" xr:uid="{00000000-0005-0000-0000-0000F4000000}"/>
    <cellStyle name="%_NRA_model_for_NEMO2 (EMC Update) v0.19_NRA_model_for_NEMO2 (EMC Update) v0.21_NRA_model_for_NEMO2 (EMC Update) v0.29_NRA_model_for_NEMO2 (EMC Update) v0.29.4_NRA_model_for_NEMO2 (EMC Update) v0.29.5" xfId="331" xr:uid="{00000000-0005-0000-0000-0000F5000000}"/>
    <cellStyle name="%_NRA_model_for_NEMO2 (EMC Update) v0.19_NRA_model_for_NEMO2 (EMC Update) v0.21_NRA_model_for_NEMO2 (EMC Update) v0.29_NRA_model_for_NEMO2 (EMC Update) v0.29.4_NRA_model_for_NEMO2 (EMC Update) v0.29.5_NRA_model_for_NEMO2 (EMC Update) v0 30 1" xfId="332" xr:uid="{00000000-0005-0000-0000-0000F6000000}"/>
    <cellStyle name="%_NRA_model_for_NEMO2 (EMC Update) v0.19_NRA_model_for_NEMO2 (EMC Update) v0.21_NRA_model_for_NEMO2 (EMC Update) v0.29_NRA_model_for_NEMO2 (EMC Update) v0.29.5" xfId="333" xr:uid="{00000000-0005-0000-0000-0000F7000000}"/>
    <cellStyle name="%_NRA_model_for_NEMO2 (EMC Update) v0.19_NRA_model_for_NEMO2 (EMC Update) v0.21_NRA_model_for_NEMO2 (EMC Update) v0.29_NRA_model_for_NEMO2 (EMC Update) v0.29.5_NRA_model_for_NEMO2 (EMC Update) v0 30 1" xfId="334" xr:uid="{00000000-0005-0000-0000-0000F8000000}"/>
    <cellStyle name="%_NRA_model_for_NEMO2 (EMC Update) v0.19_NRA_model_for_NEMO2 (EMC Update) v0.22" xfId="335" xr:uid="{00000000-0005-0000-0000-0000F9000000}"/>
    <cellStyle name="%_NRA_model_for_NEMO2 (EMC Update) v0.19_NRA_model_for_NEMO2 (EMC Update) v0.22_NRA_model_for_NEMO2 (EMC Update) v0 30 1" xfId="336" xr:uid="{00000000-0005-0000-0000-0000FA000000}"/>
    <cellStyle name="%_NRA_model_for_NEMO2 (EMC Update) v0.19_NRA_model_for_NEMO2 (EMC Update) v0.22_NRA_model_for_NEMO2 (EMC Update) v0.25" xfId="337" xr:uid="{00000000-0005-0000-0000-0000FB000000}"/>
    <cellStyle name="%_NRA_model_for_NEMO2 (EMC Update) v0.19_NRA_model_for_NEMO2 (EMC Update) v0.22_NRA_model_for_NEMO2 (EMC Update) v0.25_NRA_model_for_NEMO2 (EMC Update) v0 30 1" xfId="338" xr:uid="{00000000-0005-0000-0000-0000FC000000}"/>
    <cellStyle name="%_NRA_model_for_NEMO2 (EMC Update) v0.19_NRA_model_for_NEMO2 (EMC Update) v0.22_NRA_model_for_NEMO2 (EMC Update) v0.25_NRA_model_for_NEMO2 (EMC Update) v0.26" xfId="339" xr:uid="{00000000-0005-0000-0000-0000FD000000}"/>
    <cellStyle name="%_NRA_model_for_NEMO2 (EMC Update) v0.19_NRA_model_for_NEMO2 (EMC Update) v0.22_NRA_model_for_NEMO2 (EMC Update) v0.25_NRA_model_for_NEMO2 (EMC Update) v0.26_NRA_model_for_NEMO2 (EMC Update) v0 30 1" xfId="340" xr:uid="{00000000-0005-0000-0000-0000FE000000}"/>
    <cellStyle name="%_NRA_model_for_NEMO2 (EMC Update) v0.19_NRA_model_for_NEMO2 (EMC Update) v0.22_NRA_model_for_NEMO2 (EMC Update) v0.25_NRA_model_for_NEMO2 (EMC Update) v0.26_NRA_model_for_NEMO2 (EMC Update) v0.29" xfId="341" xr:uid="{00000000-0005-0000-0000-0000FF000000}"/>
    <cellStyle name="%_NRA_model_for_NEMO2 (EMC Update) v0.19_NRA_model_for_NEMO2 (EMC Update) v0.22_NRA_model_for_NEMO2 (EMC Update) v0.25_NRA_model_for_NEMO2 (EMC Update) v0.26_NRA_model_for_NEMO2 (EMC Update) v0.29.2" xfId="342" xr:uid="{00000000-0005-0000-0000-000000010000}"/>
    <cellStyle name="%_NRA_model_for_NEMO2 (EMC Update) v0.19_NRA_model_for_NEMO2 (EMC Update) v0.22_NRA_model_for_NEMO2 (EMC Update) v0.25_NRA_model_for_NEMO2 (EMC Update) v0.26_NRA_model_for_NEMO2 (EMC Update) v0.29.2_NRA_model_for_NEMO2 (EMC Update) v0 30 1" xfId="343" xr:uid="{00000000-0005-0000-0000-000001010000}"/>
    <cellStyle name="%_NRA_model_for_NEMO2 (EMC Update) v0.19_NRA_model_for_NEMO2 (EMC Update) v0.22_NRA_model_for_NEMO2 (EMC Update) v0.25_NRA_model_for_NEMO2 (EMC Update) v0.26_NRA_model_for_NEMO2 (EMC Update) v0.29.2_NRA_model_for_NEMO2 (EMC Update) v0.29.3" xfId="344" xr:uid="{00000000-0005-0000-0000-000002010000}"/>
    <cellStyle name="%_NRA_model_for_NEMO2 (EMC Update) v0.19_NRA_model_for_NEMO2 (EMC Update) v0.22_NRA_model_for_NEMO2 (EMC Update) v0.25_NRA_model_for_NEMO2 (EMC Update) v0.26_NRA_model_for_NEMO2 (EMC Update) v0.29.2_NRA_model_for_NEMO2 (EMC Update) v0.29.4" xfId="345" xr:uid="{00000000-0005-0000-0000-000003010000}"/>
    <cellStyle name="%_NRA_model_for_NEMO2 (EMC Update) v0.19_NRA_model_for_NEMO2 (EMC Update) v0.22_NRA_model_for_NEMO2 (EMC Update) v0.25_NRA_model_for_NEMO2 (EMC Update) v0.26_NRA_model_for_NEMO2 (EMC Update) v0.29.2_NRA_model_for_NEMO2 (EMC Update) v0.29.5" xfId="346" xr:uid="{00000000-0005-0000-0000-000004010000}"/>
    <cellStyle name="%_NRA_model_for_NEMO2 (EMC Update) v0.19_NRA_model_for_NEMO2 (EMC Update) v0.22_NRA_model_for_NEMO2 (EMC Update) v0.25_NRA_model_for_NEMO2 (EMC Update) v0.26_NRA_model_for_NEMO2 (EMC Update) v0.29.3" xfId="347" xr:uid="{00000000-0005-0000-0000-000005010000}"/>
    <cellStyle name="%_NRA_model_for_NEMO2 (EMC Update) v0.19_NRA_model_for_NEMO2 (EMC Update) v0.22_NRA_model_for_NEMO2 (EMC Update) v0.25_NRA_model_for_NEMO2 (EMC Update) v0.26_NRA_model_for_NEMO2 (EMC Update) v0.29.3_NRA_model_for_NEMO2 (EMC Update) v0 30 1" xfId="348" xr:uid="{00000000-0005-0000-0000-000006010000}"/>
    <cellStyle name="%_NRA_model_for_NEMO2 (EMC Update) v0.19_NRA_model_for_NEMO2 (EMC Update) v0.22_NRA_model_for_NEMO2 (EMC Update) v0.25_NRA_model_for_NEMO2 (EMC Update) v0.26_NRA_model_for_NEMO2 (EMC Update) v0.29.3_NRA_model_for_NEMO2 (EMC Update) v0.29.5" xfId="349" xr:uid="{00000000-0005-0000-0000-000007010000}"/>
    <cellStyle name="%_NRA_model_for_NEMO2 (EMC Update) v0.19_NRA_model_for_NEMO2 (EMC Update) v0.22_NRA_model_for_NEMO2 (EMC Update) v0.25_NRA_model_for_NEMO2 (EMC Update) v0.26_NRA_model_for_NEMO2 (EMC Update) v0.29.4" xfId="350" xr:uid="{00000000-0005-0000-0000-000008010000}"/>
    <cellStyle name="%_NRA_model_for_NEMO2 (EMC Update) v0.19_NRA_model_for_NEMO2 (EMC Update) v0.22_NRA_model_for_NEMO2 (EMC Update) v0.25_NRA_model_for_NEMO2 (EMC Update) v0.26_NRA_model_for_NEMO2 (EMC Update) v0.29.4_NRA_model_for_NEMO2 (EMC Update) v0 30 1" xfId="351" xr:uid="{00000000-0005-0000-0000-000009010000}"/>
    <cellStyle name="%_NRA_model_for_NEMO2 (EMC Update) v0.19_NRA_model_for_NEMO2 (EMC Update) v0.22_NRA_model_for_NEMO2 (EMC Update) v0.25_NRA_model_for_NEMO2 (EMC Update) v0.26_NRA_model_for_NEMO2 (EMC Update) v0.29.4_NRA_model_for_NEMO2 (EMC Update) v0.29.5" xfId="352" xr:uid="{00000000-0005-0000-0000-00000A010000}"/>
    <cellStyle name="%_NRA_model_for_NEMO2 (EMC Update) v0.19_NRA_model_for_NEMO2 (EMC Update) v0.22_NRA_model_for_NEMO2 (EMC Update) v0.25_NRA_model_for_NEMO2 (EMC Update) v0.26_NRA_model_for_NEMO2 (EMC Update) v0.29.5" xfId="353" xr:uid="{00000000-0005-0000-0000-00000B010000}"/>
    <cellStyle name="%_NRA_model_for_NEMO2 (EMC Update) v0.19_NRA_model_for_NEMO2 (EMC Update) v0.22_NRA_model_for_NEMO2 (EMC Update) v0.25_NRA_model_for_NEMO2 (EMC Update) v0.26_NRA_model_for_NEMO2 (EMC Update) v0.29.5_NRA_model_for_NEMO2 (EMC Update) v0 30 1" xfId="354" xr:uid="{00000000-0005-0000-0000-00000C010000}"/>
    <cellStyle name="%_NRA_model_for_NEMO2 (EMC Update) v0.19_NRA_model_for_NEMO2 (EMC Update) v0.22_NRA_model_for_NEMO2 (EMC Update) v0.25_NRA_model_for_NEMO2 (EMC Update) v0.26_NRA_model_for_NEMO2 (EMC Update) v0.29_NRA_model_for_NEMO2 (EMC Update) v0 30 1" xfId="355" xr:uid="{00000000-0005-0000-0000-00000D010000}"/>
    <cellStyle name="%_NRA_model_for_NEMO2 (EMC Update) v0.19_NRA_model_for_NEMO2 (EMC Update) v0.22_NRA_model_for_NEMO2 (EMC Update) v0.25_NRA_model_for_NEMO2 (EMC Update) v0.26_NRA_model_for_NEMO2 (EMC Update) v0.29_NRA_model_for_NEMO2 (EMC Update) v0.29.2" xfId="356" xr:uid="{00000000-0005-0000-0000-00000E010000}"/>
    <cellStyle name="%_NRA_model_for_NEMO2 (EMC Update) v0.19_NRA_model_for_NEMO2 (EMC Update) v0.22_NRA_model_for_NEMO2 (EMC Update) v0.25_NRA_model_for_NEMO2 (EMC Update) v0.26_NRA_model_for_NEMO2 (EMC Update) v0.29_NRA_model_for_NEMO2 (EMC Update) v0.29.3" xfId="357" xr:uid="{00000000-0005-0000-0000-00000F010000}"/>
    <cellStyle name="%_NRA_model_for_NEMO2 (EMC Update) v0.19_NRA_model_for_NEMO2 (EMC Update) v0.22_NRA_model_for_NEMO2 (EMC Update) v0.25_NRA_model_for_NEMO2 (EMC Update) v0.26_NRA_model_for_NEMO2 (EMC Update) v0.29_NRA_model_for_NEMO2 (EMC Update) v0.29.4" xfId="358" xr:uid="{00000000-0005-0000-0000-000010010000}"/>
    <cellStyle name="%_NRA_model_for_NEMO2 (EMC Update) v0.19_NRA_model_for_NEMO2 (EMC Update) v0.22_NRA_model_for_NEMO2 (EMC Update) v0.25_NRA_model_for_NEMO2 (EMC Update) v0.26_NRA_model_for_NEMO2 (EMC Update) v0.29_NRA_model_for_NEMO2 (EMC Update) v0.29.5" xfId="359" xr:uid="{00000000-0005-0000-0000-000011010000}"/>
    <cellStyle name="%_NRA_model_for_NEMO2 (EMC Update) v0.19_NRA_model_for_NEMO2 (EMC Update) v0.22_NRA_model_for_NEMO2 (EMC Update) v0.25_NRA_model_for_NEMO2 (EMC Update) v0.29" xfId="360" xr:uid="{00000000-0005-0000-0000-000012010000}"/>
    <cellStyle name="%_NRA_model_for_NEMO2 (EMC Update) v0.19_NRA_model_for_NEMO2 (EMC Update) v0.22_NRA_model_for_NEMO2 (EMC Update) v0.25_NRA_model_for_NEMO2 (EMC Update) v0.29.2" xfId="361" xr:uid="{00000000-0005-0000-0000-000013010000}"/>
    <cellStyle name="%_NRA_model_for_NEMO2 (EMC Update) v0.19_NRA_model_for_NEMO2 (EMC Update) v0.22_NRA_model_for_NEMO2 (EMC Update) v0.25_NRA_model_for_NEMO2 (EMC Update) v0.29.2_NRA_model_for_NEMO2 (EMC Update) v0 30 1" xfId="362" xr:uid="{00000000-0005-0000-0000-000014010000}"/>
    <cellStyle name="%_NRA_model_for_NEMO2 (EMC Update) v0.19_NRA_model_for_NEMO2 (EMC Update) v0.22_NRA_model_for_NEMO2 (EMC Update) v0.25_NRA_model_for_NEMO2 (EMC Update) v0.29.2_NRA_model_for_NEMO2 (EMC Update) v0.29.3" xfId="363" xr:uid="{00000000-0005-0000-0000-000015010000}"/>
    <cellStyle name="%_NRA_model_for_NEMO2 (EMC Update) v0.19_NRA_model_for_NEMO2 (EMC Update) v0.22_NRA_model_for_NEMO2 (EMC Update) v0.25_NRA_model_for_NEMO2 (EMC Update) v0.29.2_NRA_model_for_NEMO2 (EMC Update) v0.29.3_NRA_model_for_NEMO2 (EMC Update) v0 30 1" xfId="364" xr:uid="{00000000-0005-0000-0000-000016010000}"/>
    <cellStyle name="%_NRA_model_for_NEMO2 (EMC Update) v0.19_NRA_model_for_NEMO2 (EMC Update) v0.22_NRA_model_for_NEMO2 (EMC Update) v0.25_NRA_model_for_NEMO2 (EMC Update) v0.29.2_NRA_model_for_NEMO2 (EMC Update) v0.29.3_NRA_model_for_NEMO2 (EMC Update) v0.29.5" xfId="365" xr:uid="{00000000-0005-0000-0000-000017010000}"/>
    <cellStyle name="%_NRA_model_for_NEMO2 (EMC Update) v0.19_NRA_model_for_NEMO2 (EMC Update) v0.22_NRA_model_for_NEMO2 (EMC Update) v0.25_NRA_model_for_NEMO2 (EMC Update) v0.29.2_NRA_model_for_NEMO2 (EMC Update) v0.29.4" xfId="366" xr:uid="{00000000-0005-0000-0000-000018010000}"/>
    <cellStyle name="%_NRA_model_for_NEMO2 (EMC Update) v0.19_NRA_model_for_NEMO2 (EMC Update) v0.22_NRA_model_for_NEMO2 (EMC Update) v0.25_NRA_model_for_NEMO2 (EMC Update) v0.29.2_NRA_model_for_NEMO2 (EMC Update) v0.29.4_NRA_model_for_NEMO2 (EMC Update) v0 30 1" xfId="367" xr:uid="{00000000-0005-0000-0000-000019010000}"/>
    <cellStyle name="%_NRA_model_for_NEMO2 (EMC Update) v0.19_NRA_model_for_NEMO2 (EMC Update) v0.22_NRA_model_for_NEMO2 (EMC Update) v0.25_NRA_model_for_NEMO2 (EMC Update) v0.29.2_NRA_model_for_NEMO2 (EMC Update) v0.29.4_NRA_model_for_NEMO2 (EMC Update) v0.29.5" xfId="368" xr:uid="{00000000-0005-0000-0000-00001A010000}"/>
    <cellStyle name="%_NRA_model_for_NEMO2 (EMC Update) v0.19_NRA_model_for_NEMO2 (EMC Update) v0.22_NRA_model_for_NEMO2 (EMC Update) v0.25_NRA_model_for_NEMO2 (EMC Update) v0.29.2_NRA_model_for_NEMO2 (EMC Update) v0.29.5" xfId="369" xr:uid="{00000000-0005-0000-0000-00001B010000}"/>
    <cellStyle name="%_NRA_model_for_NEMO2 (EMC Update) v0.19_NRA_model_for_NEMO2 (EMC Update) v0.22_NRA_model_for_NEMO2 (EMC Update) v0.25_NRA_model_for_NEMO2 (EMC Update) v0.29.2_NRA_model_for_NEMO2 (EMC Update) v0.29.5_NRA_model_for_NEMO2 (EMC Update) v0 30 1" xfId="370" xr:uid="{00000000-0005-0000-0000-00001C010000}"/>
    <cellStyle name="%_NRA_model_for_NEMO2 (EMC Update) v0.19_NRA_model_for_NEMO2 (EMC Update) v0.22_NRA_model_for_NEMO2 (EMC Update) v0.25_NRA_model_for_NEMO2 (EMC Update) v0.29.3" xfId="371" xr:uid="{00000000-0005-0000-0000-00001D010000}"/>
    <cellStyle name="%_NRA_model_for_NEMO2 (EMC Update) v0.19_NRA_model_for_NEMO2 (EMC Update) v0.22_NRA_model_for_NEMO2 (EMC Update) v0.25_NRA_model_for_NEMO2 (EMC Update) v0.29.3_NRA_model_for_NEMO2 (EMC Update) v0 30 1" xfId="372" xr:uid="{00000000-0005-0000-0000-00001E010000}"/>
    <cellStyle name="%_NRA_model_for_NEMO2 (EMC Update) v0.19_NRA_model_for_NEMO2 (EMC Update) v0.22_NRA_model_for_NEMO2 (EMC Update) v0.25_NRA_model_for_NEMO2 (EMC Update) v0.29.3_NRA_model_for_NEMO2 (EMC Update) v0.29.5" xfId="373" xr:uid="{00000000-0005-0000-0000-00001F010000}"/>
    <cellStyle name="%_NRA_model_for_NEMO2 (EMC Update) v0.19_NRA_model_for_NEMO2 (EMC Update) v0.22_NRA_model_for_NEMO2 (EMC Update) v0.25_NRA_model_for_NEMO2 (EMC Update) v0.29.3_NRA_model_for_NEMO2 (EMC Update) v0.29.5_NRA_model_for_NEMO2 (EMC Update) v0 30 1" xfId="374" xr:uid="{00000000-0005-0000-0000-000020010000}"/>
    <cellStyle name="%_NRA_model_for_NEMO2 (EMC Update) v0.19_NRA_model_for_NEMO2 (EMC Update) v0.22_NRA_model_for_NEMO2 (EMC Update) v0.25_NRA_model_for_NEMO2 (EMC Update) v0.29.4" xfId="375" xr:uid="{00000000-0005-0000-0000-000021010000}"/>
    <cellStyle name="%_NRA_model_for_NEMO2 (EMC Update) v0.19_NRA_model_for_NEMO2 (EMC Update) v0.22_NRA_model_for_NEMO2 (EMC Update) v0.25_NRA_model_for_NEMO2 (EMC Update) v0.29.4_NRA_model_for_NEMO2 (EMC Update) v0 30 1" xfId="376" xr:uid="{00000000-0005-0000-0000-000022010000}"/>
    <cellStyle name="%_NRA_model_for_NEMO2 (EMC Update) v0.19_NRA_model_for_NEMO2 (EMC Update) v0.22_NRA_model_for_NEMO2 (EMC Update) v0.25_NRA_model_for_NEMO2 (EMC Update) v0.29.4_NRA_model_for_NEMO2 (EMC Update) v0.29.5" xfId="377" xr:uid="{00000000-0005-0000-0000-000023010000}"/>
    <cellStyle name="%_NRA_model_for_NEMO2 (EMC Update) v0.19_NRA_model_for_NEMO2 (EMC Update) v0.22_NRA_model_for_NEMO2 (EMC Update) v0.25_NRA_model_for_NEMO2 (EMC Update) v0.29.4_NRA_model_for_NEMO2 (EMC Update) v0.29.5_NRA_model_for_NEMO2 (EMC Update) v0 30 1" xfId="378" xr:uid="{00000000-0005-0000-0000-000024010000}"/>
    <cellStyle name="%_NRA_model_for_NEMO2 (EMC Update) v0.19_NRA_model_for_NEMO2 (EMC Update) v0.22_NRA_model_for_NEMO2 (EMC Update) v0.25_NRA_model_for_NEMO2 (EMC Update) v0.29.5" xfId="379" xr:uid="{00000000-0005-0000-0000-000025010000}"/>
    <cellStyle name="%_NRA_model_for_NEMO2 (EMC Update) v0.19_NRA_model_for_NEMO2 (EMC Update) v0.22_NRA_model_for_NEMO2 (EMC Update) v0.25_NRA_model_for_NEMO2 (EMC Update) v0.29.5_NRA_model_for_NEMO2 (EMC Update) v0 30 1" xfId="380" xr:uid="{00000000-0005-0000-0000-000026010000}"/>
    <cellStyle name="%_NRA_model_for_NEMO2 (EMC Update) v0.19_NRA_model_for_NEMO2 (EMC Update) v0.22_NRA_model_for_NEMO2 (EMC Update) v0.25_NRA_model_for_NEMO2 (EMC Update) v0.29_NRA_model_for_NEMO2 (EMC Update) v0 30 1" xfId="381" xr:uid="{00000000-0005-0000-0000-000027010000}"/>
    <cellStyle name="%_NRA_model_for_NEMO2 (EMC Update) v0.19_NRA_model_for_NEMO2 (EMC Update) v0.22_NRA_model_for_NEMO2 (EMC Update) v0.25_NRA_model_for_NEMO2 (EMC Update) v0.29_NRA_model_for_NEMO2 (EMC Update) v0.29.2" xfId="382" xr:uid="{00000000-0005-0000-0000-000028010000}"/>
    <cellStyle name="%_NRA_model_for_NEMO2 (EMC Update) v0.19_NRA_model_for_NEMO2 (EMC Update) v0.22_NRA_model_for_NEMO2 (EMC Update) v0.25_NRA_model_for_NEMO2 (EMC Update) v0.29_NRA_model_for_NEMO2 (EMC Update) v0.29.2_NRA_model_for_NEMO2 (EMC Update) v0 30 1" xfId="383" xr:uid="{00000000-0005-0000-0000-000029010000}"/>
    <cellStyle name="%_NRA_model_for_NEMO2 (EMC Update) v0.19_NRA_model_for_NEMO2 (EMC Update) v0.22_NRA_model_for_NEMO2 (EMC Update) v0.25_NRA_model_for_NEMO2 (EMC Update) v0.29_NRA_model_for_NEMO2 (EMC Update) v0.29.2_NRA_model_for_NEMO2 (EMC Update) v0.29.3" xfId="384" xr:uid="{00000000-0005-0000-0000-00002A010000}"/>
    <cellStyle name="%_NRA_model_for_NEMO2 (EMC Update) v0.19_NRA_model_for_NEMO2 (EMC Update) v0.22_NRA_model_for_NEMO2 (EMC Update) v0.25_NRA_model_for_NEMO2 (EMC Update) v0.29_NRA_model_for_NEMO2 (EMC Update) v0.29.2_NRA_model_for_NEMO2 (EMC Update) v0.29.4" xfId="385" xr:uid="{00000000-0005-0000-0000-00002B010000}"/>
    <cellStyle name="%_NRA_model_for_NEMO2 (EMC Update) v0.19_NRA_model_for_NEMO2 (EMC Update) v0.22_NRA_model_for_NEMO2 (EMC Update) v0.25_NRA_model_for_NEMO2 (EMC Update) v0.29_NRA_model_for_NEMO2 (EMC Update) v0.29.2_NRA_model_for_NEMO2 (EMC Update) v0.29.5" xfId="386" xr:uid="{00000000-0005-0000-0000-00002C010000}"/>
    <cellStyle name="%_NRA_model_for_NEMO2 (EMC Update) v0.19_NRA_model_for_NEMO2 (EMC Update) v0.22_NRA_model_for_NEMO2 (EMC Update) v0.25_NRA_model_for_NEMO2 (EMC Update) v0.29_NRA_model_for_NEMO2 (EMC Update) v0.29.3" xfId="387" xr:uid="{00000000-0005-0000-0000-00002D010000}"/>
    <cellStyle name="%_NRA_model_for_NEMO2 (EMC Update) v0.19_NRA_model_for_NEMO2 (EMC Update) v0.22_NRA_model_for_NEMO2 (EMC Update) v0.25_NRA_model_for_NEMO2 (EMC Update) v0.29_NRA_model_for_NEMO2 (EMC Update) v0.29.3_NRA_model_for_NEMO2 (EMC Update) v0 30 1" xfId="388" xr:uid="{00000000-0005-0000-0000-00002E010000}"/>
    <cellStyle name="%_NRA_model_for_NEMO2 (EMC Update) v0.19_NRA_model_for_NEMO2 (EMC Update) v0.22_NRA_model_for_NEMO2 (EMC Update) v0.25_NRA_model_for_NEMO2 (EMC Update) v0.29_NRA_model_for_NEMO2 (EMC Update) v0.29.3_NRA_model_for_NEMO2 (EMC Update) v0.29.5" xfId="389" xr:uid="{00000000-0005-0000-0000-00002F010000}"/>
    <cellStyle name="%_NRA_model_for_NEMO2 (EMC Update) v0.19_NRA_model_for_NEMO2 (EMC Update) v0.22_NRA_model_for_NEMO2 (EMC Update) v0.25_NRA_model_for_NEMO2 (EMC Update) v0.29_NRA_model_for_NEMO2 (EMC Update) v0.29.4" xfId="390" xr:uid="{00000000-0005-0000-0000-000030010000}"/>
    <cellStyle name="%_NRA_model_for_NEMO2 (EMC Update) v0.19_NRA_model_for_NEMO2 (EMC Update) v0.22_NRA_model_for_NEMO2 (EMC Update) v0.25_NRA_model_for_NEMO2 (EMC Update) v0.29_NRA_model_for_NEMO2 (EMC Update) v0.29.4_NRA_model_for_NEMO2 (EMC Update) v0 30 1" xfId="391" xr:uid="{00000000-0005-0000-0000-000031010000}"/>
    <cellStyle name="%_NRA_model_for_NEMO2 (EMC Update) v0.19_NRA_model_for_NEMO2 (EMC Update) v0.22_NRA_model_for_NEMO2 (EMC Update) v0.25_NRA_model_for_NEMO2 (EMC Update) v0.29_NRA_model_for_NEMO2 (EMC Update) v0.29.4_NRA_model_for_NEMO2 (EMC Update) v0.29.5" xfId="392" xr:uid="{00000000-0005-0000-0000-000032010000}"/>
    <cellStyle name="%_NRA_model_for_NEMO2 (EMC Update) v0.19_NRA_model_for_NEMO2 (EMC Update) v0.22_NRA_model_for_NEMO2 (EMC Update) v0.25_NRA_model_for_NEMO2 (EMC Update) v0.29_NRA_model_for_NEMO2 (EMC Update) v0.29.5" xfId="393" xr:uid="{00000000-0005-0000-0000-000033010000}"/>
    <cellStyle name="%_NRA_model_for_NEMO2 (EMC Update) v0.19_NRA_model_for_NEMO2 (EMC Update) v0.22_NRA_model_for_NEMO2 (EMC Update) v0.25_NRA_model_for_NEMO2 (EMC Update) v0.29_NRA_model_for_NEMO2 (EMC Update) v0.29.5_NRA_model_for_NEMO2 (EMC Update) v0 30 1" xfId="394" xr:uid="{00000000-0005-0000-0000-000034010000}"/>
    <cellStyle name="%_NRA_model_for_NEMO2 (EMC Update) v0.19_NRA_model_for_NEMO2 (EMC Update) v0.22_NRA_model_for_NEMO2 (EMC Update) v0.26" xfId="395" xr:uid="{00000000-0005-0000-0000-000035010000}"/>
    <cellStyle name="%_NRA_model_for_NEMO2 (EMC Update) v0.19_NRA_model_for_NEMO2 (EMC Update) v0.22_NRA_model_for_NEMO2 (EMC Update) v0.26_NRA_model_for_NEMO2 (EMC Update) v0 30 1" xfId="396" xr:uid="{00000000-0005-0000-0000-000036010000}"/>
    <cellStyle name="%_NRA_model_for_NEMO2 (EMC Update) v0.19_NRA_model_for_NEMO2 (EMC Update) v0.22_NRA_model_for_NEMO2 (EMC Update) v0.26_NRA_model_for_NEMO2 (EMC Update) v0.29" xfId="397" xr:uid="{00000000-0005-0000-0000-000037010000}"/>
    <cellStyle name="%_NRA_model_for_NEMO2 (EMC Update) v0.19_NRA_model_for_NEMO2 (EMC Update) v0.22_NRA_model_for_NEMO2 (EMC Update) v0.26_NRA_model_for_NEMO2 (EMC Update) v0.29.2" xfId="398" xr:uid="{00000000-0005-0000-0000-000038010000}"/>
    <cellStyle name="%_NRA_model_for_NEMO2 (EMC Update) v0.19_NRA_model_for_NEMO2 (EMC Update) v0.22_NRA_model_for_NEMO2 (EMC Update) v0.26_NRA_model_for_NEMO2 (EMC Update) v0.29.2_NRA_model_for_NEMO2 (EMC Update) v0 30 1" xfId="399" xr:uid="{00000000-0005-0000-0000-000039010000}"/>
    <cellStyle name="%_NRA_model_for_NEMO2 (EMC Update) v0.19_NRA_model_for_NEMO2 (EMC Update) v0.22_NRA_model_for_NEMO2 (EMC Update) v0.26_NRA_model_for_NEMO2 (EMC Update) v0.29.2_NRA_model_for_NEMO2 (EMC Update) v0.29.3" xfId="400" xr:uid="{00000000-0005-0000-0000-00003A010000}"/>
    <cellStyle name="%_NRA_model_for_NEMO2 (EMC Update) v0.19_NRA_model_for_NEMO2 (EMC Update) v0.22_NRA_model_for_NEMO2 (EMC Update) v0.26_NRA_model_for_NEMO2 (EMC Update) v0.29.2_NRA_model_for_NEMO2 (EMC Update) v0.29.3_NRA_model_for_NEMO2 (EMC Update) v0 30 1" xfId="401" xr:uid="{00000000-0005-0000-0000-00003B010000}"/>
    <cellStyle name="%_NRA_model_for_NEMO2 (EMC Update) v0.19_NRA_model_for_NEMO2 (EMC Update) v0.22_NRA_model_for_NEMO2 (EMC Update) v0.26_NRA_model_for_NEMO2 (EMC Update) v0.29.2_NRA_model_for_NEMO2 (EMC Update) v0.29.3_NRA_model_for_NEMO2 (EMC Update) v0.29.5" xfId="402" xr:uid="{00000000-0005-0000-0000-00003C010000}"/>
    <cellStyle name="%_NRA_model_for_NEMO2 (EMC Update) v0.19_NRA_model_for_NEMO2 (EMC Update) v0.22_NRA_model_for_NEMO2 (EMC Update) v0.26_NRA_model_for_NEMO2 (EMC Update) v0.29.2_NRA_model_for_NEMO2 (EMC Update) v0.29.4" xfId="403" xr:uid="{00000000-0005-0000-0000-00003D010000}"/>
    <cellStyle name="%_NRA_model_for_NEMO2 (EMC Update) v0.19_NRA_model_for_NEMO2 (EMC Update) v0.22_NRA_model_for_NEMO2 (EMC Update) v0.26_NRA_model_for_NEMO2 (EMC Update) v0.29.2_NRA_model_for_NEMO2 (EMC Update) v0.29.4_NRA_model_for_NEMO2 (EMC Update) v0 30 1" xfId="404" xr:uid="{00000000-0005-0000-0000-00003E010000}"/>
    <cellStyle name="%_NRA_model_for_NEMO2 (EMC Update) v0.19_NRA_model_for_NEMO2 (EMC Update) v0.22_NRA_model_for_NEMO2 (EMC Update) v0.26_NRA_model_for_NEMO2 (EMC Update) v0.29.2_NRA_model_for_NEMO2 (EMC Update) v0.29.4_NRA_model_for_NEMO2 (EMC Update) v0.29.5" xfId="405" xr:uid="{00000000-0005-0000-0000-00003F010000}"/>
    <cellStyle name="%_NRA_model_for_NEMO2 (EMC Update) v0.19_NRA_model_for_NEMO2 (EMC Update) v0.22_NRA_model_for_NEMO2 (EMC Update) v0.26_NRA_model_for_NEMO2 (EMC Update) v0.29.2_NRA_model_for_NEMO2 (EMC Update) v0.29.5" xfId="406" xr:uid="{00000000-0005-0000-0000-000040010000}"/>
    <cellStyle name="%_NRA_model_for_NEMO2 (EMC Update) v0.19_NRA_model_for_NEMO2 (EMC Update) v0.22_NRA_model_for_NEMO2 (EMC Update) v0.26_NRA_model_for_NEMO2 (EMC Update) v0.29.2_NRA_model_for_NEMO2 (EMC Update) v0.29.5_NRA_model_for_NEMO2 (EMC Update) v0 30 1" xfId="407" xr:uid="{00000000-0005-0000-0000-000041010000}"/>
    <cellStyle name="%_NRA_model_for_NEMO2 (EMC Update) v0.19_NRA_model_for_NEMO2 (EMC Update) v0.22_NRA_model_for_NEMO2 (EMC Update) v0.26_NRA_model_for_NEMO2 (EMC Update) v0.29.3" xfId="408" xr:uid="{00000000-0005-0000-0000-000042010000}"/>
    <cellStyle name="%_NRA_model_for_NEMO2 (EMC Update) v0.19_NRA_model_for_NEMO2 (EMC Update) v0.22_NRA_model_for_NEMO2 (EMC Update) v0.26_NRA_model_for_NEMO2 (EMC Update) v0.29.3_NRA_model_for_NEMO2 (EMC Update) v0 30 1" xfId="409" xr:uid="{00000000-0005-0000-0000-000043010000}"/>
    <cellStyle name="%_NRA_model_for_NEMO2 (EMC Update) v0.19_NRA_model_for_NEMO2 (EMC Update) v0.22_NRA_model_for_NEMO2 (EMC Update) v0.26_NRA_model_for_NEMO2 (EMC Update) v0.29.3_NRA_model_for_NEMO2 (EMC Update) v0.29.5" xfId="410" xr:uid="{00000000-0005-0000-0000-000044010000}"/>
    <cellStyle name="%_NRA_model_for_NEMO2 (EMC Update) v0.19_NRA_model_for_NEMO2 (EMC Update) v0.22_NRA_model_for_NEMO2 (EMC Update) v0.26_NRA_model_for_NEMO2 (EMC Update) v0.29.3_NRA_model_for_NEMO2 (EMC Update) v0.29.5_NRA_model_for_NEMO2 (EMC Update) v0 30 1" xfId="411" xr:uid="{00000000-0005-0000-0000-000045010000}"/>
    <cellStyle name="%_NRA_model_for_NEMO2 (EMC Update) v0.19_NRA_model_for_NEMO2 (EMC Update) v0.22_NRA_model_for_NEMO2 (EMC Update) v0.26_NRA_model_for_NEMO2 (EMC Update) v0.29.4" xfId="412" xr:uid="{00000000-0005-0000-0000-000046010000}"/>
    <cellStyle name="%_NRA_model_for_NEMO2 (EMC Update) v0.19_NRA_model_for_NEMO2 (EMC Update) v0.22_NRA_model_for_NEMO2 (EMC Update) v0.26_NRA_model_for_NEMO2 (EMC Update) v0.29.4_NRA_model_for_NEMO2 (EMC Update) v0 30 1" xfId="413" xr:uid="{00000000-0005-0000-0000-000047010000}"/>
    <cellStyle name="%_NRA_model_for_NEMO2 (EMC Update) v0.19_NRA_model_for_NEMO2 (EMC Update) v0.22_NRA_model_for_NEMO2 (EMC Update) v0.26_NRA_model_for_NEMO2 (EMC Update) v0.29.4_NRA_model_for_NEMO2 (EMC Update) v0.29.5" xfId="414" xr:uid="{00000000-0005-0000-0000-000048010000}"/>
    <cellStyle name="%_NRA_model_for_NEMO2 (EMC Update) v0.19_NRA_model_for_NEMO2 (EMC Update) v0.22_NRA_model_for_NEMO2 (EMC Update) v0.26_NRA_model_for_NEMO2 (EMC Update) v0.29.4_NRA_model_for_NEMO2 (EMC Update) v0.29.5_NRA_model_for_NEMO2 (EMC Update) v0 30 1" xfId="415" xr:uid="{00000000-0005-0000-0000-000049010000}"/>
    <cellStyle name="%_NRA_model_for_NEMO2 (EMC Update) v0.19_NRA_model_for_NEMO2 (EMC Update) v0.22_NRA_model_for_NEMO2 (EMC Update) v0.26_NRA_model_for_NEMO2 (EMC Update) v0.29.5" xfId="416" xr:uid="{00000000-0005-0000-0000-00004A010000}"/>
    <cellStyle name="%_NRA_model_for_NEMO2 (EMC Update) v0.19_NRA_model_for_NEMO2 (EMC Update) v0.22_NRA_model_for_NEMO2 (EMC Update) v0.26_NRA_model_for_NEMO2 (EMC Update) v0.29.5_NRA_model_for_NEMO2 (EMC Update) v0 30 1" xfId="417" xr:uid="{00000000-0005-0000-0000-00004B010000}"/>
    <cellStyle name="%_NRA_model_for_NEMO2 (EMC Update) v0.19_NRA_model_for_NEMO2 (EMC Update) v0.22_NRA_model_for_NEMO2 (EMC Update) v0.26_NRA_model_for_NEMO2 (EMC Update) v0.29_NRA_model_for_NEMO2 (EMC Update) v0 30 1" xfId="418" xr:uid="{00000000-0005-0000-0000-00004C010000}"/>
    <cellStyle name="%_NRA_model_for_NEMO2 (EMC Update) v0.19_NRA_model_for_NEMO2 (EMC Update) v0.22_NRA_model_for_NEMO2 (EMC Update) v0.26_NRA_model_for_NEMO2 (EMC Update) v0.29_NRA_model_for_NEMO2 (EMC Update) v0.29.2" xfId="419" xr:uid="{00000000-0005-0000-0000-00004D010000}"/>
    <cellStyle name="%_NRA_model_for_NEMO2 (EMC Update) v0.19_NRA_model_for_NEMO2 (EMC Update) v0.22_NRA_model_for_NEMO2 (EMC Update) v0.26_NRA_model_for_NEMO2 (EMC Update) v0.29_NRA_model_for_NEMO2 (EMC Update) v0.29.2_NRA_model_for_NEMO2 (EMC Update) v0 30 1" xfId="420" xr:uid="{00000000-0005-0000-0000-00004E010000}"/>
    <cellStyle name="%_NRA_model_for_NEMO2 (EMC Update) v0.19_NRA_model_for_NEMO2 (EMC Update) v0.22_NRA_model_for_NEMO2 (EMC Update) v0.26_NRA_model_for_NEMO2 (EMC Update) v0.29_NRA_model_for_NEMO2 (EMC Update) v0.29.2_NRA_model_for_NEMO2 (EMC Update) v0.29.3" xfId="421" xr:uid="{00000000-0005-0000-0000-00004F010000}"/>
    <cellStyle name="%_NRA_model_for_NEMO2 (EMC Update) v0.19_NRA_model_for_NEMO2 (EMC Update) v0.22_NRA_model_for_NEMO2 (EMC Update) v0.26_NRA_model_for_NEMO2 (EMC Update) v0.29_NRA_model_for_NEMO2 (EMC Update) v0.29.2_NRA_model_for_NEMO2 (EMC Update) v0.29.4" xfId="422" xr:uid="{00000000-0005-0000-0000-000050010000}"/>
    <cellStyle name="%_NRA_model_for_NEMO2 (EMC Update) v0.19_NRA_model_for_NEMO2 (EMC Update) v0.22_NRA_model_for_NEMO2 (EMC Update) v0.26_NRA_model_for_NEMO2 (EMC Update) v0.29_NRA_model_for_NEMO2 (EMC Update) v0.29.2_NRA_model_for_NEMO2 (EMC Update) v0.29.5" xfId="423" xr:uid="{00000000-0005-0000-0000-000051010000}"/>
    <cellStyle name="%_NRA_model_for_NEMO2 (EMC Update) v0.19_NRA_model_for_NEMO2 (EMC Update) v0.22_NRA_model_for_NEMO2 (EMC Update) v0.26_NRA_model_for_NEMO2 (EMC Update) v0.29_NRA_model_for_NEMO2 (EMC Update) v0.29.3" xfId="424" xr:uid="{00000000-0005-0000-0000-000052010000}"/>
    <cellStyle name="%_NRA_model_for_NEMO2 (EMC Update) v0.19_NRA_model_for_NEMO2 (EMC Update) v0.22_NRA_model_for_NEMO2 (EMC Update) v0.26_NRA_model_for_NEMO2 (EMC Update) v0.29_NRA_model_for_NEMO2 (EMC Update) v0.29.3_NRA_model_for_NEMO2 (EMC Update) v0 30 1" xfId="425" xr:uid="{00000000-0005-0000-0000-000053010000}"/>
    <cellStyle name="%_NRA_model_for_NEMO2 (EMC Update) v0.19_NRA_model_for_NEMO2 (EMC Update) v0.22_NRA_model_for_NEMO2 (EMC Update) v0.26_NRA_model_for_NEMO2 (EMC Update) v0.29_NRA_model_for_NEMO2 (EMC Update) v0.29.3_NRA_model_for_NEMO2 (EMC Update) v0.29.5" xfId="426" xr:uid="{00000000-0005-0000-0000-000054010000}"/>
    <cellStyle name="%_NRA_model_for_NEMO2 (EMC Update) v0.19_NRA_model_for_NEMO2 (EMC Update) v0.22_NRA_model_for_NEMO2 (EMC Update) v0.26_NRA_model_for_NEMO2 (EMC Update) v0.29_NRA_model_for_NEMO2 (EMC Update) v0.29.4" xfId="427" xr:uid="{00000000-0005-0000-0000-000055010000}"/>
    <cellStyle name="%_NRA_model_for_NEMO2 (EMC Update) v0.19_NRA_model_for_NEMO2 (EMC Update) v0.22_NRA_model_for_NEMO2 (EMC Update) v0.26_NRA_model_for_NEMO2 (EMC Update) v0.29_NRA_model_for_NEMO2 (EMC Update) v0.29.4_NRA_model_for_NEMO2 (EMC Update) v0 30 1" xfId="428" xr:uid="{00000000-0005-0000-0000-000056010000}"/>
    <cellStyle name="%_NRA_model_for_NEMO2 (EMC Update) v0.19_NRA_model_for_NEMO2 (EMC Update) v0.22_NRA_model_for_NEMO2 (EMC Update) v0.26_NRA_model_for_NEMO2 (EMC Update) v0.29_NRA_model_for_NEMO2 (EMC Update) v0.29.4_NRA_model_for_NEMO2 (EMC Update) v0.29.5" xfId="429" xr:uid="{00000000-0005-0000-0000-000057010000}"/>
    <cellStyle name="%_NRA_model_for_NEMO2 (EMC Update) v0.19_NRA_model_for_NEMO2 (EMC Update) v0.22_NRA_model_for_NEMO2 (EMC Update) v0.26_NRA_model_for_NEMO2 (EMC Update) v0.29_NRA_model_for_NEMO2 (EMC Update) v0.29.5" xfId="430" xr:uid="{00000000-0005-0000-0000-000058010000}"/>
    <cellStyle name="%_NRA_model_for_NEMO2 (EMC Update) v0.19_NRA_model_for_NEMO2 (EMC Update) v0.22_NRA_model_for_NEMO2 (EMC Update) v0.26_NRA_model_for_NEMO2 (EMC Update) v0.29_NRA_model_for_NEMO2 (EMC Update) v0.29.5_NRA_model_for_NEMO2 (EMC Update) v0 30 1" xfId="431" xr:uid="{00000000-0005-0000-0000-000059010000}"/>
    <cellStyle name="%_NRA_model_for_NEMO2 (EMC Update) v0.19_NRA_model_for_NEMO2 (EMC Update) v0.22_NRA_model_for_NEMO2 (EMC Update) v0.29" xfId="432" xr:uid="{00000000-0005-0000-0000-00005A010000}"/>
    <cellStyle name="%_NRA_model_for_NEMO2 (EMC Update) v0.19_NRA_model_for_NEMO2 (EMC Update) v0.22_NRA_model_for_NEMO2 (EMC Update) v0.29.2" xfId="433" xr:uid="{00000000-0005-0000-0000-00005B010000}"/>
    <cellStyle name="%_NRA_model_for_NEMO2 (EMC Update) v0.19_NRA_model_for_NEMO2 (EMC Update) v0.22_NRA_model_for_NEMO2 (EMC Update) v0.29.2_NRA_model_for_NEMO2 (EMC Update) v0 30 1" xfId="434" xr:uid="{00000000-0005-0000-0000-00005C010000}"/>
    <cellStyle name="%_NRA_model_for_NEMO2 (EMC Update) v0.19_NRA_model_for_NEMO2 (EMC Update) v0.22_NRA_model_for_NEMO2 (EMC Update) v0.29.2_NRA_model_for_NEMO2 (EMC Update) v0.29.3" xfId="435" xr:uid="{00000000-0005-0000-0000-00005D010000}"/>
    <cellStyle name="%_NRA_model_for_NEMO2 (EMC Update) v0.19_NRA_model_for_NEMO2 (EMC Update) v0.22_NRA_model_for_NEMO2 (EMC Update) v0.29.2_NRA_model_for_NEMO2 (EMC Update) v0.29.3_NRA_model_for_NEMO2 (EMC Update) v0 30 1" xfId="436" xr:uid="{00000000-0005-0000-0000-00005E010000}"/>
    <cellStyle name="%_NRA_model_for_NEMO2 (EMC Update) v0.19_NRA_model_for_NEMO2 (EMC Update) v0.22_NRA_model_for_NEMO2 (EMC Update) v0.29.2_NRA_model_for_NEMO2 (EMC Update) v0.29.3_NRA_model_for_NEMO2 (EMC Update) v0.29.5" xfId="437" xr:uid="{00000000-0005-0000-0000-00005F010000}"/>
    <cellStyle name="%_NRA_model_for_NEMO2 (EMC Update) v0.19_NRA_model_for_NEMO2 (EMC Update) v0.22_NRA_model_for_NEMO2 (EMC Update) v0.29.2_NRA_model_for_NEMO2 (EMC Update) v0.29.3_NRA_model_for_NEMO2 (EMC Update) v0.29.5_NRA_model_for_NEMO2 (EMC Update) v0 30 1" xfId="438" xr:uid="{00000000-0005-0000-0000-000060010000}"/>
    <cellStyle name="%_NRA_model_for_NEMO2 (EMC Update) v0.19_NRA_model_for_NEMO2 (EMC Update) v0.22_NRA_model_for_NEMO2 (EMC Update) v0.29.2_NRA_model_for_NEMO2 (EMC Update) v0.29.4" xfId="439" xr:uid="{00000000-0005-0000-0000-000061010000}"/>
    <cellStyle name="%_NRA_model_for_NEMO2 (EMC Update) v0.19_NRA_model_for_NEMO2 (EMC Update) v0.22_NRA_model_for_NEMO2 (EMC Update) v0.29.2_NRA_model_for_NEMO2 (EMC Update) v0.29.4_NRA_model_for_NEMO2 (EMC Update) v0 30 1" xfId="440" xr:uid="{00000000-0005-0000-0000-000062010000}"/>
    <cellStyle name="%_NRA_model_for_NEMO2 (EMC Update) v0.19_NRA_model_for_NEMO2 (EMC Update) v0.22_NRA_model_for_NEMO2 (EMC Update) v0.29.2_NRA_model_for_NEMO2 (EMC Update) v0.29.4_NRA_model_for_NEMO2 (EMC Update) v0.29.5" xfId="441" xr:uid="{00000000-0005-0000-0000-000063010000}"/>
    <cellStyle name="%_NRA_model_for_NEMO2 (EMC Update) v0.19_NRA_model_for_NEMO2 (EMC Update) v0.22_NRA_model_for_NEMO2 (EMC Update) v0.29.2_NRA_model_for_NEMO2 (EMC Update) v0.29.4_NRA_model_for_NEMO2 (EMC Update) v0.29.5_NRA_model_for_NEMO2 (EMC Update) v0 30 1" xfId="442" xr:uid="{00000000-0005-0000-0000-000064010000}"/>
    <cellStyle name="%_NRA_model_for_NEMO2 (EMC Update) v0.19_NRA_model_for_NEMO2 (EMC Update) v0.22_NRA_model_for_NEMO2 (EMC Update) v0.29.2_NRA_model_for_NEMO2 (EMC Update) v0.29.5" xfId="443" xr:uid="{00000000-0005-0000-0000-000065010000}"/>
    <cellStyle name="%_NRA_model_for_NEMO2 (EMC Update) v0.19_NRA_model_for_NEMO2 (EMC Update) v0.22_NRA_model_for_NEMO2 (EMC Update) v0.29.2_NRA_model_for_NEMO2 (EMC Update) v0.29.5_NRA_model_for_NEMO2 (EMC Update) v0 30 1" xfId="444" xr:uid="{00000000-0005-0000-0000-000066010000}"/>
    <cellStyle name="%_NRA_model_for_NEMO2 (EMC Update) v0.19_NRA_model_for_NEMO2 (EMC Update) v0.22_NRA_model_for_NEMO2 (EMC Update) v0.29.3" xfId="445" xr:uid="{00000000-0005-0000-0000-000067010000}"/>
    <cellStyle name="%_NRA_model_for_NEMO2 (EMC Update) v0.19_NRA_model_for_NEMO2 (EMC Update) v0.22_NRA_model_for_NEMO2 (EMC Update) v0.29.3_NRA_model_for_NEMO2 (EMC Update) v0 30 1" xfId="446" xr:uid="{00000000-0005-0000-0000-000068010000}"/>
    <cellStyle name="%_NRA_model_for_NEMO2 (EMC Update) v0.19_NRA_model_for_NEMO2 (EMC Update) v0.22_NRA_model_for_NEMO2 (EMC Update) v0.29.3_NRA_model_for_NEMO2 (EMC Update) v0.29.5" xfId="447" xr:uid="{00000000-0005-0000-0000-000069010000}"/>
    <cellStyle name="%_NRA_model_for_NEMO2 (EMC Update) v0.19_NRA_model_for_NEMO2 (EMC Update) v0.22_NRA_model_for_NEMO2 (EMC Update) v0.29.3_NRA_model_for_NEMO2 (EMC Update) v0.29.5_NRA_model_for_NEMO2 (EMC Update) v0 30 1" xfId="448" xr:uid="{00000000-0005-0000-0000-00006A010000}"/>
    <cellStyle name="%_NRA_model_for_NEMO2 (EMC Update) v0.19_NRA_model_for_NEMO2 (EMC Update) v0.22_NRA_model_for_NEMO2 (EMC Update) v0.29.4" xfId="449" xr:uid="{00000000-0005-0000-0000-00006B010000}"/>
    <cellStyle name="%_NRA_model_for_NEMO2 (EMC Update) v0.19_NRA_model_for_NEMO2 (EMC Update) v0.22_NRA_model_for_NEMO2 (EMC Update) v0.29.4_NRA_model_for_NEMO2 (EMC Update) v0 30 1" xfId="450" xr:uid="{00000000-0005-0000-0000-00006C010000}"/>
    <cellStyle name="%_NRA_model_for_NEMO2 (EMC Update) v0.19_NRA_model_for_NEMO2 (EMC Update) v0.22_NRA_model_for_NEMO2 (EMC Update) v0.29.4_NRA_model_for_NEMO2 (EMC Update) v0.29.5" xfId="451" xr:uid="{00000000-0005-0000-0000-00006D010000}"/>
    <cellStyle name="%_NRA_model_for_NEMO2 (EMC Update) v0.19_NRA_model_for_NEMO2 (EMC Update) v0.22_NRA_model_for_NEMO2 (EMC Update) v0.29.4_NRA_model_for_NEMO2 (EMC Update) v0.29.5_NRA_model_for_NEMO2 (EMC Update) v0 30 1" xfId="452" xr:uid="{00000000-0005-0000-0000-00006E010000}"/>
    <cellStyle name="%_NRA_model_for_NEMO2 (EMC Update) v0.19_NRA_model_for_NEMO2 (EMC Update) v0.22_NRA_model_for_NEMO2 (EMC Update) v0.29.5" xfId="453" xr:uid="{00000000-0005-0000-0000-00006F010000}"/>
    <cellStyle name="%_NRA_model_for_NEMO2 (EMC Update) v0.19_NRA_model_for_NEMO2 (EMC Update) v0.22_NRA_model_for_NEMO2 (EMC Update) v0.29.5_NRA_model_for_NEMO2 (EMC Update) v0 30 1" xfId="454" xr:uid="{00000000-0005-0000-0000-000070010000}"/>
    <cellStyle name="%_NRA_model_for_NEMO2 (EMC Update) v0.19_NRA_model_for_NEMO2 (EMC Update) v0.22_NRA_model_for_NEMO2 (EMC Update) v0.29_NRA_model_for_NEMO2 (EMC Update) v0 30 1" xfId="455" xr:uid="{00000000-0005-0000-0000-000071010000}"/>
    <cellStyle name="%_NRA_model_for_NEMO2 (EMC Update) v0.19_NRA_model_for_NEMO2 (EMC Update) v0.22_NRA_model_for_NEMO2 (EMC Update) v0.29_NRA_model_for_NEMO2 (EMC Update) v0.29.2" xfId="456" xr:uid="{00000000-0005-0000-0000-000072010000}"/>
    <cellStyle name="%_NRA_model_for_NEMO2 (EMC Update) v0.19_NRA_model_for_NEMO2 (EMC Update) v0.22_NRA_model_for_NEMO2 (EMC Update) v0.29_NRA_model_for_NEMO2 (EMC Update) v0.29.2_NRA_model_for_NEMO2 (EMC Update) v0 30 1" xfId="457" xr:uid="{00000000-0005-0000-0000-000073010000}"/>
    <cellStyle name="%_NRA_model_for_NEMO2 (EMC Update) v0.19_NRA_model_for_NEMO2 (EMC Update) v0.22_NRA_model_for_NEMO2 (EMC Update) v0.29_NRA_model_for_NEMO2 (EMC Update) v0.29.2_NRA_model_for_NEMO2 (EMC Update) v0.29.3" xfId="458" xr:uid="{00000000-0005-0000-0000-000074010000}"/>
    <cellStyle name="%_NRA_model_for_NEMO2 (EMC Update) v0.19_NRA_model_for_NEMO2 (EMC Update) v0.22_NRA_model_for_NEMO2 (EMC Update) v0.29_NRA_model_for_NEMO2 (EMC Update) v0.29.2_NRA_model_for_NEMO2 (EMC Update) v0.29.3_NRA_model_for_NEMO2 (EMC Update) v0 30 1" xfId="459" xr:uid="{00000000-0005-0000-0000-000075010000}"/>
    <cellStyle name="%_NRA_model_for_NEMO2 (EMC Update) v0.19_NRA_model_for_NEMO2 (EMC Update) v0.22_NRA_model_for_NEMO2 (EMC Update) v0.29_NRA_model_for_NEMO2 (EMC Update) v0.29.2_NRA_model_for_NEMO2 (EMC Update) v0.29.3_NRA_model_for_NEMO2 (EMC Update) v0.29.5" xfId="460" xr:uid="{00000000-0005-0000-0000-000076010000}"/>
    <cellStyle name="%_NRA_model_for_NEMO2 (EMC Update) v0.19_NRA_model_for_NEMO2 (EMC Update) v0.22_NRA_model_for_NEMO2 (EMC Update) v0.29_NRA_model_for_NEMO2 (EMC Update) v0.29.2_NRA_model_for_NEMO2 (EMC Update) v0.29.4" xfId="461" xr:uid="{00000000-0005-0000-0000-000077010000}"/>
    <cellStyle name="%_NRA_model_for_NEMO2 (EMC Update) v0.19_NRA_model_for_NEMO2 (EMC Update) v0.22_NRA_model_for_NEMO2 (EMC Update) v0.29_NRA_model_for_NEMO2 (EMC Update) v0.29.2_NRA_model_for_NEMO2 (EMC Update) v0.29.4_NRA_model_for_NEMO2 (EMC Update) v0 30 1" xfId="462" xr:uid="{00000000-0005-0000-0000-000078010000}"/>
    <cellStyle name="%_NRA_model_for_NEMO2 (EMC Update) v0.19_NRA_model_for_NEMO2 (EMC Update) v0.22_NRA_model_for_NEMO2 (EMC Update) v0.29_NRA_model_for_NEMO2 (EMC Update) v0.29.2_NRA_model_for_NEMO2 (EMC Update) v0.29.4_NRA_model_for_NEMO2 (EMC Update) v0.29.5" xfId="463" xr:uid="{00000000-0005-0000-0000-000079010000}"/>
    <cellStyle name="%_NRA_model_for_NEMO2 (EMC Update) v0.19_NRA_model_for_NEMO2 (EMC Update) v0.22_NRA_model_for_NEMO2 (EMC Update) v0.29_NRA_model_for_NEMO2 (EMC Update) v0.29.2_NRA_model_for_NEMO2 (EMC Update) v0.29.5" xfId="464" xr:uid="{00000000-0005-0000-0000-00007A010000}"/>
    <cellStyle name="%_NRA_model_for_NEMO2 (EMC Update) v0.19_NRA_model_for_NEMO2 (EMC Update) v0.22_NRA_model_for_NEMO2 (EMC Update) v0.29_NRA_model_for_NEMO2 (EMC Update) v0.29.2_NRA_model_for_NEMO2 (EMC Update) v0.29.5_NRA_model_for_NEMO2 (EMC Update) v0 30 1" xfId="465" xr:uid="{00000000-0005-0000-0000-00007B010000}"/>
    <cellStyle name="%_NRA_model_for_NEMO2 (EMC Update) v0.19_NRA_model_for_NEMO2 (EMC Update) v0.22_NRA_model_for_NEMO2 (EMC Update) v0.29_NRA_model_for_NEMO2 (EMC Update) v0.29.3" xfId="466" xr:uid="{00000000-0005-0000-0000-00007C010000}"/>
    <cellStyle name="%_NRA_model_for_NEMO2 (EMC Update) v0.19_NRA_model_for_NEMO2 (EMC Update) v0.22_NRA_model_for_NEMO2 (EMC Update) v0.29_NRA_model_for_NEMO2 (EMC Update) v0.29.3_NRA_model_for_NEMO2 (EMC Update) v0 30 1" xfId="467" xr:uid="{00000000-0005-0000-0000-00007D010000}"/>
    <cellStyle name="%_NRA_model_for_NEMO2 (EMC Update) v0.19_NRA_model_for_NEMO2 (EMC Update) v0.22_NRA_model_for_NEMO2 (EMC Update) v0.29_NRA_model_for_NEMO2 (EMC Update) v0.29.3_NRA_model_for_NEMO2 (EMC Update) v0.29.5" xfId="468" xr:uid="{00000000-0005-0000-0000-00007E010000}"/>
    <cellStyle name="%_NRA_model_for_NEMO2 (EMC Update) v0.19_NRA_model_for_NEMO2 (EMC Update) v0.22_NRA_model_for_NEMO2 (EMC Update) v0.29_NRA_model_for_NEMO2 (EMC Update) v0.29.3_NRA_model_for_NEMO2 (EMC Update) v0.29.5_NRA_model_for_NEMO2 (EMC Update) v0 30 1" xfId="469" xr:uid="{00000000-0005-0000-0000-00007F010000}"/>
    <cellStyle name="%_NRA_model_for_NEMO2 (EMC Update) v0.19_NRA_model_for_NEMO2 (EMC Update) v0.22_NRA_model_for_NEMO2 (EMC Update) v0.29_NRA_model_for_NEMO2 (EMC Update) v0.29.4" xfId="470" xr:uid="{00000000-0005-0000-0000-000080010000}"/>
    <cellStyle name="%_NRA_model_for_NEMO2 (EMC Update) v0.19_NRA_model_for_NEMO2 (EMC Update) v0.22_NRA_model_for_NEMO2 (EMC Update) v0.29_NRA_model_for_NEMO2 (EMC Update) v0.29.4_NRA_model_for_NEMO2 (EMC Update) v0 30 1" xfId="471" xr:uid="{00000000-0005-0000-0000-000081010000}"/>
    <cellStyle name="%_NRA_model_for_NEMO2 (EMC Update) v0.19_NRA_model_for_NEMO2 (EMC Update) v0.22_NRA_model_for_NEMO2 (EMC Update) v0.29_NRA_model_for_NEMO2 (EMC Update) v0.29.4_NRA_model_for_NEMO2 (EMC Update) v0.29.5" xfId="472" xr:uid="{00000000-0005-0000-0000-000082010000}"/>
    <cellStyle name="%_NRA_model_for_NEMO2 (EMC Update) v0.19_NRA_model_for_NEMO2 (EMC Update) v0.22_NRA_model_for_NEMO2 (EMC Update) v0.29_NRA_model_for_NEMO2 (EMC Update) v0.29.4_NRA_model_for_NEMO2 (EMC Update) v0.29.5_NRA_model_for_NEMO2 (EMC Update) v0 30 1" xfId="473" xr:uid="{00000000-0005-0000-0000-000083010000}"/>
    <cellStyle name="%_NRA_model_for_NEMO2 (EMC Update) v0.19_NRA_model_for_NEMO2 (EMC Update) v0.22_NRA_model_for_NEMO2 (EMC Update) v0.29_NRA_model_for_NEMO2 (EMC Update) v0.29.5" xfId="474" xr:uid="{00000000-0005-0000-0000-000084010000}"/>
    <cellStyle name="%_NRA_model_for_NEMO2 (EMC Update) v0.19_NRA_model_for_NEMO2 (EMC Update) v0.22_NRA_model_for_NEMO2 (EMC Update) v0.29_NRA_model_for_NEMO2 (EMC Update) v0.29.5_NRA_model_for_NEMO2 (EMC Update) v0 30 1" xfId="475" xr:uid="{00000000-0005-0000-0000-000085010000}"/>
    <cellStyle name="%_NRA_model_for_NEMO2 (EMC Update) v0.19_NRA_model_for_NEMO2 (EMC Update) v0.25" xfId="476" xr:uid="{00000000-0005-0000-0000-000086010000}"/>
    <cellStyle name="%_NRA_model_for_NEMO2 (EMC Update) v0.19_NRA_model_for_NEMO2 (EMC Update) v0.25_NRA_model_for_NEMO2 (EMC Update) v0 30 1" xfId="477" xr:uid="{00000000-0005-0000-0000-000087010000}"/>
    <cellStyle name="%_NRA_model_for_NEMO2 (EMC Update) v0.19_NRA_model_for_NEMO2 (EMC Update) v0.25_NRA_model_for_NEMO2 (EMC Update) v0.26" xfId="478" xr:uid="{00000000-0005-0000-0000-000088010000}"/>
    <cellStyle name="%_NRA_model_for_NEMO2 (EMC Update) v0.19_NRA_model_for_NEMO2 (EMC Update) v0.25_NRA_model_for_NEMO2 (EMC Update) v0.26_NRA_model_for_NEMO2 (EMC Update) v0 30 1" xfId="479" xr:uid="{00000000-0005-0000-0000-000089010000}"/>
    <cellStyle name="%_NRA_model_for_NEMO2 (EMC Update) v0.19_NRA_model_for_NEMO2 (EMC Update) v0.25_NRA_model_for_NEMO2 (EMC Update) v0.26_NRA_model_for_NEMO2 (EMC Update) v0.29" xfId="480" xr:uid="{00000000-0005-0000-0000-00008A010000}"/>
    <cellStyle name="%_NRA_model_for_NEMO2 (EMC Update) v0.19_NRA_model_for_NEMO2 (EMC Update) v0.25_NRA_model_for_NEMO2 (EMC Update) v0.26_NRA_model_for_NEMO2 (EMC Update) v0.29.2" xfId="481" xr:uid="{00000000-0005-0000-0000-00008B010000}"/>
    <cellStyle name="%_NRA_model_for_NEMO2 (EMC Update) v0.19_NRA_model_for_NEMO2 (EMC Update) v0.25_NRA_model_for_NEMO2 (EMC Update) v0.26_NRA_model_for_NEMO2 (EMC Update) v0.29.2_NRA_model_for_NEMO2 (EMC Update) v0 30 1" xfId="482" xr:uid="{00000000-0005-0000-0000-00008C010000}"/>
    <cellStyle name="%_NRA_model_for_NEMO2 (EMC Update) v0.19_NRA_model_for_NEMO2 (EMC Update) v0.25_NRA_model_for_NEMO2 (EMC Update) v0.26_NRA_model_for_NEMO2 (EMC Update) v0.29.2_NRA_model_for_NEMO2 (EMC Update) v0.29.3" xfId="483" xr:uid="{00000000-0005-0000-0000-00008D010000}"/>
    <cellStyle name="%_NRA_model_for_NEMO2 (EMC Update) v0.19_NRA_model_for_NEMO2 (EMC Update) v0.25_NRA_model_for_NEMO2 (EMC Update) v0.26_NRA_model_for_NEMO2 (EMC Update) v0.29.2_NRA_model_for_NEMO2 (EMC Update) v0.29.3_NRA_model_for_NEMO2 (EMC Update) v0 30 1" xfId="484" xr:uid="{00000000-0005-0000-0000-00008E010000}"/>
    <cellStyle name="%_NRA_model_for_NEMO2 (EMC Update) v0.19_NRA_model_for_NEMO2 (EMC Update) v0.25_NRA_model_for_NEMO2 (EMC Update) v0.26_NRA_model_for_NEMO2 (EMC Update) v0.29.2_NRA_model_for_NEMO2 (EMC Update) v0.29.3_NRA_model_for_NEMO2 (EMC Update) v0.29.5" xfId="485" xr:uid="{00000000-0005-0000-0000-00008F010000}"/>
    <cellStyle name="%_NRA_model_for_NEMO2 (EMC Update) v0.19_NRA_model_for_NEMO2 (EMC Update) v0.25_NRA_model_for_NEMO2 (EMC Update) v0.26_NRA_model_for_NEMO2 (EMC Update) v0.29.2_NRA_model_for_NEMO2 (EMC Update) v0.29.4" xfId="486" xr:uid="{00000000-0005-0000-0000-000090010000}"/>
    <cellStyle name="%_NRA_model_for_NEMO2 (EMC Update) v0.19_NRA_model_for_NEMO2 (EMC Update) v0.25_NRA_model_for_NEMO2 (EMC Update) v0.26_NRA_model_for_NEMO2 (EMC Update) v0.29.2_NRA_model_for_NEMO2 (EMC Update) v0.29.4_NRA_model_for_NEMO2 (EMC Update) v0 30 1" xfId="487" xr:uid="{00000000-0005-0000-0000-000091010000}"/>
    <cellStyle name="%_NRA_model_for_NEMO2 (EMC Update) v0.19_NRA_model_for_NEMO2 (EMC Update) v0.25_NRA_model_for_NEMO2 (EMC Update) v0.26_NRA_model_for_NEMO2 (EMC Update) v0.29.2_NRA_model_for_NEMO2 (EMC Update) v0.29.4_NRA_model_for_NEMO2 (EMC Update) v0.29.5" xfId="488" xr:uid="{00000000-0005-0000-0000-000092010000}"/>
    <cellStyle name="%_NRA_model_for_NEMO2 (EMC Update) v0.19_NRA_model_for_NEMO2 (EMC Update) v0.25_NRA_model_for_NEMO2 (EMC Update) v0.26_NRA_model_for_NEMO2 (EMC Update) v0.29.2_NRA_model_for_NEMO2 (EMC Update) v0.29.5" xfId="489" xr:uid="{00000000-0005-0000-0000-000093010000}"/>
    <cellStyle name="%_NRA_model_for_NEMO2 (EMC Update) v0.19_NRA_model_for_NEMO2 (EMC Update) v0.25_NRA_model_for_NEMO2 (EMC Update) v0.26_NRA_model_for_NEMO2 (EMC Update) v0.29.2_NRA_model_for_NEMO2 (EMC Update) v0.29.5_NRA_model_for_NEMO2 (EMC Update) v0 30 1" xfId="490" xr:uid="{00000000-0005-0000-0000-000094010000}"/>
    <cellStyle name="%_NRA_model_for_NEMO2 (EMC Update) v0.19_NRA_model_for_NEMO2 (EMC Update) v0.25_NRA_model_for_NEMO2 (EMC Update) v0.26_NRA_model_for_NEMO2 (EMC Update) v0.29.3" xfId="491" xr:uid="{00000000-0005-0000-0000-000095010000}"/>
    <cellStyle name="%_NRA_model_for_NEMO2 (EMC Update) v0.19_NRA_model_for_NEMO2 (EMC Update) v0.25_NRA_model_for_NEMO2 (EMC Update) v0.26_NRA_model_for_NEMO2 (EMC Update) v0.29.3_NRA_model_for_NEMO2 (EMC Update) v0 30 1" xfId="492" xr:uid="{00000000-0005-0000-0000-000096010000}"/>
    <cellStyle name="%_NRA_model_for_NEMO2 (EMC Update) v0.19_NRA_model_for_NEMO2 (EMC Update) v0.25_NRA_model_for_NEMO2 (EMC Update) v0.26_NRA_model_for_NEMO2 (EMC Update) v0.29.3_NRA_model_for_NEMO2 (EMC Update) v0.29.5" xfId="493" xr:uid="{00000000-0005-0000-0000-000097010000}"/>
    <cellStyle name="%_NRA_model_for_NEMO2 (EMC Update) v0.19_NRA_model_for_NEMO2 (EMC Update) v0.25_NRA_model_for_NEMO2 (EMC Update) v0.26_NRA_model_for_NEMO2 (EMC Update) v0.29.3_NRA_model_for_NEMO2 (EMC Update) v0.29.5_NRA_model_for_NEMO2 (EMC Update) v0 30 1" xfId="494" xr:uid="{00000000-0005-0000-0000-000098010000}"/>
    <cellStyle name="%_NRA_model_for_NEMO2 (EMC Update) v0.19_NRA_model_for_NEMO2 (EMC Update) v0.25_NRA_model_for_NEMO2 (EMC Update) v0.26_NRA_model_for_NEMO2 (EMC Update) v0.29.4" xfId="495" xr:uid="{00000000-0005-0000-0000-000099010000}"/>
    <cellStyle name="%_NRA_model_for_NEMO2 (EMC Update) v0.19_NRA_model_for_NEMO2 (EMC Update) v0.25_NRA_model_for_NEMO2 (EMC Update) v0.26_NRA_model_for_NEMO2 (EMC Update) v0.29.4_NRA_model_for_NEMO2 (EMC Update) v0 30 1" xfId="496" xr:uid="{00000000-0005-0000-0000-00009A010000}"/>
    <cellStyle name="%_NRA_model_for_NEMO2 (EMC Update) v0.19_NRA_model_for_NEMO2 (EMC Update) v0.25_NRA_model_for_NEMO2 (EMC Update) v0.26_NRA_model_for_NEMO2 (EMC Update) v0.29.4_NRA_model_for_NEMO2 (EMC Update) v0.29.5" xfId="497" xr:uid="{00000000-0005-0000-0000-00009B010000}"/>
    <cellStyle name="%_NRA_model_for_NEMO2 (EMC Update) v0.19_NRA_model_for_NEMO2 (EMC Update) v0.25_NRA_model_for_NEMO2 (EMC Update) v0.26_NRA_model_for_NEMO2 (EMC Update) v0.29.4_NRA_model_for_NEMO2 (EMC Update) v0.29.5_NRA_model_for_NEMO2 (EMC Update) v0 30 1" xfId="498" xr:uid="{00000000-0005-0000-0000-00009C010000}"/>
    <cellStyle name="%_NRA_model_for_NEMO2 (EMC Update) v0.19_NRA_model_for_NEMO2 (EMC Update) v0.25_NRA_model_for_NEMO2 (EMC Update) v0.26_NRA_model_for_NEMO2 (EMC Update) v0.29.5" xfId="499" xr:uid="{00000000-0005-0000-0000-00009D010000}"/>
    <cellStyle name="%_NRA_model_for_NEMO2 (EMC Update) v0.19_NRA_model_for_NEMO2 (EMC Update) v0.25_NRA_model_for_NEMO2 (EMC Update) v0.26_NRA_model_for_NEMO2 (EMC Update) v0.29.5_NRA_model_for_NEMO2 (EMC Update) v0 30 1" xfId="500" xr:uid="{00000000-0005-0000-0000-00009E010000}"/>
    <cellStyle name="%_NRA_model_for_NEMO2 (EMC Update) v0.19_NRA_model_for_NEMO2 (EMC Update) v0.25_NRA_model_for_NEMO2 (EMC Update) v0.26_NRA_model_for_NEMO2 (EMC Update) v0.29_NRA_model_for_NEMO2 (EMC Update) v0 30 1" xfId="501" xr:uid="{00000000-0005-0000-0000-00009F010000}"/>
    <cellStyle name="%_NRA_model_for_NEMO2 (EMC Update) v0.19_NRA_model_for_NEMO2 (EMC Update) v0.25_NRA_model_for_NEMO2 (EMC Update) v0.26_NRA_model_for_NEMO2 (EMC Update) v0.29_NRA_model_for_NEMO2 (EMC Update) v0.29.2" xfId="502" xr:uid="{00000000-0005-0000-0000-0000A0010000}"/>
    <cellStyle name="%_NRA_model_for_NEMO2 (EMC Update) v0.19_NRA_model_for_NEMO2 (EMC Update) v0.25_NRA_model_for_NEMO2 (EMC Update) v0.26_NRA_model_for_NEMO2 (EMC Update) v0.29_NRA_model_for_NEMO2 (EMC Update) v0.29.2_NRA_model_for_NEMO2 (EMC Update) v0 30 1" xfId="503" xr:uid="{00000000-0005-0000-0000-0000A1010000}"/>
    <cellStyle name="%_NRA_model_for_NEMO2 (EMC Update) v0.19_NRA_model_for_NEMO2 (EMC Update) v0.25_NRA_model_for_NEMO2 (EMC Update) v0.26_NRA_model_for_NEMO2 (EMC Update) v0.29_NRA_model_for_NEMO2 (EMC Update) v0.29.2_NRA_model_for_NEMO2 (EMC Update) v0.29.3" xfId="504" xr:uid="{00000000-0005-0000-0000-0000A2010000}"/>
    <cellStyle name="%_NRA_model_for_NEMO2 (EMC Update) v0.19_NRA_model_for_NEMO2 (EMC Update) v0.25_NRA_model_for_NEMO2 (EMC Update) v0.26_NRA_model_for_NEMO2 (EMC Update) v0.29_NRA_model_for_NEMO2 (EMC Update) v0.29.2_NRA_model_for_NEMO2 (EMC Update) v0.29.4" xfId="505" xr:uid="{00000000-0005-0000-0000-0000A3010000}"/>
    <cellStyle name="%_NRA_model_for_NEMO2 (EMC Update) v0.19_NRA_model_for_NEMO2 (EMC Update) v0.25_NRA_model_for_NEMO2 (EMC Update) v0.26_NRA_model_for_NEMO2 (EMC Update) v0.29_NRA_model_for_NEMO2 (EMC Update) v0.29.2_NRA_model_for_NEMO2 (EMC Update) v0.29.5" xfId="506" xr:uid="{00000000-0005-0000-0000-0000A4010000}"/>
    <cellStyle name="%_NRA_model_for_NEMO2 (EMC Update) v0.19_NRA_model_for_NEMO2 (EMC Update) v0.25_NRA_model_for_NEMO2 (EMC Update) v0.26_NRA_model_for_NEMO2 (EMC Update) v0.29_NRA_model_for_NEMO2 (EMC Update) v0.29.3" xfId="507" xr:uid="{00000000-0005-0000-0000-0000A5010000}"/>
    <cellStyle name="%_NRA_model_for_NEMO2 (EMC Update) v0.19_NRA_model_for_NEMO2 (EMC Update) v0.25_NRA_model_for_NEMO2 (EMC Update) v0.26_NRA_model_for_NEMO2 (EMC Update) v0.29_NRA_model_for_NEMO2 (EMC Update) v0.29.3_NRA_model_for_NEMO2 (EMC Update) v0 30 1" xfId="508" xr:uid="{00000000-0005-0000-0000-0000A6010000}"/>
    <cellStyle name="%_NRA_model_for_NEMO2 (EMC Update) v0.19_NRA_model_for_NEMO2 (EMC Update) v0.25_NRA_model_for_NEMO2 (EMC Update) v0.26_NRA_model_for_NEMO2 (EMC Update) v0.29_NRA_model_for_NEMO2 (EMC Update) v0.29.3_NRA_model_for_NEMO2 (EMC Update) v0.29.5" xfId="509" xr:uid="{00000000-0005-0000-0000-0000A7010000}"/>
    <cellStyle name="%_NRA_model_for_NEMO2 (EMC Update) v0.19_NRA_model_for_NEMO2 (EMC Update) v0.25_NRA_model_for_NEMO2 (EMC Update) v0.26_NRA_model_for_NEMO2 (EMC Update) v0.29_NRA_model_for_NEMO2 (EMC Update) v0.29.4" xfId="510" xr:uid="{00000000-0005-0000-0000-0000A8010000}"/>
    <cellStyle name="%_NRA_model_for_NEMO2 (EMC Update) v0.19_NRA_model_for_NEMO2 (EMC Update) v0.25_NRA_model_for_NEMO2 (EMC Update) v0.26_NRA_model_for_NEMO2 (EMC Update) v0.29_NRA_model_for_NEMO2 (EMC Update) v0.29.4_NRA_model_for_NEMO2 (EMC Update) v0 30 1" xfId="511" xr:uid="{00000000-0005-0000-0000-0000A9010000}"/>
    <cellStyle name="%_NRA_model_for_NEMO2 (EMC Update) v0.19_NRA_model_for_NEMO2 (EMC Update) v0.25_NRA_model_for_NEMO2 (EMC Update) v0.26_NRA_model_for_NEMO2 (EMC Update) v0.29_NRA_model_for_NEMO2 (EMC Update) v0.29.4_NRA_model_for_NEMO2 (EMC Update) v0.29.5" xfId="512" xr:uid="{00000000-0005-0000-0000-0000AA010000}"/>
    <cellStyle name="%_NRA_model_for_NEMO2 (EMC Update) v0.19_NRA_model_for_NEMO2 (EMC Update) v0.25_NRA_model_for_NEMO2 (EMC Update) v0.26_NRA_model_for_NEMO2 (EMC Update) v0.29_NRA_model_for_NEMO2 (EMC Update) v0.29.5" xfId="513" xr:uid="{00000000-0005-0000-0000-0000AB010000}"/>
    <cellStyle name="%_NRA_model_for_NEMO2 (EMC Update) v0.19_NRA_model_for_NEMO2 (EMC Update) v0.25_NRA_model_for_NEMO2 (EMC Update) v0.26_NRA_model_for_NEMO2 (EMC Update) v0.29_NRA_model_for_NEMO2 (EMC Update) v0.29.5_NRA_model_for_NEMO2 (EMC Update) v0 30 1" xfId="514" xr:uid="{00000000-0005-0000-0000-0000AC010000}"/>
    <cellStyle name="%_NRA_model_for_NEMO2 (EMC Update) v0.19_NRA_model_for_NEMO2 (EMC Update) v0.25_NRA_model_for_NEMO2 (EMC Update) v0.29" xfId="515" xr:uid="{00000000-0005-0000-0000-0000AD010000}"/>
    <cellStyle name="%_NRA_model_for_NEMO2 (EMC Update) v0.19_NRA_model_for_NEMO2 (EMC Update) v0.25_NRA_model_for_NEMO2 (EMC Update) v0.29.2" xfId="516" xr:uid="{00000000-0005-0000-0000-0000AE010000}"/>
    <cellStyle name="%_NRA_model_for_NEMO2 (EMC Update) v0.19_NRA_model_for_NEMO2 (EMC Update) v0.25_NRA_model_for_NEMO2 (EMC Update) v0.29.2_NRA_model_for_NEMO2 (EMC Update) v0 30 1" xfId="517" xr:uid="{00000000-0005-0000-0000-0000AF010000}"/>
    <cellStyle name="%_NRA_model_for_NEMO2 (EMC Update) v0.19_NRA_model_for_NEMO2 (EMC Update) v0.25_NRA_model_for_NEMO2 (EMC Update) v0.29.2_NRA_model_for_NEMO2 (EMC Update) v0.29.3" xfId="518" xr:uid="{00000000-0005-0000-0000-0000B0010000}"/>
    <cellStyle name="%_NRA_model_for_NEMO2 (EMC Update) v0.19_NRA_model_for_NEMO2 (EMC Update) v0.25_NRA_model_for_NEMO2 (EMC Update) v0.29.2_NRA_model_for_NEMO2 (EMC Update) v0.29.3_NRA_model_for_NEMO2 (EMC Update) v0 30 1" xfId="519" xr:uid="{00000000-0005-0000-0000-0000B1010000}"/>
    <cellStyle name="%_NRA_model_for_NEMO2 (EMC Update) v0.19_NRA_model_for_NEMO2 (EMC Update) v0.25_NRA_model_for_NEMO2 (EMC Update) v0.29.2_NRA_model_for_NEMO2 (EMC Update) v0.29.3_NRA_model_for_NEMO2 (EMC Update) v0.29.5" xfId="520" xr:uid="{00000000-0005-0000-0000-0000B2010000}"/>
    <cellStyle name="%_NRA_model_for_NEMO2 (EMC Update) v0.19_NRA_model_for_NEMO2 (EMC Update) v0.25_NRA_model_for_NEMO2 (EMC Update) v0.29.2_NRA_model_for_NEMO2 (EMC Update) v0.29.3_NRA_model_for_NEMO2 (EMC Update) v0.29.5_NRA_model_for_NEMO2 (EMC Update) v0 30 1" xfId="521" xr:uid="{00000000-0005-0000-0000-0000B3010000}"/>
    <cellStyle name="%_NRA_model_for_NEMO2 (EMC Update) v0.19_NRA_model_for_NEMO2 (EMC Update) v0.25_NRA_model_for_NEMO2 (EMC Update) v0.29.2_NRA_model_for_NEMO2 (EMC Update) v0.29.4" xfId="522" xr:uid="{00000000-0005-0000-0000-0000B4010000}"/>
    <cellStyle name="%_NRA_model_for_NEMO2 (EMC Update) v0.19_NRA_model_for_NEMO2 (EMC Update) v0.25_NRA_model_for_NEMO2 (EMC Update) v0.29.2_NRA_model_for_NEMO2 (EMC Update) v0.29.4_NRA_model_for_NEMO2 (EMC Update) v0 30 1" xfId="523" xr:uid="{00000000-0005-0000-0000-0000B5010000}"/>
    <cellStyle name="%_NRA_model_for_NEMO2 (EMC Update) v0.19_NRA_model_for_NEMO2 (EMC Update) v0.25_NRA_model_for_NEMO2 (EMC Update) v0.29.2_NRA_model_for_NEMO2 (EMC Update) v0.29.4_NRA_model_for_NEMO2 (EMC Update) v0.29.5" xfId="524" xr:uid="{00000000-0005-0000-0000-0000B6010000}"/>
    <cellStyle name="%_NRA_model_for_NEMO2 (EMC Update) v0.19_NRA_model_for_NEMO2 (EMC Update) v0.25_NRA_model_for_NEMO2 (EMC Update) v0.29.2_NRA_model_for_NEMO2 (EMC Update) v0.29.4_NRA_model_for_NEMO2 (EMC Update) v0.29.5_NRA_model_for_NEMO2 (EMC Update) v0 30 1" xfId="525" xr:uid="{00000000-0005-0000-0000-0000B7010000}"/>
    <cellStyle name="%_NRA_model_for_NEMO2 (EMC Update) v0.19_NRA_model_for_NEMO2 (EMC Update) v0.25_NRA_model_for_NEMO2 (EMC Update) v0.29.2_NRA_model_for_NEMO2 (EMC Update) v0.29.5" xfId="526" xr:uid="{00000000-0005-0000-0000-0000B8010000}"/>
    <cellStyle name="%_NRA_model_for_NEMO2 (EMC Update) v0.19_NRA_model_for_NEMO2 (EMC Update) v0.25_NRA_model_for_NEMO2 (EMC Update) v0.29.2_NRA_model_for_NEMO2 (EMC Update) v0.29.5_NRA_model_for_NEMO2 (EMC Update) v0 30 1" xfId="527" xr:uid="{00000000-0005-0000-0000-0000B9010000}"/>
    <cellStyle name="%_NRA_model_for_NEMO2 (EMC Update) v0.19_NRA_model_for_NEMO2 (EMC Update) v0.25_NRA_model_for_NEMO2 (EMC Update) v0.29.3" xfId="528" xr:uid="{00000000-0005-0000-0000-0000BA010000}"/>
    <cellStyle name="%_NRA_model_for_NEMO2 (EMC Update) v0.19_NRA_model_for_NEMO2 (EMC Update) v0.25_NRA_model_for_NEMO2 (EMC Update) v0.29.3_NRA_model_for_NEMO2 (EMC Update) v0 30 1" xfId="529" xr:uid="{00000000-0005-0000-0000-0000BB010000}"/>
    <cellStyle name="%_NRA_model_for_NEMO2 (EMC Update) v0.19_NRA_model_for_NEMO2 (EMC Update) v0.25_NRA_model_for_NEMO2 (EMC Update) v0.29.3_NRA_model_for_NEMO2 (EMC Update) v0.29.5" xfId="530" xr:uid="{00000000-0005-0000-0000-0000BC010000}"/>
    <cellStyle name="%_NRA_model_for_NEMO2 (EMC Update) v0.19_NRA_model_for_NEMO2 (EMC Update) v0.25_NRA_model_for_NEMO2 (EMC Update) v0.29.3_NRA_model_for_NEMO2 (EMC Update) v0.29.5_NRA_model_for_NEMO2 (EMC Update) v0 30 1" xfId="531" xr:uid="{00000000-0005-0000-0000-0000BD010000}"/>
    <cellStyle name="%_NRA_model_for_NEMO2 (EMC Update) v0.19_NRA_model_for_NEMO2 (EMC Update) v0.25_NRA_model_for_NEMO2 (EMC Update) v0.29.4" xfId="532" xr:uid="{00000000-0005-0000-0000-0000BE010000}"/>
    <cellStyle name="%_NRA_model_for_NEMO2 (EMC Update) v0.19_NRA_model_for_NEMO2 (EMC Update) v0.25_NRA_model_for_NEMO2 (EMC Update) v0.29.4_NRA_model_for_NEMO2 (EMC Update) v0 30 1" xfId="533" xr:uid="{00000000-0005-0000-0000-0000BF010000}"/>
    <cellStyle name="%_NRA_model_for_NEMO2 (EMC Update) v0.19_NRA_model_for_NEMO2 (EMC Update) v0.25_NRA_model_for_NEMO2 (EMC Update) v0.29.4_NRA_model_for_NEMO2 (EMC Update) v0.29.5" xfId="534" xr:uid="{00000000-0005-0000-0000-0000C0010000}"/>
    <cellStyle name="%_NRA_model_for_NEMO2 (EMC Update) v0.19_NRA_model_for_NEMO2 (EMC Update) v0.25_NRA_model_for_NEMO2 (EMC Update) v0.29.4_NRA_model_for_NEMO2 (EMC Update) v0.29.5_NRA_model_for_NEMO2 (EMC Update) v0 30 1" xfId="535" xr:uid="{00000000-0005-0000-0000-0000C1010000}"/>
    <cellStyle name="%_NRA_model_for_NEMO2 (EMC Update) v0.19_NRA_model_for_NEMO2 (EMC Update) v0.25_NRA_model_for_NEMO2 (EMC Update) v0.29.5" xfId="536" xr:uid="{00000000-0005-0000-0000-0000C2010000}"/>
    <cellStyle name="%_NRA_model_for_NEMO2 (EMC Update) v0.19_NRA_model_for_NEMO2 (EMC Update) v0.25_NRA_model_for_NEMO2 (EMC Update) v0.29.5_NRA_model_for_NEMO2 (EMC Update) v0 30 1" xfId="537" xr:uid="{00000000-0005-0000-0000-0000C3010000}"/>
    <cellStyle name="%_NRA_model_for_NEMO2 (EMC Update) v0.19_NRA_model_for_NEMO2 (EMC Update) v0.25_NRA_model_for_NEMO2 (EMC Update) v0.29_NRA_model_for_NEMO2 (EMC Update) v0 30 1" xfId="538" xr:uid="{00000000-0005-0000-0000-0000C4010000}"/>
    <cellStyle name="%_NRA_model_for_NEMO2 (EMC Update) v0.19_NRA_model_for_NEMO2 (EMC Update) v0.25_NRA_model_for_NEMO2 (EMC Update) v0.29_NRA_model_for_NEMO2 (EMC Update) v0.29.2" xfId="539" xr:uid="{00000000-0005-0000-0000-0000C5010000}"/>
    <cellStyle name="%_NRA_model_for_NEMO2 (EMC Update) v0.19_NRA_model_for_NEMO2 (EMC Update) v0.25_NRA_model_for_NEMO2 (EMC Update) v0.29_NRA_model_for_NEMO2 (EMC Update) v0.29.2_NRA_model_for_NEMO2 (EMC Update) v0 30 1" xfId="540" xr:uid="{00000000-0005-0000-0000-0000C6010000}"/>
    <cellStyle name="%_NRA_model_for_NEMO2 (EMC Update) v0.19_NRA_model_for_NEMO2 (EMC Update) v0.25_NRA_model_for_NEMO2 (EMC Update) v0.29_NRA_model_for_NEMO2 (EMC Update) v0.29.2_NRA_model_for_NEMO2 (EMC Update) v0.29.3" xfId="541" xr:uid="{00000000-0005-0000-0000-0000C7010000}"/>
    <cellStyle name="%_NRA_model_for_NEMO2 (EMC Update) v0.19_NRA_model_for_NEMO2 (EMC Update) v0.25_NRA_model_for_NEMO2 (EMC Update) v0.29_NRA_model_for_NEMO2 (EMC Update) v0.29.2_NRA_model_for_NEMO2 (EMC Update) v0.29.3_NRA_model_for_NEMO2 (EMC Update) v0 30 1" xfId="542" xr:uid="{00000000-0005-0000-0000-0000C8010000}"/>
    <cellStyle name="%_NRA_model_for_NEMO2 (EMC Update) v0.19_NRA_model_for_NEMO2 (EMC Update) v0.25_NRA_model_for_NEMO2 (EMC Update) v0.29_NRA_model_for_NEMO2 (EMC Update) v0.29.2_NRA_model_for_NEMO2 (EMC Update) v0.29.3_NRA_model_for_NEMO2 (EMC Update) v0.29.5" xfId="543" xr:uid="{00000000-0005-0000-0000-0000C9010000}"/>
    <cellStyle name="%_NRA_model_for_NEMO2 (EMC Update) v0.19_NRA_model_for_NEMO2 (EMC Update) v0.25_NRA_model_for_NEMO2 (EMC Update) v0.29_NRA_model_for_NEMO2 (EMC Update) v0.29.2_NRA_model_for_NEMO2 (EMC Update) v0.29.4" xfId="544" xr:uid="{00000000-0005-0000-0000-0000CA010000}"/>
    <cellStyle name="%_NRA_model_for_NEMO2 (EMC Update) v0.19_NRA_model_for_NEMO2 (EMC Update) v0.25_NRA_model_for_NEMO2 (EMC Update) v0.29_NRA_model_for_NEMO2 (EMC Update) v0.29.2_NRA_model_for_NEMO2 (EMC Update) v0.29.4_NRA_model_for_NEMO2 (EMC Update) v0 30 1" xfId="545" xr:uid="{00000000-0005-0000-0000-0000CB010000}"/>
    <cellStyle name="%_NRA_model_for_NEMO2 (EMC Update) v0.19_NRA_model_for_NEMO2 (EMC Update) v0.25_NRA_model_for_NEMO2 (EMC Update) v0.29_NRA_model_for_NEMO2 (EMC Update) v0.29.2_NRA_model_for_NEMO2 (EMC Update) v0.29.4_NRA_model_for_NEMO2 (EMC Update) v0.29.5" xfId="546" xr:uid="{00000000-0005-0000-0000-0000CC010000}"/>
    <cellStyle name="%_NRA_model_for_NEMO2 (EMC Update) v0.19_NRA_model_for_NEMO2 (EMC Update) v0.25_NRA_model_for_NEMO2 (EMC Update) v0.29_NRA_model_for_NEMO2 (EMC Update) v0.29.2_NRA_model_for_NEMO2 (EMC Update) v0.29.5" xfId="547" xr:uid="{00000000-0005-0000-0000-0000CD010000}"/>
    <cellStyle name="%_NRA_model_for_NEMO2 (EMC Update) v0.19_NRA_model_for_NEMO2 (EMC Update) v0.25_NRA_model_for_NEMO2 (EMC Update) v0.29_NRA_model_for_NEMO2 (EMC Update) v0.29.2_NRA_model_for_NEMO2 (EMC Update) v0.29.5_NRA_model_for_NEMO2 (EMC Update) v0 30 1" xfId="548" xr:uid="{00000000-0005-0000-0000-0000CE010000}"/>
    <cellStyle name="%_NRA_model_for_NEMO2 (EMC Update) v0.19_NRA_model_for_NEMO2 (EMC Update) v0.25_NRA_model_for_NEMO2 (EMC Update) v0.29_NRA_model_for_NEMO2 (EMC Update) v0.29.3" xfId="549" xr:uid="{00000000-0005-0000-0000-0000CF010000}"/>
    <cellStyle name="%_NRA_model_for_NEMO2 (EMC Update) v0.19_NRA_model_for_NEMO2 (EMC Update) v0.25_NRA_model_for_NEMO2 (EMC Update) v0.29_NRA_model_for_NEMO2 (EMC Update) v0.29.3_NRA_model_for_NEMO2 (EMC Update) v0 30 1" xfId="550" xr:uid="{00000000-0005-0000-0000-0000D0010000}"/>
    <cellStyle name="%_NRA_model_for_NEMO2 (EMC Update) v0.19_NRA_model_for_NEMO2 (EMC Update) v0.25_NRA_model_for_NEMO2 (EMC Update) v0.29_NRA_model_for_NEMO2 (EMC Update) v0.29.3_NRA_model_for_NEMO2 (EMC Update) v0.29.5" xfId="551" xr:uid="{00000000-0005-0000-0000-0000D1010000}"/>
    <cellStyle name="%_NRA_model_for_NEMO2 (EMC Update) v0.19_NRA_model_for_NEMO2 (EMC Update) v0.25_NRA_model_for_NEMO2 (EMC Update) v0.29_NRA_model_for_NEMO2 (EMC Update) v0.29.3_NRA_model_for_NEMO2 (EMC Update) v0.29.5_NRA_model_for_NEMO2 (EMC Update) v0 30 1" xfId="552" xr:uid="{00000000-0005-0000-0000-0000D2010000}"/>
    <cellStyle name="%_NRA_model_for_NEMO2 (EMC Update) v0.19_NRA_model_for_NEMO2 (EMC Update) v0.25_NRA_model_for_NEMO2 (EMC Update) v0.29_NRA_model_for_NEMO2 (EMC Update) v0.29.4" xfId="553" xr:uid="{00000000-0005-0000-0000-0000D3010000}"/>
    <cellStyle name="%_NRA_model_for_NEMO2 (EMC Update) v0.19_NRA_model_for_NEMO2 (EMC Update) v0.25_NRA_model_for_NEMO2 (EMC Update) v0.29_NRA_model_for_NEMO2 (EMC Update) v0.29.4_NRA_model_for_NEMO2 (EMC Update) v0 30 1" xfId="554" xr:uid="{00000000-0005-0000-0000-0000D4010000}"/>
    <cellStyle name="%_NRA_model_for_NEMO2 (EMC Update) v0.19_NRA_model_for_NEMO2 (EMC Update) v0.25_NRA_model_for_NEMO2 (EMC Update) v0.29_NRA_model_for_NEMO2 (EMC Update) v0.29.4_NRA_model_for_NEMO2 (EMC Update) v0.29.5" xfId="555" xr:uid="{00000000-0005-0000-0000-0000D5010000}"/>
    <cellStyle name="%_NRA_model_for_NEMO2 (EMC Update) v0.19_NRA_model_for_NEMO2 (EMC Update) v0.25_NRA_model_for_NEMO2 (EMC Update) v0.29_NRA_model_for_NEMO2 (EMC Update) v0.29.4_NRA_model_for_NEMO2 (EMC Update) v0.29.5_NRA_model_for_NEMO2 (EMC Update) v0 30 1" xfId="556" xr:uid="{00000000-0005-0000-0000-0000D6010000}"/>
    <cellStyle name="%_NRA_model_for_NEMO2 (EMC Update) v0.19_NRA_model_for_NEMO2 (EMC Update) v0.25_NRA_model_for_NEMO2 (EMC Update) v0.29_NRA_model_for_NEMO2 (EMC Update) v0.29.5" xfId="557" xr:uid="{00000000-0005-0000-0000-0000D7010000}"/>
    <cellStyle name="%_NRA_model_for_NEMO2 (EMC Update) v0.19_NRA_model_for_NEMO2 (EMC Update) v0.25_NRA_model_for_NEMO2 (EMC Update) v0.29_NRA_model_for_NEMO2 (EMC Update) v0.29.5_NRA_model_for_NEMO2 (EMC Update) v0 30 1" xfId="558" xr:uid="{00000000-0005-0000-0000-0000D8010000}"/>
    <cellStyle name="%_NRA_model_for_NEMO2 (EMC Update) v0.19_NRA_model_for_NEMO2 (EMC Update) v0.26" xfId="559" xr:uid="{00000000-0005-0000-0000-0000D9010000}"/>
    <cellStyle name="%_NRA_model_for_NEMO2 (EMC Update) v0.19_NRA_model_for_NEMO2 (EMC Update) v0.26_NRA_model_for_NEMO2 (EMC Update) v0 30 1" xfId="560" xr:uid="{00000000-0005-0000-0000-0000DA010000}"/>
    <cellStyle name="%_NRA_model_for_NEMO2 (EMC Update) v0.19_NRA_model_for_NEMO2 (EMC Update) v0.26_NRA_model_for_NEMO2 (EMC Update) v0.29" xfId="561" xr:uid="{00000000-0005-0000-0000-0000DB010000}"/>
    <cellStyle name="%_NRA_model_for_NEMO2 (EMC Update) v0.19_NRA_model_for_NEMO2 (EMC Update) v0.26_NRA_model_for_NEMO2 (EMC Update) v0.29.2" xfId="562" xr:uid="{00000000-0005-0000-0000-0000DC010000}"/>
    <cellStyle name="%_NRA_model_for_NEMO2 (EMC Update) v0.19_NRA_model_for_NEMO2 (EMC Update) v0.26_NRA_model_for_NEMO2 (EMC Update) v0.29.2_NRA_model_for_NEMO2 (EMC Update) v0 30 1" xfId="563" xr:uid="{00000000-0005-0000-0000-0000DD010000}"/>
    <cellStyle name="%_NRA_model_for_NEMO2 (EMC Update) v0.19_NRA_model_for_NEMO2 (EMC Update) v0.26_NRA_model_for_NEMO2 (EMC Update) v0.29.2_NRA_model_for_NEMO2 (EMC Update) v0.29.3" xfId="564" xr:uid="{00000000-0005-0000-0000-0000DE010000}"/>
    <cellStyle name="%_NRA_model_for_NEMO2 (EMC Update) v0.19_NRA_model_for_NEMO2 (EMC Update) v0.26_NRA_model_for_NEMO2 (EMC Update) v0.29.2_NRA_model_for_NEMO2 (EMC Update) v0.29.3_NRA_model_for_NEMO2 (EMC Update) v0 30 1" xfId="565" xr:uid="{00000000-0005-0000-0000-0000DF010000}"/>
    <cellStyle name="%_NRA_model_for_NEMO2 (EMC Update) v0.19_NRA_model_for_NEMO2 (EMC Update) v0.26_NRA_model_for_NEMO2 (EMC Update) v0.29.2_NRA_model_for_NEMO2 (EMC Update) v0.29.3_NRA_model_for_NEMO2 (EMC Update) v0.29.5" xfId="566" xr:uid="{00000000-0005-0000-0000-0000E0010000}"/>
    <cellStyle name="%_NRA_model_for_NEMO2 (EMC Update) v0.19_NRA_model_for_NEMO2 (EMC Update) v0.26_NRA_model_for_NEMO2 (EMC Update) v0.29.2_NRA_model_for_NEMO2 (EMC Update) v0.29.3_NRA_model_for_NEMO2 (EMC Update) v0.29.5_NRA_model_for_NEMO2 (EMC Update) v0 30 1" xfId="567" xr:uid="{00000000-0005-0000-0000-0000E1010000}"/>
    <cellStyle name="%_NRA_model_for_NEMO2 (EMC Update) v0.19_NRA_model_for_NEMO2 (EMC Update) v0.26_NRA_model_for_NEMO2 (EMC Update) v0.29.2_NRA_model_for_NEMO2 (EMC Update) v0.29.4" xfId="568" xr:uid="{00000000-0005-0000-0000-0000E2010000}"/>
    <cellStyle name="%_NRA_model_for_NEMO2 (EMC Update) v0.19_NRA_model_for_NEMO2 (EMC Update) v0.26_NRA_model_for_NEMO2 (EMC Update) v0.29.2_NRA_model_for_NEMO2 (EMC Update) v0.29.4_NRA_model_for_NEMO2 (EMC Update) v0 30 1" xfId="569" xr:uid="{00000000-0005-0000-0000-0000E3010000}"/>
    <cellStyle name="%_NRA_model_for_NEMO2 (EMC Update) v0.19_NRA_model_for_NEMO2 (EMC Update) v0.26_NRA_model_for_NEMO2 (EMC Update) v0.29.2_NRA_model_for_NEMO2 (EMC Update) v0.29.4_NRA_model_for_NEMO2 (EMC Update) v0.29.5" xfId="570" xr:uid="{00000000-0005-0000-0000-0000E4010000}"/>
    <cellStyle name="%_NRA_model_for_NEMO2 (EMC Update) v0.19_NRA_model_for_NEMO2 (EMC Update) v0.26_NRA_model_for_NEMO2 (EMC Update) v0.29.2_NRA_model_for_NEMO2 (EMC Update) v0.29.4_NRA_model_for_NEMO2 (EMC Update) v0.29.5_NRA_model_for_NEMO2 (EMC Update) v0 30 1" xfId="571" xr:uid="{00000000-0005-0000-0000-0000E5010000}"/>
    <cellStyle name="%_NRA_model_for_NEMO2 (EMC Update) v0.19_NRA_model_for_NEMO2 (EMC Update) v0.26_NRA_model_for_NEMO2 (EMC Update) v0.29.2_NRA_model_for_NEMO2 (EMC Update) v0.29.5" xfId="572" xr:uid="{00000000-0005-0000-0000-0000E6010000}"/>
    <cellStyle name="%_NRA_model_for_NEMO2 (EMC Update) v0.19_NRA_model_for_NEMO2 (EMC Update) v0.26_NRA_model_for_NEMO2 (EMC Update) v0.29.2_NRA_model_for_NEMO2 (EMC Update) v0.29.5_NRA_model_for_NEMO2 (EMC Update) v0 30 1" xfId="573" xr:uid="{00000000-0005-0000-0000-0000E7010000}"/>
    <cellStyle name="%_NRA_model_for_NEMO2 (EMC Update) v0.19_NRA_model_for_NEMO2 (EMC Update) v0.26_NRA_model_for_NEMO2 (EMC Update) v0.29.3" xfId="574" xr:uid="{00000000-0005-0000-0000-0000E8010000}"/>
    <cellStyle name="%_NRA_model_for_NEMO2 (EMC Update) v0.19_NRA_model_for_NEMO2 (EMC Update) v0.26_NRA_model_for_NEMO2 (EMC Update) v0.29.3_NRA_model_for_NEMO2 (EMC Update) v0 30 1" xfId="575" xr:uid="{00000000-0005-0000-0000-0000E9010000}"/>
    <cellStyle name="%_NRA_model_for_NEMO2 (EMC Update) v0.19_NRA_model_for_NEMO2 (EMC Update) v0.26_NRA_model_for_NEMO2 (EMC Update) v0.29.3_NRA_model_for_NEMO2 (EMC Update) v0.29.5" xfId="576" xr:uid="{00000000-0005-0000-0000-0000EA010000}"/>
    <cellStyle name="%_NRA_model_for_NEMO2 (EMC Update) v0.19_NRA_model_for_NEMO2 (EMC Update) v0.26_NRA_model_for_NEMO2 (EMC Update) v0.29.3_NRA_model_for_NEMO2 (EMC Update) v0.29.5_NRA_model_for_NEMO2 (EMC Update) v0 30 1" xfId="577" xr:uid="{00000000-0005-0000-0000-0000EB010000}"/>
    <cellStyle name="%_NRA_model_for_NEMO2 (EMC Update) v0.19_NRA_model_for_NEMO2 (EMC Update) v0.26_NRA_model_for_NEMO2 (EMC Update) v0.29.4" xfId="578" xr:uid="{00000000-0005-0000-0000-0000EC010000}"/>
    <cellStyle name="%_NRA_model_for_NEMO2 (EMC Update) v0.19_NRA_model_for_NEMO2 (EMC Update) v0.26_NRA_model_for_NEMO2 (EMC Update) v0.29.4_NRA_model_for_NEMO2 (EMC Update) v0 30 1" xfId="579" xr:uid="{00000000-0005-0000-0000-0000ED010000}"/>
    <cellStyle name="%_NRA_model_for_NEMO2 (EMC Update) v0.19_NRA_model_for_NEMO2 (EMC Update) v0.26_NRA_model_for_NEMO2 (EMC Update) v0.29.4_NRA_model_for_NEMO2 (EMC Update) v0.29.5" xfId="580" xr:uid="{00000000-0005-0000-0000-0000EE010000}"/>
    <cellStyle name="%_NRA_model_for_NEMO2 (EMC Update) v0.19_NRA_model_for_NEMO2 (EMC Update) v0.26_NRA_model_for_NEMO2 (EMC Update) v0.29.4_NRA_model_for_NEMO2 (EMC Update) v0.29.5_NRA_model_for_NEMO2 (EMC Update) v0 30 1" xfId="581" xr:uid="{00000000-0005-0000-0000-0000EF010000}"/>
    <cellStyle name="%_NRA_model_for_NEMO2 (EMC Update) v0.19_NRA_model_for_NEMO2 (EMC Update) v0.26_NRA_model_for_NEMO2 (EMC Update) v0.29.5" xfId="582" xr:uid="{00000000-0005-0000-0000-0000F0010000}"/>
    <cellStyle name="%_NRA_model_for_NEMO2 (EMC Update) v0.19_NRA_model_for_NEMO2 (EMC Update) v0.26_NRA_model_for_NEMO2 (EMC Update) v0.29.5_NRA_model_for_NEMO2 (EMC Update) v0 30 1" xfId="583" xr:uid="{00000000-0005-0000-0000-0000F1010000}"/>
    <cellStyle name="%_NRA_model_for_NEMO2 (EMC Update) v0.19_NRA_model_for_NEMO2 (EMC Update) v0.26_NRA_model_for_NEMO2 (EMC Update) v0.29_NRA_model_for_NEMO2 (EMC Update) v0 30 1" xfId="584" xr:uid="{00000000-0005-0000-0000-0000F2010000}"/>
    <cellStyle name="%_NRA_model_for_NEMO2 (EMC Update) v0.19_NRA_model_for_NEMO2 (EMC Update) v0.26_NRA_model_for_NEMO2 (EMC Update) v0.29_NRA_model_for_NEMO2 (EMC Update) v0.29.2" xfId="585" xr:uid="{00000000-0005-0000-0000-0000F3010000}"/>
    <cellStyle name="%_NRA_model_for_NEMO2 (EMC Update) v0.19_NRA_model_for_NEMO2 (EMC Update) v0.26_NRA_model_for_NEMO2 (EMC Update) v0.29_NRA_model_for_NEMO2 (EMC Update) v0.29.2_NRA_model_for_NEMO2 (EMC Update) v0 30 1" xfId="586" xr:uid="{00000000-0005-0000-0000-0000F4010000}"/>
    <cellStyle name="%_NRA_model_for_NEMO2 (EMC Update) v0.19_NRA_model_for_NEMO2 (EMC Update) v0.26_NRA_model_for_NEMO2 (EMC Update) v0.29_NRA_model_for_NEMO2 (EMC Update) v0.29.2_NRA_model_for_NEMO2 (EMC Update) v0.29.3" xfId="587" xr:uid="{00000000-0005-0000-0000-0000F5010000}"/>
    <cellStyle name="%_NRA_model_for_NEMO2 (EMC Update) v0.19_NRA_model_for_NEMO2 (EMC Update) v0.26_NRA_model_for_NEMO2 (EMC Update) v0.29_NRA_model_for_NEMO2 (EMC Update) v0.29.2_NRA_model_for_NEMO2 (EMC Update) v0.29.3_NRA_model_for_NEMO2 (EMC Update) v0 30 1" xfId="588" xr:uid="{00000000-0005-0000-0000-0000F6010000}"/>
    <cellStyle name="%_NRA_model_for_NEMO2 (EMC Update) v0.19_NRA_model_for_NEMO2 (EMC Update) v0.26_NRA_model_for_NEMO2 (EMC Update) v0.29_NRA_model_for_NEMO2 (EMC Update) v0.29.2_NRA_model_for_NEMO2 (EMC Update) v0.29.3_NRA_model_for_NEMO2 (EMC Update) v0.29.5" xfId="589" xr:uid="{00000000-0005-0000-0000-0000F7010000}"/>
    <cellStyle name="%_NRA_model_for_NEMO2 (EMC Update) v0.19_NRA_model_for_NEMO2 (EMC Update) v0.26_NRA_model_for_NEMO2 (EMC Update) v0.29_NRA_model_for_NEMO2 (EMC Update) v0.29.2_NRA_model_for_NEMO2 (EMC Update) v0.29.4" xfId="590" xr:uid="{00000000-0005-0000-0000-0000F8010000}"/>
    <cellStyle name="%_NRA_model_for_NEMO2 (EMC Update) v0.19_NRA_model_for_NEMO2 (EMC Update) v0.26_NRA_model_for_NEMO2 (EMC Update) v0.29_NRA_model_for_NEMO2 (EMC Update) v0.29.2_NRA_model_for_NEMO2 (EMC Update) v0.29.4_NRA_model_for_NEMO2 (EMC Update) v0 30 1" xfId="591" xr:uid="{00000000-0005-0000-0000-0000F9010000}"/>
    <cellStyle name="%_NRA_model_for_NEMO2 (EMC Update) v0.19_NRA_model_for_NEMO2 (EMC Update) v0.26_NRA_model_for_NEMO2 (EMC Update) v0.29_NRA_model_for_NEMO2 (EMC Update) v0.29.2_NRA_model_for_NEMO2 (EMC Update) v0.29.4_NRA_model_for_NEMO2 (EMC Update) v0.29.5" xfId="592" xr:uid="{00000000-0005-0000-0000-0000FA010000}"/>
    <cellStyle name="%_NRA_model_for_NEMO2 (EMC Update) v0.19_NRA_model_for_NEMO2 (EMC Update) v0.26_NRA_model_for_NEMO2 (EMC Update) v0.29_NRA_model_for_NEMO2 (EMC Update) v0.29.2_NRA_model_for_NEMO2 (EMC Update) v0.29.5" xfId="593" xr:uid="{00000000-0005-0000-0000-0000FB010000}"/>
    <cellStyle name="%_NRA_model_for_NEMO2 (EMC Update) v0.19_NRA_model_for_NEMO2 (EMC Update) v0.26_NRA_model_for_NEMO2 (EMC Update) v0.29_NRA_model_for_NEMO2 (EMC Update) v0.29.2_NRA_model_for_NEMO2 (EMC Update) v0.29.5_NRA_model_for_NEMO2 (EMC Update) v0 30 1" xfId="594" xr:uid="{00000000-0005-0000-0000-0000FC010000}"/>
    <cellStyle name="%_NRA_model_for_NEMO2 (EMC Update) v0.19_NRA_model_for_NEMO2 (EMC Update) v0.26_NRA_model_for_NEMO2 (EMC Update) v0.29_NRA_model_for_NEMO2 (EMC Update) v0.29.3" xfId="595" xr:uid="{00000000-0005-0000-0000-0000FD010000}"/>
    <cellStyle name="%_NRA_model_for_NEMO2 (EMC Update) v0.19_NRA_model_for_NEMO2 (EMC Update) v0.26_NRA_model_for_NEMO2 (EMC Update) v0.29_NRA_model_for_NEMO2 (EMC Update) v0.29.3_NRA_model_for_NEMO2 (EMC Update) v0 30 1" xfId="596" xr:uid="{00000000-0005-0000-0000-0000FE010000}"/>
    <cellStyle name="%_NRA_model_for_NEMO2 (EMC Update) v0.19_NRA_model_for_NEMO2 (EMC Update) v0.26_NRA_model_for_NEMO2 (EMC Update) v0.29_NRA_model_for_NEMO2 (EMC Update) v0.29.3_NRA_model_for_NEMO2 (EMC Update) v0.29.5" xfId="597" xr:uid="{00000000-0005-0000-0000-0000FF010000}"/>
    <cellStyle name="%_NRA_model_for_NEMO2 (EMC Update) v0.19_NRA_model_for_NEMO2 (EMC Update) v0.26_NRA_model_for_NEMO2 (EMC Update) v0.29_NRA_model_for_NEMO2 (EMC Update) v0.29.3_NRA_model_for_NEMO2 (EMC Update) v0.29.5_NRA_model_for_NEMO2 (EMC Update) v0 30 1" xfId="598" xr:uid="{00000000-0005-0000-0000-000000020000}"/>
    <cellStyle name="%_NRA_model_for_NEMO2 (EMC Update) v0.19_NRA_model_for_NEMO2 (EMC Update) v0.26_NRA_model_for_NEMO2 (EMC Update) v0.29_NRA_model_for_NEMO2 (EMC Update) v0.29.4" xfId="599" xr:uid="{00000000-0005-0000-0000-000001020000}"/>
    <cellStyle name="%_NRA_model_for_NEMO2 (EMC Update) v0.19_NRA_model_for_NEMO2 (EMC Update) v0.26_NRA_model_for_NEMO2 (EMC Update) v0.29_NRA_model_for_NEMO2 (EMC Update) v0.29.4_NRA_model_for_NEMO2 (EMC Update) v0 30 1" xfId="600" xr:uid="{00000000-0005-0000-0000-000002020000}"/>
    <cellStyle name="%_NRA_model_for_NEMO2 (EMC Update) v0.19_NRA_model_for_NEMO2 (EMC Update) v0.26_NRA_model_for_NEMO2 (EMC Update) v0.29_NRA_model_for_NEMO2 (EMC Update) v0.29.4_NRA_model_for_NEMO2 (EMC Update) v0.29.5" xfId="601" xr:uid="{00000000-0005-0000-0000-000003020000}"/>
    <cellStyle name="%_NRA_model_for_NEMO2 (EMC Update) v0.19_NRA_model_for_NEMO2 (EMC Update) v0.26_NRA_model_for_NEMO2 (EMC Update) v0.29_NRA_model_for_NEMO2 (EMC Update) v0.29.4_NRA_model_for_NEMO2 (EMC Update) v0.29.5_NRA_model_for_NEMO2 (EMC Update) v0 30 1" xfId="602" xr:uid="{00000000-0005-0000-0000-000004020000}"/>
    <cellStyle name="%_NRA_model_for_NEMO2 (EMC Update) v0.19_NRA_model_for_NEMO2 (EMC Update) v0.26_NRA_model_for_NEMO2 (EMC Update) v0.29_NRA_model_for_NEMO2 (EMC Update) v0.29.5" xfId="603" xr:uid="{00000000-0005-0000-0000-000005020000}"/>
    <cellStyle name="%_NRA_model_for_NEMO2 (EMC Update) v0.19_NRA_model_for_NEMO2 (EMC Update) v0.26_NRA_model_for_NEMO2 (EMC Update) v0.29_NRA_model_for_NEMO2 (EMC Update) v0.29.5_NRA_model_for_NEMO2 (EMC Update) v0 30 1" xfId="604" xr:uid="{00000000-0005-0000-0000-000006020000}"/>
    <cellStyle name="%_NRA_model_for_NEMO2 (EMC Update) v0.19_NRA_model_for_NEMO2 (EMC Update) v0.29" xfId="605" xr:uid="{00000000-0005-0000-0000-000007020000}"/>
    <cellStyle name="%_NRA_model_for_NEMO2 (EMC Update) v0.19_NRA_model_for_NEMO2 (EMC Update) v0.29.2" xfId="606" xr:uid="{00000000-0005-0000-0000-000008020000}"/>
    <cellStyle name="%_NRA_model_for_NEMO2 (EMC Update) v0.19_NRA_model_for_NEMO2 (EMC Update) v0.29.2_NRA_model_for_NEMO2 (EMC Update) v0 30 1" xfId="607" xr:uid="{00000000-0005-0000-0000-000009020000}"/>
    <cellStyle name="%_NRA_model_for_NEMO2 (EMC Update) v0.19_NRA_model_for_NEMO2 (EMC Update) v0.29.2_NRA_model_for_NEMO2 (EMC Update) v0.29.3" xfId="608" xr:uid="{00000000-0005-0000-0000-00000A020000}"/>
    <cellStyle name="%_NRA_model_for_NEMO2 (EMC Update) v0.19_NRA_model_for_NEMO2 (EMC Update) v0.29.2_NRA_model_for_NEMO2 (EMC Update) v0.29.3_NRA_model_for_NEMO2 (EMC Update) v0 30 1" xfId="609" xr:uid="{00000000-0005-0000-0000-00000B020000}"/>
    <cellStyle name="%_NRA_model_for_NEMO2 (EMC Update) v0.19_NRA_model_for_NEMO2 (EMC Update) v0.29.2_NRA_model_for_NEMO2 (EMC Update) v0.29.3_NRA_model_for_NEMO2 (EMC Update) v0.29.5" xfId="610" xr:uid="{00000000-0005-0000-0000-00000C020000}"/>
    <cellStyle name="%_NRA_model_for_NEMO2 (EMC Update) v0.19_NRA_model_for_NEMO2 (EMC Update) v0.29.2_NRA_model_for_NEMO2 (EMC Update) v0.29.3_NRA_model_for_NEMO2 (EMC Update) v0.29.5_NRA_model_for_NEMO2 (EMC Update) v0 30 1" xfId="611" xr:uid="{00000000-0005-0000-0000-00000D020000}"/>
    <cellStyle name="%_NRA_model_for_NEMO2 (EMC Update) v0.19_NRA_model_for_NEMO2 (EMC Update) v0.29.2_NRA_model_for_NEMO2 (EMC Update) v0.29.4" xfId="612" xr:uid="{00000000-0005-0000-0000-00000E020000}"/>
    <cellStyle name="%_NRA_model_for_NEMO2 (EMC Update) v0.19_NRA_model_for_NEMO2 (EMC Update) v0.29.2_NRA_model_for_NEMO2 (EMC Update) v0.29.4_NRA_model_for_NEMO2 (EMC Update) v0 30 1" xfId="613" xr:uid="{00000000-0005-0000-0000-00000F020000}"/>
    <cellStyle name="%_NRA_model_for_NEMO2 (EMC Update) v0.19_NRA_model_for_NEMO2 (EMC Update) v0.29.2_NRA_model_for_NEMO2 (EMC Update) v0.29.4_NRA_model_for_NEMO2 (EMC Update) v0.29.5" xfId="614" xr:uid="{00000000-0005-0000-0000-000010020000}"/>
    <cellStyle name="%_NRA_model_for_NEMO2 (EMC Update) v0.19_NRA_model_for_NEMO2 (EMC Update) v0.29.2_NRA_model_for_NEMO2 (EMC Update) v0.29.4_NRA_model_for_NEMO2 (EMC Update) v0.29.5_NRA_model_for_NEMO2 (EMC Update) v0 30 1" xfId="615" xr:uid="{00000000-0005-0000-0000-000011020000}"/>
    <cellStyle name="%_NRA_model_for_NEMO2 (EMC Update) v0.19_NRA_model_for_NEMO2 (EMC Update) v0.29.2_NRA_model_for_NEMO2 (EMC Update) v0.29.5" xfId="616" xr:uid="{00000000-0005-0000-0000-000012020000}"/>
    <cellStyle name="%_NRA_model_for_NEMO2 (EMC Update) v0.19_NRA_model_for_NEMO2 (EMC Update) v0.29.2_NRA_model_for_NEMO2 (EMC Update) v0.29.5_NRA_model_for_NEMO2 (EMC Update) v0 30 1" xfId="617" xr:uid="{00000000-0005-0000-0000-000013020000}"/>
    <cellStyle name="%_NRA_model_for_NEMO2 (EMC Update) v0.19_NRA_model_for_NEMO2 (EMC Update) v0.29.3" xfId="618" xr:uid="{00000000-0005-0000-0000-000014020000}"/>
    <cellStyle name="%_NRA_model_for_NEMO2 (EMC Update) v0.19_NRA_model_for_NEMO2 (EMC Update) v0.29.3_NRA_model_for_NEMO2 (EMC Update) v0 30 1" xfId="619" xr:uid="{00000000-0005-0000-0000-000015020000}"/>
    <cellStyle name="%_NRA_model_for_NEMO2 (EMC Update) v0.19_NRA_model_for_NEMO2 (EMC Update) v0.29.3_NRA_model_for_NEMO2 (EMC Update) v0.29.5" xfId="620" xr:uid="{00000000-0005-0000-0000-000016020000}"/>
    <cellStyle name="%_NRA_model_for_NEMO2 (EMC Update) v0.19_NRA_model_for_NEMO2 (EMC Update) v0.29.3_NRA_model_for_NEMO2 (EMC Update) v0.29.5_NRA_model_for_NEMO2 (EMC Update) v0 30 1" xfId="621" xr:uid="{00000000-0005-0000-0000-000017020000}"/>
    <cellStyle name="%_NRA_model_for_NEMO2 (EMC Update) v0.19_NRA_model_for_NEMO2 (EMC Update) v0.29.4" xfId="622" xr:uid="{00000000-0005-0000-0000-000018020000}"/>
    <cellStyle name="%_NRA_model_for_NEMO2 (EMC Update) v0.19_NRA_model_for_NEMO2 (EMC Update) v0.29.4_NRA_model_for_NEMO2 (EMC Update) v0 30 1" xfId="623" xr:uid="{00000000-0005-0000-0000-000019020000}"/>
    <cellStyle name="%_NRA_model_for_NEMO2 (EMC Update) v0.19_NRA_model_for_NEMO2 (EMC Update) v0.29.4_NRA_model_for_NEMO2 (EMC Update) v0.29.5" xfId="624" xr:uid="{00000000-0005-0000-0000-00001A020000}"/>
    <cellStyle name="%_NRA_model_for_NEMO2 (EMC Update) v0.19_NRA_model_for_NEMO2 (EMC Update) v0.29.4_NRA_model_for_NEMO2 (EMC Update) v0.29.5_NRA_model_for_NEMO2 (EMC Update) v0 30 1" xfId="625" xr:uid="{00000000-0005-0000-0000-00001B020000}"/>
    <cellStyle name="%_NRA_model_for_NEMO2 (EMC Update) v0.19_NRA_model_for_NEMO2 (EMC Update) v0.29.5" xfId="626" xr:uid="{00000000-0005-0000-0000-00001C020000}"/>
    <cellStyle name="%_NRA_model_for_NEMO2 (EMC Update) v0.19_NRA_model_for_NEMO2 (EMC Update) v0.29.5_NRA_model_for_NEMO2 (EMC Update) v0 30 1" xfId="627" xr:uid="{00000000-0005-0000-0000-00001D020000}"/>
    <cellStyle name="%_NRA_model_for_NEMO2 (EMC Update) v0.19_NRA_model_for_NEMO2 (EMC Update) v0.29_NRA_model_for_NEMO2 (EMC Update) v0 30 1" xfId="628" xr:uid="{00000000-0005-0000-0000-00001E020000}"/>
    <cellStyle name="%_NRA_model_for_NEMO2 (EMC Update) v0.19_NRA_model_for_NEMO2 (EMC Update) v0.29_NRA_model_for_NEMO2 (EMC Update) v0.29.2" xfId="629" xr:uid="{00000000-0005-0000-0000-00001F020000}"/>
    <cellStyle name="%_NRA_model_for_NEMO2 (EMC Update) v0.19_NRA_model_for_NEMO2 (EMC Update) v0.29_NRA_model_for_NEMO2 (EMC Update) v0.29.2_NRA_model_for_NEMO2 (EMC Update) v0 30 1" xfId="630" xr:uid="{00000000-0005-0000-0000-000020020000}"/>
    <cellStyle name="%_NRA_model_for_NEMO2 (EMC Update) v0.19_NRA_model_for_NEMO2 (EMC Update) v0.29_NRA_model_for_NEMO2 (EMC Update) v0.29.2_NRA_model_for_NEMO2 (EMC Update) v0.29.3" xfId="631" xr:uid="{00000000-0005-0000-0000-000021020000}"/>
    <cellStyle name="%_NRA_model_for_NEMO2 (EMC Update) v0.19_NRA_model_for_NEMO2 (EMC Update) v0.29_NRA_model_for_NEMO2 (EMC Update) v0.29.2_NRA_model_for_NEMO2 (EMC Update) v0.29.3_NRA_model_for_NEMO2 (EMC Update) v0 30 1" xfId="632" xr:uid="{00000000-0005-0000-0000-000022020000}"/>
    <cellStyle name="%_NRA_model_for_NEMO2 (EMC Update) v0.19_NRA_model_for_NEMO2 (EMC Update) v0.29_NRA_model_for_NEMO2 (EMC Update) v0.29.2_NRA_model_for_NEMO2 (EMC Update) v0.29.3_NRA_model_for_NEMO2 (EMC Update) v0.29.5" xfId="633" xr:uid="{00000000-0005-0000-0000-000023020000}"/>
    <cellStyle name="%_NRA_model_for_NEMO2 (EMC Update) v0.19_NRA_model_for_NEMO2 (EMC Update) v0.29_NRA_model_for_NEMO2 (EMC Update) v0.29.2_NRA_model_for_NEMO2 (EMC Update) v0.29.3_NRA_model_for_NEMO2 (EMC Update) v0.29.5_NRA_model_for_NEMO2 (EMC Update) v0 30 1" xfId="634" xr:uid="{00000000-0005-0000-0000-000024020000}"/>
    <cellStyle name="%_NRA_model_for_NEMO2 (EMC Update) v0.19_NRA_model_for_NEMO2 (EMC Update) v0.29_NRA_model_for_NEMO2 (EMC Update) v0.29.2_NRA_model_for_NEMO2 (EMC Update) v0.29.4" xfId="635" xr:uid="{00000000-0005-0000-0000-000025020000}"/>
    <cellStyle name="%_NRA_model_for_NEMO2 (EMC Update) v0.19_NRA_model_for_NEMO2 (EMC Update) v0.29_NRA_model_for_NEMO2 (EMC Update) v0.29.2_NRA_model_for_NEMO2 (EMC Update) v0.29.4_NRA_model_for_NEMO2 (EMC Update) v0 30 1" xfId="636" xr:uid="{00000000-0005-0000-0000-000026020000}"/>
    <cellStyle name="%_NRA_model_for_NEMO2 (EMC Update) v0.19_NRA_model_for_NEMO2 (EMC Update) v0.29_NRA_model_for_NEMO2 (EMC Update) v0.29.2_NRA_model_for_NEMO2 (EMC Update) v0.29.4_NRA_model_for_NEMO2 (EMC Update) v0.29.5" xfId="637" xr:uid="{00000000-0005-0000-0000-000027020000}"/>
    <cellStyle name="%_NRA_model_for_NEMO2 (EMC Update) v0.19_NRA_model_for_NEMO2 (EMC Update) v0.29_NRA_model_for_NEMO2 (EMC Update) v0.29.2_NRA_model_for_NEMO2 (EMC Update) v0.29.4_NRA_model_for_NEMO2 (EMC Update) v0.29.5_NRA_model_for_NEMO2 (EMC Update) v0 30 1" xfId="638" xr:uid="{00000000-0005-0000-0000-000028020000}"/>
    <cellStyle name="%_NRA_model_for_NEMO2 (EMC Update) v0.19_NRA_model_for_NEMO2 (EMC Update) v0.29_NRA_model_for_NEMO2 (EMC Update) v0.29.2_NRA_model_for_NEMO2 (EMC Update) v0.29.5" xfId="639" xr:uid="{00000000-0005-0000-0000-000029020000}"/>
    <cellStyle name="%_NRA_model_for_NEMO2 (EMC Update) v0.19_NRA_model_for_NEMO2 (EMC Update) v0.29_NRA_model_for_NEMO2 (EMC Update) v0.29.2_NRA_model_for_NEMO2 (EMC Update) v0.29.5_NRA_model_for_NEMO2 (EMC Update) v0 30 1" xfId="640" xr:uid="{00000000-0005-0000-0000-00002A020000}"/>
    <cellStyle name="%_NRA_model_for_NEMO2 (EMC Update) v0.19_NRA_model_for_NEMO2 (EMC Update) v0.29_NRA_model_for_NEMO2 (EMC Update) v0.29.3" xfId="641" xr:uid="{00000000-0005-0000-0000-00002B020000}"/>
    <cellStyle name="%_NRA_model_for_NEMO2 (EMC Update) v0.19_NRA_model_for_NEMO2 (EMC Update) v0.29_NRA_model_for_NEMO2 (EMC Update) v0.29.3_NRA_model_for_NEMO2 (EMC Update) v0 30 1" xfId="642" xr:uid="{00000000-0005-0000-0000-00002C020000}"/>
    <cellStyle name="%_NRA_model_for_NEMO2 (EMC Update) v0.19_NRA_model_for_NEMO2 (EMC Update) v0.29_NRA_model_for_NEMO2 (EMC Update) v0.29.3_NRA_model_for_NEMO2 (EMC Update) v0.29.5" xfId="643" xr:uid="{00000000-0005-0000-0000-00002D020000}"/>
    <cellStyle name="%_NRA_model_for_NEMO2 (EMC Update) v0.19_NRA_model_for_NEMO2 (EMC Update) v0.29_NRA_model_for_NEMO2 (EMC Update) v0.29.3_NRA_model_for_NEMO2 (EMC Update) v0.29.5_NRA_model_for_NEMO2 (EMC Update) v0 30 1" xfId="644" xr:uid="{00000000-0005-0000-0000-00002E020000}"/>
    <cellStyle name="%_NRA_model_for_NEMO2 (EMC Update) v0.19_NRA_model_for_NEMO2 (EMC Update) v0.29_NRA_model_for_NEMO2 (EMC Update) v0.29.4" xfId="645" xr:uid="{00000000-0005-0000-0000-00002F020000}"/>
    <cellStyle name="%_NRA_model_for_NEMO2 (EMC Update) v0.19_NRA_model_for_NEMO2 (EMC Update) v0.29_NRA_model_for_NEMO2 (EMC Update) v0.29.4_NRA_model_for_NEMO2 (EMC Update) v0 30 1" xfId="646" xr:uid="{00000000-0005-0000-0000-000030020000}"/>
    <cellStyle name="%_NRA_model_for_NEMO2 (EMC Update) v0.19_NRA_model_for_NEMO2 (EMC Update) v0.29_NRA_model_for_NEMO2 (EMC Update) v0.29.4_NRA_model_for_NEMO2 (EMC Update) v0.29.5" xfId="647" xr:uid="{00000000-0005-0000-0000-000031020000}"/>
    <cellStyle name="%_NRA_model_for_NEMO2 (EMC Update) v0.19_NRA_model_for_NEMO2 (EMC Update) v0.29_NRA_model_for_NEMO2 (EMC Update) v0.29.4_NRA_model_for_NEMO2 (EMC Update) v0.29.5_NRA_model_for_NEMO2 (EMC Update) v0 30 1" xfId="648" xr:uid="{00000000-0005-0000-0000-000032020000}"/>
    <cellStyle name="%_NRA_model_for_NEMO2 (EMC Update) v0.19_NRA_model_for_NEMO2 (EMC Update) v0.29_NRA_model_for_NEMO2 (EMC Update) v0.29.5" xfId="649" xr:uid="{00000000-0005-0000-0000-000033020000}"/>
    <cellStyle name="%_NRA_model_for_NEMO2 (EMC Update) v0.19_NRA_model_for_NEMO2 (EMC Update) v0.29_NRA_model_for_NEMO2 (EMC Update) v0.29.5_NRA_model_for_NEMO2 (EMC Update) v0 30 1" xfId="650" xr:uid="{00000000-0005-0000-0000-000034020000}"/>
    <cellStyle name="%_NRA_model_for_NEMO2 (EMC Update) v0.20" xfId="651" xr:uid="{00000000-0005-0000-0000-000035020000}"/>
    <cellStyle name="%_NRA_model_for_NEMO2 (EMC Update) v0.20_NRA_model_for_NEMO2 (EMC Update) v0 30 1" xfId="652" xr:uid="{00000000-0005-0000-0000-000036020000}"/>
    <cellStyle name="%_NRA_model_for_NEMO2 (EMC Update) v0.20_NRA_model_for_NEMO2 (EMC Update) v0.21" xfId="653" xr:uid="{00000000-0005-0000-0000-000037020000}"/>
    <cellStyle name="%_NRA_model_for_NEMO2 (EMC Update) v0.20_NRA_model_for_NEMO2 (EMC Update) v0.21_NRA_model_for_NEMO2 (EMC Update) v0 30 1" xfId="654" xr:uid="{00000000-0005-0000-0000-000038020000}"/>
    <cellStyle name="%_NRA_model_for_NEMO2 (EMC Update) v0.20_NRA_model_for_NEMO2 (EMC Update) v0.21_NRA_model_for_NEMO2 (EMC Update) v0.22" xfId="655" xr:uid="{00000000-0005-0000-0000-000039020000}"/>
    <cellStyle name="%_NRA_model_for_NEMO2 (EMC Update) v0.20_NRA_model_for_NEMO2 (EMC Update) v0.21_NRA_model_for_NEMO2 (EMC Update) v0.22_NRA_model_for_NEMO2 (EMC Update) v0 30 1" xfId="656" xr:uid="{00000000-0005-0000-0000-00003A020000}"/>
    <cellStyle name="%_NRA_model_for_NEMO2 (EMC Update) v0.20_NRA_model_for_NEMO2 (EMC Update) v0.21_NRA_model_for_NEMO2 (EMC Update) v0.22_NRA_model_for_NEMO2 (EMC Update) v0.25" xfId="657" xr:uid="{00000000-0005-0000-0000-00003B020000}"/>
    <cellStyle name="%_NRA_model_for_NEMO2 (EMC Update) v0.20_NRA_model_for_NEMO2 (EMC Update) v0.21_NRA_model_for_NEMO2 (EMC Update) v0.22_NRA_model_for_NEMO2 (EMC Update) v0.25_NRA_model_for_NEMO2 (EMC Update) v0 30 1" xfId="658" xr:uid="{00000000-0005-0000-0000-00003C020000}"/>
    <cellStyle name="%_NRA_model_for_NEMO2 (EMC Update) v0.20_NRA_model_for_NEMO2 (EMC Update) v0.21_NRA_model_for_NEMO2 (EMC Update) v0.22_NRA_model_for_NEMO2 (EMC Update) v0.25_NRA_model_for_NEMO2 (EMC Update) v0.26" xfId="659" xr:uid="{00000000-0005-0000-0000-00003D020000}"/>
    <cellStyle name="%_NRA_model_for_NEMO2 (EMC Update) v0.20_NRA_model_for_NEMO2 (EMC Update) v0.21_NRA_model_for_NEMO2 (EMC Update) v0.22_NRA_model_for_NEMO2 (EMC Update) v0.25_NRA_model_for_NEMO2 (EMC Update) v0.26_NRA_model_for_NEMO2 (EMC Update) v0 30 1" xfId="660" xr:uid="{00000000-0005-0000-0000-00003E020000}"/>
    <cellStyle name="%_NRA_model_for_NEMO2 (EMC Update) v0.20_NRA_model_for_NEMO2 (EMC Update) v0.21_NRA_model_for_NEMO2 (EMC Update) v0.22_NRA_model_for_NEMO2 (EMC Update) v0.25_NRA_model_for_NEMO2 (EMC Update) v0.26_NRA_model_for_NEMO2 (EMC Update) v0.29" xfId="661" xr:uid="{00000000-0005-0000-0000-00003F020000}"/>
    <cellStyle name="%_NRA_model_for_NEMO2 (EMC Update) v0.20_NRA_model_for_NEMO2 (EMC Update) v0.21_NRA_model_for_NEMO2 (EMC Update) v0.22_NRA_model_for_NEMO2 (EMC Update) v0.25_NRA_model_for_NEMO2 (EMC Update) v0.26_NRA_model_for_NEMO2 (EMC Update) v0.29.2" xfId="662" xr:uid="{00000000-0005-0000-0000-000040020000}"/>
    <cellStyle name="%_NRA_model_for_NEMO2 (EMC Update) v0.20_NRA_model_for_NEMO2 (EMC Update) v0.21_NRA_model_for_NEMO2 (EMC Update) v0.22_NRA_model_for_NEMO2 (EMC Update) v0.25_NRA_model_for_NEMO2 (EMC Update) v0.26_NRA_model_for_NEMO2 (EMC Update) v0.29.3" xfId="663" xr:uid="{00000000-0005-0000-0000-000041020000}"/>
    <cellStyle name="%_NRA_model_for_NEMO2 (EMC Update) v0.20_NRA_model_for_NEMO2 (EMC Update) v0.21_NRA_model_for_NEMO2 (EMC Update) v0.22_NRA_model_for_NEMO2 (EMC Update) v0.25_NRA_model_for_NEMO2 (EMC Update) v0.26_NRA_model_for_NEMO2 (EMC Update) v0.29.4" xfId="664" xr:uid="{00000000-0005-0000-0000-000042020000}"/>
    <cellStyle name="%_NRA_model_for_NEMO2 (EMC Update) v0.20_NRA_model_for_NEMO2 (EMC Update) v0.21_NRA_model_for_NEMO2 (EMC Update) v0.22_NRA_model_for_NEMO2 (EMC Update) v0.25_NRA_model_for_NEMO2 (EMC Update) v0.26_NRA_model_for_NEMO2 (EMC Update) v0.29.5" xfId="665" xr:uid="{00000000-0005-0000-0000-000043020000}"/>
    <cellStyle name="%_NRA_model_for_NEMO2 (EMC Update) v0.20_NRA_model_for_NEMO2 (EMC Update) v0.21_NRA_model_for_NEMO2 (EMC Update) v0.22_NRA_model_for_NEMO2 (EMC Update) v0.25_NRA_model_for_NEMO2 (EMC Update) v0.29" xfId="666" xr:uid="{00000000-0005-0000-0000-000044020000}"/>
    <cellStyle name="%_NRA_model_for_NEMO2 (EMC Update) v0.20_NRA_model_for_NEMO2 (EMC Update) v0.21_NRA_model_for_NEMO2 (EMC Update) v0.22_NRA_model_for_NEMO2 (EMC Update) v0.25_NRA_model_for_NEMO2 (EMC Update) v0.29.2" xfId="667" xr:uid="{00000000-0005-0000-0000-000045020000}"/>
    <cellStyle name="%_NRA_model_for_NEMO2 (EMC Update) v0.20_NRA_model_for_NEMO2 (EMC Update) v0.21_NRA_model_for_NEMO2 (EMC Update) v0.22_NRA_model_for_NEMO2 (EMC Update) v0.25_NRA_model_for_NEMO2 (EMC Update) v0.29.2_NRA_model_for_NEMO2 (EMC Update) v0 30 1" xfId="668" xr:uid="{00000000-0005-0000-0000-000046020000}"/>
    <cellStyle name="%_NRA_model_for_NEMO2 (EMC Update) v0.20_NRA_model_for_NEMO2 (EMC Update) v0.21_NRA_model_for_NEMO2 (EMC Update) v0.22_NRA_model_for_NEMO2 (EMC Update) v0.25_NRA_model_for_NEMO2 (EMC Update) v0.29.2_NRA_model_for_NEMO2 (EMC Update) v0.29.3" xfId="669" xr:uid="{00000000-0005-0000-0000-000047020000}"/>
    <cellStyle name="%_NRA_model_for_NEMO2 (EMC Update) v0.20_NRA_model_for_NEMO2 (EMC Update) v0.21_NRA_model_for_NEMO2 (EMC Update) v0.22_NRA_model_for_NEMO2 (EMC Update) v0.25_NRA_model_for_NEMO2 (EMC Update) v0.29.2_NRA_model_for_NEMO2 (EMC Update) v0.29.4" xfId="670" xr:uid="{00000000-0005-0000-0000-000048020000}"/>
    <cellStyle name="%_NRA_model_for_NEMO2 (EMC Update) v0.20_NRA_model_for_NEMO2 (EMC Update) v0.21_NRA_model_for_NEMO2 (EMC Update) v0.22_NRA_model_for_NEMO2 (EMC Update) v0.25_NRA_model_for_NEMO2 (EMC Update) v0.29.2_NRA_model_for_NEMO2 (EMC Update) v0.29.5" xfId="671" xr:uid="{00000000-0005-0000-0000-000049020000}"/>
    <cellStyle name="%_NRA_model_for_NEMO2 (EMC Update) v0.20_NRA_model_for_NEMO2 (EMC Update) v0.21_NRA_model_for_NEMO2 (EMC Update) v0.22_NRA_model_for_NEMO2 (EMC Update) v0.25_NRA_model_for_NEMO2 (EMC Update) v0.29.3" xfId="672" xr:uid="{00000000-0005-0000-0000-00004A020000}"/>
    <cellStyle name="%_NRA_model_for_NEMO2 (EMC Update) v0.20_NRA_model_for_NEMO2 (EMC Update) v0.21_NRA_model_for_NEMO2 (EMC Update) v0.22_NRA_model_for_NEMO2 (EMC Update) v0.25_NRA_model_for_NEMO2 (EMC Update) v0.29.3_NRA_model_for_NEMO2 (EMC Update) v0 30 1" xfId="673" xr:uid="{00000000-0005-0000-0000-00004B020000}"/>
    <cellStyle name="%_NRA_model_for_NEMO2 (EMC Update) v0.20_NRA_model_for_NEMO2 (EMC Update) v0.21_NRA_model_for_NEMO2 (EMC Update) v0.22_NRA_model_for_NEMO2 (EMC Update) v0.25_NRA_model_for_NEMO2 (EMC Update) v0.29.3_NRA_model_for_NEMO2 (EMC Update) v0.29.5" xfId="674" xr:uid="{00000000-0005-0000-0000-00004C020000}"/>
    <cellStyle name="%_NRA_model_for_NEMO2 (EMC Update) v0.20_NRA_model_for_NEMO2 (EMC Update) v0.21_NRA_model_for_NEMO2 (EMC Update) v0.22_NRA_model_for_NEMO2 (EMC Update) v0.25_NRA_model_for_NEMO2 (EMC Update) v0.29.4" xfId="675" xr:uid="{00000000-0005-0000-0000-00004D020000}"/>
    <cellStyle name="%_NRA_model_for_NEMO2 (EMC Update) v0.20_NRA_model_for_NEMO2 (EMC Update) v0.21_NRA_model_for_NEMO2 (EMC Update) v0.22_NRA_model_for_NEMO2 (EMC Update) v0.25_NRA_model_for_NEMO2 (EMC Update) v0.29.4_NRA_model_for_NEMO2 (EMC Update) v0 30 1" xfId="676" xr:uid="{00000000-0005-0000-0000-00004E020000}"/>
    <cellStyle name="%_NRA_model_for_NEMO2 (EMC Update) v0.20_NRA_model_for_NEMO2 (EMC Update) v0.21_NRA_model_for_NEMO2 (EMC Update) v0.22_NRA_model_for_NEMO2 (EMC Update) v0.25_NRA_model_for_NEMO2 (EMC Update) v0.29.4_NRA_model_for_NEMO2 (EMC Update) v0.29.5" xfId="677" xr:uid="{00000000-0005-0000-0000-00004F020000}"/>
    <cellStyle name="%_NRA_model_for_NEMO2 (EMC Update) v0.20_NRA_model_for_NEMO2 (EMC Update) v0.21_NRA_model_for_NEMO2 (EMC Update) v0.22_NRA_model_for_NEMO2 (EMC Update) v0.25_NRA_model_for_NEMO2 (EMC Update) v0.29.5" xfId="678" xr:uid="{00000000-0005-0000-0000-000050020000}"/>
    <cellStyle name="%_NRA_model_for_NEMO2 (EMC Update) v0.20_NRA_model_for_NEMO2 (EMC Update) v0.21_NRA_model_for_NEMO2 (EMC Update) v0.22_NRA_model_for_NEMO2 (EMC Update) v0.25_NRA_model_for_NEMO2 (EMC Update) v0.29.5_NRA_model_for_NEMO2 (EMC Update) v0 30 1" xfId="679" xr:uid="{00000000-0005-0000-0000-000051020000}"/>
    <cellStyle name="%_NRA_model_for_NEMO2 (EMC Update) v0.20_NRA_model_for_NEMO2 (EMC Update) v0.21_NRA_model_for_NEMO2 (EMC Update) v0.22_NRA_model_for_NEMO2 (EMC Update) v0.25_NRA_model_for_NEMO2 (EMC Update) v0.29_NRA_model_for_NEMO2 (EMC Update) v0 30 1" xfId="680" xr:uid="{00000000-0005-0000-0000-000052020000}"/>
    <cellStyle name="%_NRA_model_for_NEMO2 (EMC Update) v0.20_NRA_model_for_NEMO2 (EMC Update) v0.21_NRA_model_for_NEMO2 (EMC Update) v0.22_NRA_model_for_NEMO2 (EMC Update) v0.25_NRA_model_for_NEMO2 (EMC Update) v0.29_NRA_model_for_NEMO2 (EMC Update) v0.29.2" xfId="681" xr:uid="{00000000-0005-0000-0000-000053020000}"/>
    <cellStyle name="%_NRA_model_for_NEMO2 (EMC Update) v0.20_NRA_model_for_NEMO2 (EMC Update) v0.21_NRA_model_for_NEMO2 (EMC Update) v0.22_NRA_model_for_NEMO2 (EMC Update) v0.25_NRA_model_for_NEMO2 (EMC Update) v0.29_NRA_model_for_NEMO2 (EMC Update) v0.29.3" xfId="682" xr:uid="{00000000-0005-0000-0000-000054020000}"/>
    <cellStyle name="%_NRA_model_for_NEMO2 (EMC Update) v0.20_NRA_model_for_NEMO2 (EMC Update) v0.21_NRA_model_for_NEMO2 (EMC Update) v0.22_NRA_model_for_NEMO2 (EMC Update) v0.25_NRA_model_for_NEMO2 (EMC Update) v0.29_NRA_model_for_NEMO2 (EMC Update) v0.29.4" xfId="683" xr:uid="{00000000-0005-0000-0000-000055020000}"/>
    <cellStyle name="%_NRA_model_for_NEMO2 (EMC Update) v0.20_NRA_model_for_NEMO2 (EMC Update) v0.21_NRA_model_for_NEMO2 (EMC Update) v0.22_NRA_model_for_NEMO2 (EMC Update) v0.25_NRA_model_for_NEMO2 (EMC Update) v0.29_NRA_model_for_NEMO2 (EMC Update) v0.29.5" xfId="684" xr:uid="{00000000-0005-0000-0000-000056020000}"/>
    <cellStyle name="%_NRA_model_for_NEMO2 (EMC Update) v0.20_NRA_model_for_NEMO2 (EMC Update) v0.21_NRA_model_for_NEMO2 (EMC Update) v0.22_NRA_model_for_NEMO2 (EMC Update) v0.26" xfId="685" xr:uid="{00000000-0005-0000-0000-000057020000}"/>
    <cellStyle name="%_NRA_model_for_NEMO2 (EMC Update) v0.20_NRA_model_for_NEMO2 (EMC Update) v0.21_NRA_model_for_NEMO2 (EMC Update) v0.22_NRA_model_for_NEMO2 (EMC Update) v0.26_NRA_model_for_NEMO2 (EMC Update) v0 30 1" xfId="686" xr:uid="{00000000-0005-0000-0000-000058020000}"/>
    <cellStyle name="%_NRA_model_for_NEMO2 (EMC Update) v0.20_NRA_model_for_NEMO2 (EMC Update) v0.21_NRA_model_for_NEMO2 (EMC Update) v0.22_NRA_model_for_NEMO2 (EMC Update) v0.26_NRA_model_for_NEMO2 (EMC Update) v0.29" xfId="687" xr:uid="{00000000-0005-0000-0000-000059020000}"/>
    <cellStyle name="%_NRA_model_for_NEMO2 (EMC Update) v0.20_NRA_model_for_NEMO2 (EMC Update) v0.21_NRA_model_for_NEMO2 (EMC Update) v0.22_NRA_model_for_NEMO2 (EMC Update) v0.26_NRA_model_for_NEMO2 (EMC Update) v0.29.2" xfId="688" xr:uid="{00000000-0005-0000-0000-00005A020000}"/>
    <cellStyle name="%_NRA_model_for_NEMO2 (EMC Update) v0.20_NRA_model_for_NEMO2 (EMC Update) v0.21_NRA_model_for_NEMO2 (EMC Update) v0.22_NRA_model_for_NEMO2 (EMC Update) v0.26_NRA_model_for_NEMO2 (EMC Update) v0.29.2_NRA_model_for_NEMO2 (EMC Update) v0 30 1" xfId="689" xr:uid="{00000000-0005-0000-0000-00005B020000}"/>
    <cellStyle name="%_NRA_model_for_NEMO2 (EMC Update) v0.20_NRA_model_for_NEMO2 (EMC Update) v0.21_NRA_model_for_NEMO2 (EMC Update) v0.22_NRA_model_for_NEMO2 (EMC Update) v0.26_NRA_model_for_NEMO2 (EMC Update) v0.29.2_NRA_model_for_NEMO2 (EMC Update) v0.29.3" xfId="690" xr:uid="{00000000-0005-0000-0000-00005C020000}"/>
    <cellStyle name="%_NRA_model_for_NEMO2 (EMC Update) v0.20_NRA_model_for_NEMO2 (EMC Update) v0.21_NRA_model_for_NEMO2 (EMC Update) v0.22_NRA_model_for_NEMO2 (EMC Update) v0.26_NRA_model_for_NEMO2 (EMC Update) v0.29.2_NRA_model_for_NEMO2 (EMC Update) v0.29.4" xfId="691" xr:uid="{00000000-0005-0000-0000-00005D020000}"/>
    <cellStyle name="%_NRA_model_for_NEMO2 (EMC Update) v0.20_NRA_model_for_NEMO2 (EMC Update) v0.21_NRA_model_for_NEMO2 (EMC Update) v0.22_NRA_model_for_NEMO2 (EMC Update) v0.26_NRA_model_for_NEMO2 (EMC Update) v0.29.2_NRA_model_for_NEMO2 (EMC Update) v0.29.5" xfId="692" xr:uid="{00000000-0005-0000-0000-00005E020000}"/>
    <cellStyle name="%_NRA_model_for_NEMO2 (EMC Update) v0.20_NRA_model_for_NEMO2 (EMC Update) v0.21_NRA_model_for_NEMO2 (EMC Update) v0.22_NRA_model_for_NEMO2 (EMC Update) v0.26_NRA_model_for_NEMO2 (EMC Update) v0.29.3" xfId="693" xr:uid="{00000000-0005-0000-0000-00005F020000}"/>
    <cellStyle name="%_NRA_model_for_NEMO2 (EMC Update) v0.20_NRA_model_for_NEMO2 (EMC Update) v0.21_NRA_model_for_NEMO2 (EMC Update) v0.22_NRA_model_for_NEMO2 (EMC Update) v0.26_NRA_model_for_NEMO2 (EMC Update) v0.29.3_NRA_model_for_NEMO2 (EMC Update) v0 30 1" xfId="694" xr:uid="{00000000-0005-0000-0000-000060020000}"/>
    <cellStyle name="%_NRA_model_for_NEMO2 (EMC Update) v0.20_NRA_model_for_NEMO2 (EMC Update) v0.21_NRA_model_for_NEMO2 (EMC Update) v0.22_NRA_model_for_NEMO2 (EMC Update) v0.26_NRA_model_for_NEMO2 (EMC Update) v0.29.3_NRA_model_for_NEMO2 (EMC Update) v0.29.5" xfId="695" xr:uid="{00000000-0005-0000-0000-000061020000}"/>
    <cellStyle name="%_NRA_model_for_NEMO2 (EMC Update) v0.20_NRA_model_for_NEMO2 (EMC Update) v0.21_NRA_model_for_NEMO2 (EMC Update) v0.22_NRA_model_for_NEMO2 (EMC Update) v0.26_NRA_model_for_NEMO2 (EMC Update) v0.29.4" xfId="696" xr:uid="{00000000-0005-0000-0000-000062020000}"/>
    <cellStyle name="%_NRA_model_for_NEMO2 (EMC Update) v0.20_NRA_model_for_NEMO2 (EMC Update) v0.21_NRA_model_for_NEMO2 (EMC Update) v0.22_NRA_model_for_NEMO2 (EMC Update) v0.26_NRA_model_for_NEMO2 (EMC Update) v0.29.4_NRA_model_for_NEMO2 (EMC Update) v0 30 1" xfId="697" xr:uid="{00000000-0005-0000-0000-000063020000}"/>
    <cellStyle name="%_NRA_model_for_NEMO2 (EMC Update) v0.20_NRA_model_for_NEMO2 (EMC Update) v0.21_NRA_model_for_NEMO2 (EMC Update) v0.22_NRA_model_for_NEMO2 (EMC Update) v0.26_NRA_model_for_NEMO2 (EMC Update) v0.29.4_NRA_model_for_NEMO2 (EMC Update) v0.29.5" xfId="698" xr:uid="{00000000-0005-0000-0000-000064020000}"/>
    <cellStyle name="%_NRA_model_for_NEMO2 (EMC Update) v0.20_NRA_model_for_NEMO2 (EMC Update) v0.21_NRA_model_for_NEMO2 (EMC Update) v0.22_NRA_model_for_NEMO2 (EMC Update) v0.26_NRA_model_for_NEMO2 (EMC Update) v0.29.5" xfId="699" xr:uid="{00000000-0005-0000-0000-000065020000}"/>
    <cellStyle name="%_NRA_model_for_NEMO2 (EMC Update) v0.20_NRA_model_for_NEMO2 (EMC Update) v0.21_NRA_model_for_NEMO2 (EMC Update) v0.22_NRA_model_for_NEMO2 (EMC Update) v0.26_NRA_model_for_NEMO2 (EMC Update) v0.29.5_NRA_model_for_NEMO2 (EMC Update) v0 30 1" xfId="700" xr:uid="{00000000-0005-0000-0000-000066020000}"/>
    <cellStyle name="%_NRA_model_for_NEMO2 (EMC Update) v0.20_NRA_model_for_NEMO2 (EMC Update) v0.21_NRA_model_for_NEMO2 (EMC Update) v0.22_NRA_model_for_NEMO2 (EMC Update) v0.26_NRA_model_for_NEMO2 (EMC Update) v0.29_NRA_model_for_NEMO2 (EMC Update) v0 30 1" xfId="701" xr:uid="{00000000-0005-0000-0000-000067020000}"/>
    <cellStyle name="%_NRA_model_for_NEMO2 (EMC Update) v0.20_NRA_model_for_NEMO2 (EMC Update) v0.21_NRA_model_for_NEMO2 (EMC Update) v0.22_NRA_model_for_NEMO2 (EMC Update) v0.26_NRA_model_for_NEMO2 (EMC Update) v0.29_NRA_model_for_NEMO2 (EMC Update) v0.29.2" xfId="702" xr:uid="{00000000-0005-0000-0000-000068020000}"/>
    <cellStyle name="%_NRA_model_for_NEMO2 (EMC Update) v0.20_NRA_model_for_NEMO2 (EMC Update) v0.21_NRA_model_for_NEMO2 (EMC Update) v0.22_NRA_model_for_NEMO2 (EMC Update) v0.26_NRA_model_for_NEMO2 (EMC Update) v0.29_NRA_model_for_NEMO2 (EMC Update) v0.29.3" xfId="703" xr:uid="{00000000-0005-0000-0000-000069020000}"/>
    <cellStyle name="%_NRA_model_for_NEMO2 (EMC Update) v0.20_NRA_model_for_NEMO2 (EMC Update) v0.21_NRA_model_for_NEMO2 (EMC Update) v0.22_NRA_model_for_NEMO2 (EMC Update) v0.26_NRA_model_for_NEMO2 (EMC Update) v0.29_NRA_model_for_NEMO2 (EMC Update) v0.29.4" xfId="704" xr:uid="{00000000-0005-0000-0000-00006A020000}"/>
    <cellStyle name="%_NRA_model_for_NEMO2 (EMC Update) v0.20_NRA_model_for_NEMO2 (EMC Update) v0.21_NRA_model_for_NEMO2 (EMC Update) v0.22_NRA_model_for_NEMO2 (EMC Update) v0.26_NRA_model_for_NEMO2 (EMC Update) v0.29_NRA_model_for_NEMO2 (EMC Update) v0.29.5" xfId="705" xr:uid="{00000000-0005-0000-0000-00006B020000}"/>
    <cellStyle name="%_NRA_model_for_NEMO2 (EMC Update) v0.20_NRA_model_for_NEMO2 (EMC Update) v0.21_NRA_model_for_NEMO2 (EMC Update) v0.22_NRA_model_for_NEMO2 (EMC Update) v0.29" xfId="706" xr:uid="{00000000-0005-0000-0000-00006C020000}"/>
    <cellStyle name="%_NRA_model_for_NEMO2 (EMC Update) v0.20_NRA_model_for_NEMO2 (EMC Update) v0.21_NRA_model_for_NEMO2 (EMC Update) v0.22_NRA_model_for_NEMO2 (EMC Update) v0.29.2" xfId="707" xr:uid="{00000000-0005-0000-0000-00006D020000}"/>
    <cellStyle name="%_NRA_model_for_NEMO2 (EMC Update) v0.20_NRA_model_for_NEMO2 (EMC Update) v0.21_NRA_model_for_NEMO2 (EMC Update) v0.22_NRA_model_for_NEMO2 (EMC Update) v0.29.2_NRA_model_for_NEMO2 (EMC Update) v0 30 1" xfId="708" xr:uid="{00000000-0005-0000-0000-00006E020000}"/>
    <cellStyle name="%_NRA_model_for_NEMO2 (EMC Update) v0.20_NRA_model_for_NEMO2 (EMC Update) v0.21_NRA_model_for_NEMO2 (EMC Update) v0.22_NRA_model_for_NEMO2 (EMC Update) v0.29.2_NRA_model_for_NEMO2 (EMC Update) v0.29.3" xfId="709" xr:uid="{00000000-0005-0000-0000-00006F020000}"/>
    <cellStyle name="%_NRA_model_for_NEMO2 (EMC Update) v0.20_NRA_model_for_NEMO2 (EMC Update) v0.21_NRA_model_for_NEMO2 (EMC Update) v0.22_NRA_model_for_NEMO2 (EMC Update) v0.29.2_NRA_model_for_NEMO2 (EMC Update) v0.29.3_NRA_model_for_NEMO2 (EMC Update) v0 30 1" xfId="710" xr:uid="{00000000-0005-0000-0000-000070020000}"/>
    <cellStyle name="%_NRA_model_for_NEMO2 (EMC Update) v0.20_NRA_model_for_NEMO2 (EMC Update) v0.21_NRA_model_for_NEMO2 (EMC Update) v0.22_NRA_model_for_NEMO2 (EMC Update) v0.29.2_NRA_model_for_NEMO2 (EMC Update) v0.29.3_NRA_model_for_NEMO2 (EMC Update) v0.29.5" xfId="711" xr:uid="{00000000-0005-0000-0000-000071020000}"/>
    <cellStyle name="%_NRA_model_for_NEMO2 (EMC Update) v0.20_NRA_model_for_NEMO2 (EMC Update) v0.21_NRA_model_for_NEMO2 (EMC Update) v0.22_NRA_model_for_NEMO2 (EMC Update) v0.29.2_NRA_model_for_NEMO2 (EMC Update) v0.29.4" xfId="712" xr:uid="{00000000-0005-0000-0000-000072020000}"/>
    <cellStyle name="%_NRA_model_for_NEMO2 (EMC Update) v0.20_NRA_model_for_NEMO2 (EMC Update) v0.21_NRA_model_for_NEMO2 (EMC Update) v0.22_NRA_model_for_NEMO2 (EMC Update) v0.29.2_NRA_model_for_NEMO2 (EMC Update) v0.29.4_NRA_model_for_NEMO2 (EMC Update) v0 30 1" xfId="713" xr:uid="{00000000-0005-0000-0000-000073020000}"/>
    <cellStyle name="%_NRA_model_for_NEMO2 (EMC Update) v0.20_NRA_model_for_NEMO2 (EMC Update) v0.21_NRA_model_for_NEMO2 (EMC Update) v0.22_NRA_model_for_NEMO2 (EMC Update) v0.29.2_NRA_model_for_NEMO2 (EMC Update) v0.29.4_NRA_model_for_NEMO2 (EMC Update) v0.29.5" xfId="714" xr:uid="{00000000-0005-0000-0000-000074020000}"/>
    <cellStyle name="%_NRA_model_for_NEMO2 (EMC Update) v0.20_NRA_model_for_NEMO2 (EMC Update) v0.21_NRA_model_for_NEMO2 (EMC Update) v0.22_NRA_model_for_NEMO2 (EMC Update) v0.29.2_NRA_model_for_NEMO2 (EMC Update) v0.29.5" xfId="715" xr:uid="{00000000-0005-0000-0000-000075020000}"/>
    <cellStyle name="%_NRA_model_for_NEMO2 (EMC Update) v0.20_NRA_model_for_NEMO2 (EMC Update) v0.21_NRA_model_for_NEMO2 (EMC Update) v0.22_NRA_model_for_NEMO2 (EMC Update) v0.29.2_NRA_model_for_NEMO2 (EMC Update) v0.29.5_NRA_model_for_NEMO2 (EMC Update) v0 30 1" xfId="716" xr:uid="{00000000-0005-0000-0000-000076020000}"/>
    <cellStyle name="%_NRA_model_for_NEMO2 (EMC Update) v0.20_NRA_model_for_NEMO2 (EMC Update) v0.21_NRA_model_for_NEMO2 (EMC Update) v0.22_NRA_model_for_NEMO2 (EMC Update) v0.29.3" xfId="717" xr:uid="{00000000-0005-0000-0000-000077020000}"/>
    <cellStyle name="%_NRA_model_for_NEMO2 (EMC Update) v0.20_NRA_model_for_NEMO2 (EMC Update) v0.21_NRA_model_for_NEMO2 (EMC Update) v0.22_NRA_model_for_NEMO2 (EMC Update) v0.29.3_NRA_model_for_NEMO2 (EMC Update) v0 30 1" xfId="718" xr:uid="{00000000-0005-0000-0000-000078020000}"/>
    <cellStyle name="%_NRA_model_for_NEMO2 (EMC Update) v0.20_NRA_model_for_NEMO2 (EMC Update) v0.21_NRA_model_for_NEMO2 (EMC Update) v0.22_NRA_model_for_NEMO2 (EMC Update) v0.29.3_NRA_model_for_NEMO2 (EMC Update) v0.29.5" xfId="719" xr:uid="{00000000-0005-0000-0000-000079020000}"/>
    <cellStyle name="%_NRA_model_for_NEMO2 (EMC Update) v0.20_NRA_model_for_NEMO2 (EMC Update) v0.21_NRA_model_for_NEMO2 (EMC Update) v0.22_NRA_model_for_NEMO2 (EMC Update) v0.29.3_NRA_model_for_NEMO2 (EMC Update) v0.29.5_NRA_model_for_NEMO2 (EMC Update) v0 30 1" xfId="720" xr:uid="{00000000-0005-0000-0000-00007A020000}"/>
    <cellStyle name="%_NRA_model_for_NEMO2 (EMC Update) v0.20_NRA_model_for_NEMO2 (EMC Update) v0.21_NRA_model_for_NEMO2 (EMC Update) v0.22_NRA_model_for_NEMO2 (EMC Update) v0.29.4" xfId="721" xr:uid="{00000000-0005-0000-0000-00007B020000}"/>
    <cellStyle name="%_NRA_model_for_NEMO2 (EMC Update) v0.20_NRA_model_for_NEMO2 (EMC Update) v0.21_NRA_model_for_NEMO2 (EMC Update) v0.22_NRA_model_for_NEMO2 (EMC Update) v0.29.4_NRA_model_for_NEMO2 (EMC Update) v0 30 1" xfId="722" xr:uid="{00000000-0005-0000-0000-00007C020000}"/>
    <cellStyle name="%_NRA_model_for_NEMO2 (EMC Update) v0.20_NRA_model_for_NEMO2 (EMC Update) v0.21_NRA_model_for_NEMO2 (EMC Update) v0.22_NRA_model_for_NEMO2 (EMC Update) v0.29.4_NRA_model_for_NEMO2 (EMC Update) v0.29.5" xfId="723" xr:uid="{00000000-0005-0000-0000-00007D020000}"/>
    <cellStyle name="%_NRA_model_for_NEMO2 (EMC Update) v0.20_NRA_model_for_NEMO2 (EMC Update) v0.21_NRA_model_for_NEMO2 (EMC Update) v0.22_NRA_model_for_NEMO2 (EMC Update) v0.29.4_NRA_model_for_NEMO2 (EMC Update) v0.29.5_NRA_model_for_NEMO2 (EMC Update) v0 30 1" xfId="724" xr:uid="{00000000-0005-0000-0000-00007E020000}"/>
    <cellStyle name="%_NRA_model_for_NEMO2 (EMC Update) v0.20_NRA_model_for_NEMO2 (EMC Update) v0.21_NRA_model_for_NEMO2 (EMC Update) v0.22_NRA_model_for_NEMO2 (EMC Update) v0.29.5" xfId="725" xr:uid="{00000000-0005-0000-0000-00007F020000}"/>
    <cellStyle name="%_NRA_model_for_NEMO2 (EMC Update) v0.20_NRA_model_for_NEMO2 (EMC Update) v0.21_NRA_model_for_NEMO2 (EMC Update) v0.22_NRA_model_for_NEMO2 (EMC Update) v0.29.5_NRA_model_for_NEMO2 (EMC Update) v0 30 1" xfId="726" xr:uid="{00000000-0005-0000-0000-000080020000}"/>
    <cellStyle name="%_NRA_model_for_NEMO2 (EMC Update) v0.20_NRA_model_for_NEMO2 (EMC Update) v0.21_NRA_model_for_NEMO2 (EMC Update) v0.22_NRA_model_for_NEMO2 (EMC Update) v0.29_NRA_model_for_NEMO2 (EMC Update) v0 30 1" xfId="727" xr:uid="{00000000-0005-0000-0000-000081020000}"/>
    <cellStyle name="%_NRA_model_for_NEMO2 (EMC Update) v0.20_NRA_model_for_NEMO2 (EMC Update) v0.21_NRA_model_for_NEMO2 (EMC Update) v0.22_NRA_model_for_NEMO2 (EMC Update) v0.29_NRA_model_for_NEMO2 (EMC Update) v0.29.2" xfId="728" xr:uid="{00000000-0005-0000-0000-000082020000}"/>
    <cellStyle name="%_NRA_model_for_NEMO2 (EMC Update) v0.20_NRA_model_for_NEMO2 (EMC Update) v0.21_NRA_model_for_NEMO2 (EMC Update) v0.22_NRA_model_for_NEMO2 (EMC Update) v0.29_NRA_model_for_NEMO2 (EMC Update) v0.29.2_NRA_model_for_NEMO2 (EMC Update) v0 30 1" xfId="729" xr:uid="{00000000-0005-0000-0000-000083020000}"/>
    <cellStyle name="%_NRA_model_for_NEMO2 (EMC Update) v0.20_NRA_model_for_NEMO2 (EMC Update) v0.21_NRA_model_for_NEMO2 (EMC Update) v0.22_NRA_model_for_NEMO2 (EMC Update) v0.29_NRA_model_for_NEMO2 (EMC Update) v0.29.2_NRA_model_for_NEMO2 (EMC Update) v0.29.3" xfId="730" xr:uid="{00000000-0005-0000-0000-000084020000}"/>
    <cellStyle name="%_NRA_model_for_NEMO2 (EMC Update) v0.20_NRA_model_for_NEMO2 (EMC Update) v0.21_NRA_model_for_NEMO2 (EMC Update) v0.22_NRA_model_for_NEMO2 (EMC Update) v0.29_NRA_model_for_NEMO2 (EMC Update) v0.29.2_NRA_model_for_NEMO2 (EMC Update) v0.29.4" xfId="731" xr:uid="{00000000-0005-0000-0000-000085020000}"/>
    <cellStyle name="%_NRA_model_for_NEMO2 (EMC Update) v0.20_NRA_model_for_NEMO2 (EMC Update) v0.21_NRA_model_for_NEMO2 (EMC Update) v0.22_NRA_model_for_NEMO2 (EMC Update) v0.29_NRA_model_for_NEMO2 (EMC Update) v0.29.2_NRA_model_for_NEMO2 (EMC Update) v0.29.5" xfId="732" xr:uid="{00000000-0005-0000-0000-000086020000}"/>
    <cellStyle name="%_NRA_model_for_NEMO2 (EMC Update) v0.20_NRA_model_for_NEMO2 (EMC Update) v0.21_NRA_model_for_NEMO2 (EMC Update) v0.22_NRA_model_for_NEMO2 (EMC Update) v0.29_NRA_model_for_NEMO2 (EMC Update) v0.29.3" xfId="733" xr:uid="{00000000-0005-0000-0000-000087020000}"/>
    <cellStyle name="%_NRA_model_for_NEMO2 (EMC Update) v0.20_NRA_model_for_NEMO2 (EMC Update) v0.21_NRA_model_for_NEMO2 (EMC Update) v0.22_NRA_model_for_NEMO2 (EMC Update) v0.29_NRA_model_for_NEMO2 (EMC Update) v0.29.3_NRA_model_for_NEMO2 (EMC Update) v0 30 1" xfId="734" xr:uid="{00000000-0005-0000-0000-000088020000}"/>
    <cellStyle name="%_NRA_model_for_NEMO2 (EMC Update) v0.20_NRA_model_for_NEMO2 (EMC Update) v0.21_NRA_model_for_NEMO2 (EMC Update) v0.22_NRA_model_for_NEMO2 (EMC Update) v0.29_NRA_model_for_NEMO2 (EMC Update) v0.29.3_NRA_model_for_NEMO2 (EMC Update) v0.29.5" xfId="735" xr:uid="{00000000-0005-0000-0000-000089020000}"/>
    <cellStyle name="%_NRA_model_for_NEMO2 (EMC Update) v0.20_NRA_model_for_NEMO2 (EMC Update) v0.21_NRA_model_for_NEMO2 (EMC Update) v0.22_NRA_model_for_NEMO2 (EMC Update) v0.29_NRA_model_for_NEMO2 (EMC Update) v0.29.4" xfId="736" xr:uid="{00000000-0005-0000-0000-00008A020000}"/>
    <cellStyle name="%_NRA_model_for_NEMO2 (EMC Update) v0.20_NRA_model_for_NEMO2 (EMC Update) v0.21_NRA_model_for_NEMO2 (EMC Update) v0.22_NRA_model_for_NEMO2 (EMC Update) v0.29_NRA_model_for_NEMO2 (EMC Update) v0.29.4_NRA_model_for_NEMO2 (EMC Update) v0 30 1" xfId="737" xr:uid="{00000000-0005-0000-0000-00008B020000}"/>
    <cellStyle name="%_NRA_model_for_NEMO2 (EMC Update) v0.20_NRA_model_for_NEMO2 (EMC Update) v0.21_NRA_model_for_NEMO2 (EMC Update) v0.22_NRA_model_for_NEMO2 (EMC Update) v0.29_NRA_model_for_NEMO2 (EMC Update) v0.29.4_NRA_model_for_NEMO2 (EMC Update) v0.29.5" xfId="738" xr:uid="{00000000-0005-0000-0000-00008C020000}"/>
    <cellStyle name="%_NRA_model_for_NEMO2 (EMC Update) v0.20_NRA_model_for_NEMO2 (EMC Update) v0.21_NRA_model_for_NEMO2 (EMC Update) v0.22_NRA_model_for_NEMO2 (EMC Update) v0.29_NRA_model_for_NEMO2 (EMC Update) v0.29.5" xfId="739" xr:uid="{00000000-0005-0000-0000-00008D020000}"/>
    <cellStyle name="%_NRA_model_for_NEMO2 (EMC Update) v0.20_NRA_model_for_NEMO2 (EMC Update) v0.21_NRA_model_for_NEMO2 (EMC Update) v0.22_NRA_model_for_NEMO2 (EMC Update) v0.29_NRA_model_for_NEMO2 (EMC Update) v0.29.5_NRA_model_for_NEMO2 (EMC Update) v0 30 1" xfId="740" xr:uid="{00000000-0005-0000-0000-00008E020000}"/>
    <cellStyle name="%_NRA_model_for_NEMO2 (EMC Update) v0.20_NRA_model_for_NEMO2 (EMC Update) v0.21_NRA_model_for_NEMO2 (EMC Update) v0.25" xfId="741" xr:uid="{00000000-0005-0000-0000-00008F020000}"/>
    <cellStyle name="%_NRA_model_for_NEMO2 (EMC Update) v0.20_NRA_model_for_NEMO2 (EMC Update) v0.21_NRA_model_for_NEMO2 (EMC Update) v0.25_NRA_model_for_NEMO2 (EMC Update) v0 30 1" xfId="742" xr:uid="{00000000-0005-0000-0000-000090020000}"/>
    <cellStyle name="%_NRA_model_for_NEMO2 (EMC Update) v0.20_NRA_model_for_NEMO2 (EMC Update) v0.21_NRA_model_for_NEMO2 (EMC Update) v0.25_NRA_model_for_NEMO2 (EMC Update) v0.26" xfId="743" xr:uid="{00000000-0005-0000-0000-000091020000}"/>
    <cellStyle name="%_NRA_model_for_NEMO2 (EMC Update) v0.20_NRA_model_for_NEMO2 (EMC Update) v0.21_NRA_model_for_NEMO2 (EMC Update) v0.25_NRA_model_for_NEMO2 (EMC Update) v0.26_NRA_model_for_NEMO2 (EMC Update) v0 30 1" xfId="744" xr:uid="{00000000-0005-0000-0000-000092020000}"/>
    <cellStyle name="%_NRA_model_for_NEMO2 (EMC Update) v0.20_NRA_model_for_NEMO2 (EMC Update) v0.21_NRA_model_for_NEMO2 (EMC Update) v0.25_NRA_model_for_NEMO2 (EMC Update) v0.26_NRA_model_for_NEMO2 (EMC Update) v0.29" xfId="745" xr:uid="{00000000-0005-0000-0000-000093020000}"/>
    <cellStyle name="%_NRA_model_for_NEMO2 (EMC Update) v0.20_NRA_model_for_NEMO2 (EMC Update) v0.21_NRA_model_for_NEMO2 (EMC Update) v0.25_NRA_model_for_NEMO2 (EMC Update) v0.26_NRA_model_for_NEMO2 (EMC Update) v0.29.2" xfId="746" xr:uid="{00000000-0005-0000-0000-000094020000}"/>
    <cellStyle name="%_NRA_model_for_NEMO2 (EMC Update) v0.20_NRA_model_for_NEMO2 (EMC Update) v0.21_NRA_model_for_NEMO2 (EMC Update) v0.25_NRA_model_for_NEMO2 (EMC Update) v0.26_NRA_model_for_NEMO2 (EMC Update) v0.29.2_NRA_model_for_NEMO2 (EMC Update) v0 30 1" xfId="747" xr:uid="{00000000-0005-0000-0000-000095020000}"/>
    <cellStyle name="%_NRA_model_for_NEMO2 (EMC Update) v0.20_NRA_model_for_NEMO2 (EMC Update) v0.21_NRA_model_for_NEMO2 (EMC Update) v0.25_NRA_model_for_NEMO2 (EMC Update) v0.26_NRA_model_for_NEMO2 (EMC Update) v0.29.2_NRA_model_for_NEMO2 (EMC Update) v0.29.3" xfId="748" xr:uid="{00000000-0005-0000-0000-000096020000}"/>
    <cellStyle name="%_NRA_model_for_NEMO2 (EMC Update) v0.20_NRA_model_for_NEMO2 (EMC Update) v0.21_NRA_model_for_NEMO2 (EMC Update) v0.25_NRA_model_for_NEMO2 (EMC Update) v0.26_NRA_model_for_NEMO2 (EMC Update) v0.29.2_NRA_model_for_NEMO2 (EMC Update) v0.29.4" xfId="749" xr:uid="{00000000-0005-0000-0000-000097020000}"/>
    <cellStyle name="%_NRA_model_for_NEMO2 (EMC Update) v0.20_NRA_model_for_NEMO2 (EMC Update) v0.21_NRA_model_for_NEMO2 (EMC Update) v0.25_NRA_model_for_NEMO2 (EMC Update) v0.26_NRA_model_for_NEMO2 (EMC Update) v0.29.2_NRA_model_for_NEMO2 (EMC Update) v0.29.5" xfId="750" xr:uid="{00000000-0005-0000-0000-000098020000}"/>
    <cellStyle name="%_NRA_model_for_NEMO2 (EMC Update) v0.20_NRA_model_for_NEMO2 (EMC Update) v0.21_NRA_model_for_NEMO2 (EMC Update) v0.25_NRA_model_for_NEMO2 (EMC Update) v0.26_NRA_model_for_NEMO2 (EMC Update) v0.29.3" xfId="751" xr:uid="{00000000-0005-0000-0000-000099020000}"/>
    <cellStyle name="%_NRA_model_for_NEMO2 (EMC Update) v0.20_NRA_model_for_NEMO2 (EMC Update) v0.21_NRA_model_for_NEMO2 (EMC Update) v0.25_NRA_model_for_NEMO2 (EMC Update) v0.26_NRA_model_for_NEMO2 (EMC Update) v0.29.3_NRA_model_for_NEMO2 (EMC Update) v0 30 1" xfId="752" xr:uid="{00000000-0005-0000-0000-00009A020000}"/>
    <cellStyle name="%_NRA_model_for_NEMO2 (EMC Update) v0.20_NRA_model_for_NEMO2 (EMC Update) v0.21_NRA_model_for_NEMO2 (EMC Update) v0.25_NRA_model_for_NEMO2 (EMC Update) v0.26_NRA_model_for_NEMO2 (EMC Update) v0.29.3_NRA_model_for_NEMO2 (EMC Update) v0.29.5" xfId="753" xr:uid="{00000000-0005-0000-0000-00009B020000}"/>
    <cellStyle name="%_NRA_model_for_NEMO2 (EMC Update) v0.20_NRA_model_for_NEMO2 (EMC Update) v0.21_NRA_model_for_NEMO2 (EMC Update) v0.25_NRA_model_for_NEMO2 (EMC Update) v0.26_NRA_model_for_NEMO2 (EMC Update) v0.29.4" xfId="754" xr:uid="{00000000-0005-0000-0000-00009C020000}"/>
    <cellStyle name="%_NRA_model_for_NEMO2 (EMC Update) v0.20_NRA_model_for_NEMO2 (EMC Update) v0.21_NRA_model_for_NEMO2 (EMC Update) v0.25_NRA_model_for_NEMO2 (EMC Update) v0.26_NRA_model_for_NEMO2 (EMC Update) v0.29.4_NRA_model_for_NEMO2 (EMC Update) v0 30 1" xfId="755" xr:uid="{00000000-0005-0000-0000-00009D020000}"/>
    <cellStyle name="%_NRA_model_for_NEMO2 (EMC Update) v0.20_NRA_model_for_NEMO2 (EMC Update) v0.21_NRA_model_for_NEMO2 (EMC Update) v0.25_NRA_model_for_NEMO2 (EMC Update) v0.26_NRA_model_for_NEMO2 (EMC Update) v0.29.4_NRA_model_for_NEMO2 (EMC Update) v0.29.5" xfId="756" xr:uid="{00000000-0005-0000-0000-00009E020000}"/>
    <cellStyle name="%_NRA_model_for_NEMO2 (EMC Update) v0.20_NRA_model_for_NEMO2 (EMC Update) v0.21_NRA_model_for_NEMO2 (EMC Update) v0.25_NRA_model_for_NEMO2 (EMC Update) v0.26_NRA_model_for_NEMO2 (EMC Update) v0.29.5" xfId="757" xr:uid="{00000000-0005-0000-0000-00009F020000}"/>
    <cellStyle name="%_NRA_model_for_NEMO2 (EMC Update) v0.20_NRA_model_for_NEMO2 (EMC Update) v0.21_NRA_model_for_NEMO2 (EMC Update) v0.25_NRA_model_for_NEMO2 (EMC Update) v0.26_NRA_model_for_NEMO2 (EMC Update) v0.29.5_NRA_model_for_NEMO2 (EMC Update) v0 30 1" xfId="758" xr:uid="{00000000-0005-0000-0000-0000A0020000}"/>
    <cellStyle name="%_NRA_model_for_NEMO2 (EMC Update) v0.20_NRA_model_for_NEMO2 (EMC Update) v0.21_NRA_model_for_NEMO2 (EMC Update) v0.25_NRA_model_for_NEMO2 (EMC Update) v0.26_NRA_model_for_NEMO2 (EMC Update) v0.29_NRA_model_for_NEMO2 (EMC Update) v0 30 1" xfId="759" xr:uid="{00000000-0005-0000-0000-0000A1020000}"/>
    <cellStyle name="%_NRA_model_for_NEMO2 (EMC Update) v0.20_NRA_model_for_NEMO2 (EMC Update) v0.21_NRA_model_for_NEMO2 (EMC Update) v0.25_NRA_model_for_NEMO2 (EMC Update) v0.26_NRA_model_for_NEMO2 (EMC Update) v0.29_NRA_model_for_NEMO2 (EMC Update) v0.29.2" xfId="760" xr:uid="{00000000-0005-0000-0000-0000A2020000}"/>
    <cellStyle name="%_NRA_model_for_NEMO2 (EMC Update) v0.20_NRA_model_for_NEMO2 (EMC Update) v0.21_NRA_model_for_NEMO2 (EMC Update) v0.25_NRA_model_for_NEMO2 (EMC Update) v0.26_NRA_model_for_NEMO2 (EMC Update) v0.29_NRA_model_for_NEMO2 (EMC Update) v0.29.3" xfId="761" xr:uid="{00000000-0005-0000-0000-0000A3020000}"/>
    <cellStyle name="%_NRA_model_for_NEMO2 (EMC Update) v0.20_NRA_model_for_NEMO2 (EMC Update) v0.21_NRA_model_for_NEMO2 (EMC Update) v0.25_NRA_model_for_NEMO2 (EMC Update) v0.26_NRA_model_for_NEMO2 (EMC Update) v0.29_NRA_model_for_NEMO2 (EMC Update) v0.29.4" xfId="762" xr:uid="{00000000-0005-0000-0000-0000A4020000}"/>
    <cellStyle name="%_NRA_model_for_NEMO2 (EMC Update) v0.20_NRA_model_for_NEMO2 (EMC Update) v0.21_NRA_model_for_NEMO2 (EMC Update) v0.25_NRA_model_for_NEMO2 (EMC Update) v0.26_NRA_model_for_NEMO2 (EMC Update) v0.29_NRA_model_for_NEMO2 (EMC Update) v0.29.5" xfId="763" xr:uid="{00000000-0005-0000-0000-0000A5020000}"/>
    <cellStyle name="%_NRA_model_for_NEMO2 (EMC Update) v0.20_NRA_model_for_NEMO2 (EMC Update) v0.21_NRA_model_for_NEMO2 (EMC Update) v0.25_NRA_model_for_NEMO2 (EMC Update) v0.29" xfId="764" xr:uid="{00000000-0005-0000-0000-0000A6020000}"/>
    <cellStyle name="%_NRA_model_for_NEMO2 (EMC Update) v0.20_NRA_model_for_NEMO2 (EMC Update) v0.21_NRA_model_for_NEMO2 (EMC Update) v0.25_NRA_model_for_NEMO2 (EMC Update) v0.29.2" xfId="765" xr:uid="{00000000-0005-0000-0000-0000A7020000}"/>
    <cellStyle name="%_NRA_model_for_NEMO2 (EMC Update) v0.20_NRA_model_for_NEMO2 (EMC Update) v0.21_NRA_model_for_NEMO2 (EMC Update) v0.25_NRA_model_for_NEMO2 (EMC Update) v0.29.2_NRA_model_for_NEMO2 (EMC Update) v0 30 1" xfId="766" xr:uid="{00000000-0005-0000-0000-0000A8020000}"/>
    <cellStyle name="%_NRA_model_for_NEMO2 (EMC Update) v0.20_NRA_model_for_NEMO2 (EMC Update) v0.21_NRA_model_for_NEMO2 (EMC Update) v0.25_NRA_model_for_NEMO2 (EMC Update) v0.29.2_NRA_model_for_NEMO2 (EMC Update) v0.29.3" xfId="767" xr:uid="{00000000-0005-0000-0000-0000A9020000}"/>
    <cellStyle name="%_NRA_model_for_NEMO2 (EMC Update) v0.20_NRA_model_for_NEMO2 (EMC Update) v0.21_NRA_model_for_NEMO2 (EMC Update) v0.25_NRA_model_for_NEMO2 (EMC Update) v0.29.2_NRA_model_for_NEMO2 (EMC Update) v0.29.3_NRA_model_for_NEMO2 (EMC Update) v0 30 1" xfId="768" xr:uid="{00000000-0005-0000-0000-0000AA020000}"/>
    <cellStyle name="%_NRA_model_for_NEMO2 (EMC Update) v0.20_NRA_model_for_NEMO2 (EMC Update) v0.21_NRA_model_for_NEMO2 (EMC Update) v0.25_NRA_model_for_NEMO2 (EMC Update) v0.29.2_NRA_model_for_NEMO2 (EMC Update) v0.29.3_NRA_model_for_NEMO2 (EMC Update) v0.29.5" xfId="769" xr:uid="{00000000-0005-0000-0000-0000AB020000}"/>
    <cellStyle name="%_NRA_model_for_NEMO2 (EMC Update) v0.20_NRA_model_for_NEMO2 (EMC Update) v0.21_NRA_model_for_NEMO2 (EMC Update) v0.25_NRA_model_for_NEMO2 (EMC Update) v0.29.2_NRA_model_for_NEMO2 (EMC Update) v0.29.4" xfId="770" xr:uid="{00000000-0005-0000-0000-0000AC020000}"/>
    <cellStyle name="%_NRA_model_for_NEMO2 (EMC Update) v0.20_NRA_model_for_NEMO2 (EMC Update) v0.21_NRA_model_for_NEMO2 (EMC Update) v0.25_NRA_model_for_NEMO2 (EMC Update) v0.29.2_NRA_model_for_NEMO2 (EMC Update) v0.29.4_NRA_model_for_NEMO2 (EMC Update) v0 30 1" xfId="771" xr:uid="{00000000-0005-0000-0000-0000AD020000}"/>
    <cellStyle name="%_NRA_model_for_NEMO2 (EMC Update) v0.20_NRA_model_for_NEMO2 (EMC Update) v0.21_NRA_model_for_NEMO2 (EMC Update) v0.25_NRA_model_for_NEMO2 (EMC Update) v0.29.2_NRA_model_for_NEMO2 (EMC Update) v0.29.4_NRA_model_for_NEMO2 (EMC Update) v0.29.5" xfId="772" xr:uid="{00000000-0005-0000-0000-0000AE020000}"/>
    <cellStyle name="%_NRA_model_for_NEMO2 (EMC Update) v0.20_NRA_model_for_NEMO2 (EMC Update) v0.21_NRA_model_for_NEMO2 (EMC Update) v0.25_NRA_model_for_NEMO2 (EMC Update) v0.29.2_NRA_model_for_NEMO2 (EMC Update) v0.29.5" xfId="773" xr:uid="{00000000-0005-0000-0000-0000AF020000}"/>
    <cellStyle name="%_NRA_model_for_NEMO2 (EMC Update) v0.20_NRA_model_for_NEMO2 (EMC Update) v0.21_NRA_model_for_NEMO2 (EMC Update) v0.25_NRA_model_for_NEMO2 (EMC Update) v0.29.2_NRA_model_for_NEMO2 (EMC Update) v0.29.5_NRA_model_for_NEMO2 (EMC Update) v0 30 1" xfId="774" xr:uid="{00000000-0005-0000-0000-0000B0020000}"/>
    <cellStyle name="%_NRA_model_for_NEMO2 (EMC Update) v0.20_NRA_model_for_NEMO2 (EMC Update) v0.21_NRA_model_for_NEMO2 (EMC Update) v0.25_NRA_model_for_NEMO2 (EMC Update) v0.29.3" xfId="775" xr:uid="{00000000-0005-0000-0000-0000B1020000}"/>
    <cellStyle name="%_NRA_model_for_NEMO2 (EMC Update) v0.20_NRA_model_for_NEMO2 (EMC Update) v0.21_NRA_model_for_NEMO2 (EMC Update) v0.25_NRA_model_for_NEMO2 (EMC Update) v0.29.3_NRA_model_for_NEMO2 (EMC Update) v0 30 1" xfId="776" xr:uid="{00000000-0005-0000-0000-0000B2020000}"/>
    <cellStyle name="%_NRA_model_for_NEMO2 (EMC Update) v0.20_NRA_model_for_NEMO2 (EMC Update) v0.21_NRA_model_for_NEMO2 (EMC Update) v0.25_NRA_model_for_NEMO2 (EMC Update) v0.29.3_NRA_model_for_NEMO2 (EMC Update) v0.29.5" xfId="777" xr:uid="{00000000-0005-0000-0000-0000B3020000}"/>
    <cellStyle name="%_NRA_model_for_NEMO2 (EMC Update) v0.20_NRA_model_for_NEMO2 (EMC Update) v0.21_NRA_model_for_NEMO2 (EMC Update) v0.25_NRA_model_for_NEMO2 (EMC Update) v0.29.3_NRA_model_for_NEMO2 (EMC Update) v0.29.5_NRA_model_for_NEMO2 (EMC Update) v0 30 1" xfId="778" xr:uid="{00000000-0005-0000-0000-0000B4020000}"/>
    <cellStyle name="%_NRA_model_for_NEMO2 (EMC Update) v0.20_NRA_model_for_NEMO2 (EMC Update) v0.21_NRA_model_for_NEMO2 (EMC Update) v0.25_NRA_model_for_NEMO2 (EMC Update) v0.29.4" xfId="779" xr:uid="{00000000-0005-0000-0000-0000B5020000}"/>
    <cellStyle name="%_NRA_model_for_NEMO2 (EMC Update) v0.20_NRA_model_for_NEMO2 (EMC Update) v0.21_NRA_model_for_NEMO2 (EMC Update) v0.25_NRA_model_for_NEMO2 (EMC Update) v0.29.4_NRA_model_for_NEMO2 (EMC Update) v0 30 1" xfId="780" xr:uid="{00000000-0005-0000-0000-0000B6020000}"/>
    <cellStyle name="%_NRA_model_for_NEMO2 (EMC Update) v0.20_NRA_model_for_NEMO2 (EMC Update) v0.21_NRA_model_for_NEMO2 (EMC Update) v0.25_NRA_model_for_NEMO2 (EMC Update) v0.29.4_NRA_model_for_NEMO2 (EMC Update) v0.29.5" xfId="781" xr:uid="{00000000-0005-0000-0000-0000B7020000}"/>
    <cellStyle name="%_NRA_model_for_NEMO2 (EMC Update) v0.20_NRA_model_for_NEMO2 (EMC Update) v0.21_NRA_model_for_NEMO2 (EMC Update) v0.25_NRA_model_for_NEMO2 (EMC Update) v0.29.4_NRA_model_for_NEMO2 (EMC Update) v0.29.5_NRA_model_for_NEMO2 (EMC Update) v0 30 1" xfId="782" xr:uid="{00000000-0005-0000-0000-0000B8020000}"/>
    <cellStyle name="%_NRA_model_for_NEMO2 (EMC Update) v0.20_NRA_model_for_NEMO2 (EMC Update) v0.21_NRA_model_for_NEMO2 (EMC Update) v0.25_NRA_model_for_NEMO2 (EMC Update) v0.29.5" xfId="783" xr:uid="{00000000-0005-0000-0000-0000B9020000}"/>
    <cellStyle name="%_NRA_model_for_NEMO2 (EMC Update) v0.20_NRA_model_for_NEMO2 (EMC Update) v0.21_NRA_model_for_NEMO2 (EMC Update) v0.25_NRA_model_for_NEMO2 (EMC Update) v0.29.5_NRA_model_for_NEMO2 (EMC Update) v0 30 1" xfId="784" xr:uid="{00000000-0005-0000-0000-0000BA020000}"/>
    <cellStyle name="%_NRA_model_for_NEMO2 (EMC Update) v0.20_NRA_model_for_NEMO2 (EMC Update) v0.21_NRA_model_for_NEMO2 (EMC Update) v0.25_NRA_model_for_NEMO2 (EMC Update) v0.29_NRA_model_for_NEMO2 (EMC Update) v0 30 1" xfId="785" xr:uid="{00000000-0005-0000-0000-0000BB020000}"/>
    <cellStyle name="%_NRA_model_for_NEMO2 (EMC Update) v0.20_NRA_model_for_NEMO2 (EMC Update) v0.21_NRA_model_for_NEMO2 (EMC Update) v0.25_NRA_model_for_NEMO2 (EMC Update) v0.29_NRA_model_for_NEMO2 (EMC Update) v0.29.2" xfId="786" xr:uid="{00000000-0005-0000-0000-0000BC020000}"/>
    <cellStyle name="%_NRA_model_for_NEMO2 (EMC Update) v0.20_NRA_model_for_NEMO2 (EMC Update) v0.21_NRA_model_for_NEMO2 (EMC Update) v0.25_NRA_model_for_NEMO2 (EMC Update) v0.29_NRA_model_for_NEMO2 (EMC Update) v0.29.2_NRA_model_for_NEMO2 (EMC Update) v0 30 1" xfId="787" xr:uid="{00000000-0005-0000-0000-0000BD020000}"/>
    <cellStyle name="%_NRA_model_for_NEMO2 (EMC Update) v0.20_NRA_model_for_NEMO2 (EMC Update) v0.21_NRA_model_for_NEMO2 (EMC Update) v0.25_NRA_model_for_NEMO2 (EMC Update) v0.29_NRA_model_for_NEMO2 (EMC Update) v0.29.2_NRA_model_for_NEMO2 (EMC Update) v0.29.3" xfId="788" xr:uid="{00000000-0005-0000-0000-0000BE020000}"/>
    <cellStyle name="%_NRA_model_for_NEMO2 (EMC Update) v0.20_NRA_model_for_NEMO2 (EMC Update) v0.21_NRA_model_for_NEMO2 (EMC Update) v0.25_NRA_model_for_NEMO2 (EMC Update) v0.29_NRA_model_for_NEMO2 (EMC Update) v0.29.2_NRA_model_for_NEMO2 (EMC Update) v0.29.4" xfId="789" xr:uid="{00000000-0005-0000-0000-0000BF020000}"/>
    <cellStyle name="%_NRA_model_for_NEMO2 (EMC Update) v0.20_NRA_model_for_NEMO2 (EMC Update) v0.21_NRA_model_for_NEMO2 (EMC Update) v0.25_NRA_model_for_NEMO2 (EMC Update) v0.29_NRA_model_for_NEMO2 (EMC Update) v0.29.2_NRA_model_for_NEMO2 (EMC Update) v0.29.5" xfId="790" xr:uid="{00000000-0005-0000-0000-0000C0020000}"/>
    <cellStyle name="%_NRA_model_for_NEMO2 (EMC Update) v0.20_NRA_model_for_NEMO2 (EMC Update) v0.21_NRA_model_for_NEMO2 (EMC Update) v0.25_NRA_model_for_NEMO2 (EMC Update) v0.29_NRA_model_for_NEMO2 (EMC Update) v0.29.3" xfId="791" xr:uid="{00000000-0005-0000-0000-0000C1020000}"/>
    <cellStyle name="%_NRA_model_for_NEMO2 (EMC Update) v0.20_NRA_model_for_NEMO2 (EMC Update) v0.21_NRA_model_for_NEMO2 (EMC Update) v0.25_NRA_model_for_NEMO2 (EMC Update) v0.29_NRA_model_for_NEMO2 (EMC Update) v0.29.3_NRA_model_for_NEMO2 (EMC Update) v0 30 1" xfId="792" xr:uid="{00000000-0005-0000-0000-0000C2020000}"/>
    <cellStyle name="%_NRA_model_for_NEMO2 (EMC Update) v0.20_NRA_model_for_NEMO2 (EMC Update) v0.21_NRA_model_for_NEMO2 (EMC Update) v0.25_NRA_model_for_NEMO2 (EMC Update) v0.29_NRA_model_for_NEMO2 (EMC Update) v0.29.3_NRA_model_for_NEMO2 (EMC Update) v0.29.5" xfId="793" xr:uid="{00000000-0005-0000-0000-0000C3020000}"/>
    <cellStyle name="%_NRA_model_for_NEMO2 (EMC Update) v0.20_NRA_model_for_NEMO2 (EMC Update) v0.21_NRA_model_for_NEMO2 (EMC Update) v0.25_NRA_model_for_NEMO2 (EMC Update) v0.29_NRA_model_for_NEMO2 (EMC Update) v0.29.4" xfId="794" xr:uid="{00000000-0005-0000-0000-0000C4020000}"/>
    <cellStyle name="%_NRA_model_for_NEMO2 (EMC Update) v0.20_NRA_model_for_NEMO2 (EMC Update) v0.21_NRA_model_for_NEMO2 (EMC Update) v0.25_NRA_model_for_NEMO2 (EMC Update) v0.29_NRA_model_for_NEMO2 (EMC Update) v0.29.4_NRA_model_for_NEMO2 (EMC Update) v0 30 1" xfId="795" xr:uid="{00000000-0005-0000-0000-0000C5020000}"/>
    <cellStyle name="%_NRA_model_for_NEMO2 (EMC Update) v0.20_NRA_model_for_NEMO2 (EMC Update) v0.21_NRA_model_for_NEMO2 (EMC Update) v0.25_NRA_model_for_NEMO2 (EMC Update) v0.29_NRA_model_for_NEMO2 (EMC Update) v0.29.4_NRA_model_for_NEMO2 (EMC Update) v0.29.5" xfId="796" xr:uid="{00000000-0005-0000-0000-0000C6020000}"/>
    <cellStyle name="%_NRA_model_for_NEMO2 (EMC Update) v0.20_NRA_model_for_NEMO2 (EMC Update) v0.21_NRA_model_for_NEMO2 (EMC Update) v0.25_NRA_model_for_NEMO2 (EMC Update) v0.29_NRA_model_for_NEMO2 (EMC Update) v0.29.5" xfId="797" xr:uid="{00000000-0005-0000-0000-0000C7020000}"/>
    <cellStyle name="%_NRA_model_for_NEMO2 (EMC Update) v0.20_NRA_model_for_NEMO2 (EMC Update) v0.21_NRA_model_for_NEMO2 (EMC Update) v0.25_NRA_model_for_NEMO2 (EMC Update) v0.29_NRA_model_for_NEMO2 (EMC Update) v0.29.5_NRA_model_for_NEMO2 (EMC Update) v0 30 1" xfId="798" xr:uid="{00000000-0005-0000-0000-0000C8020000}"/>
    <cellStyle name="%_NRA_model_for_NEMO2 (EMC Update) v0.20_NRA_model_for_NEMO2 (EMC Update) v0.21_NRA_model_for_NEMO2 (EMC Update) v0.26" xfId="799" xr:uid="{00000000-0005-0000-0000-0000C9020000}"/>
    <cellStyle name="%_NRA_model_for_NEMO2 (EMC Update) v0.20_NRA_model_for_NEMO2 (EMC Update) v0.21_NRA_model_for_NEMO2 (EMC Update) v0.26_NRA_model_for_NEMO2 (EMC Update) v0 30 1" xfId="800" xr:uid="{00000000-0005-0000-0000-0000CA020000}"/>
    <cellStyle name="%_NRA_model_for_NEMO2 (EMC Update) v0.20_NRA_model_for_NEMO2 (EMC Update) v0.21_NRA_model_for_NEMO2 (EMC Update) v0.26_NRA_model_for_NEMO2 (EMC Update) v0.29" xfId="801" xr:uid="{00000000-0005-0000-0000-0000CB020000}"/>
    <cellStyle name="%_NRA_model_for_NEMO2 (EMC Update) v0.20_NRA_model_for_NEMO2 (EMC Update) v0.21_NRA_model_for_NEMO2 (EMC Update) v0.26_NRA_model_for_NEMO2 (EMC Update) v0.29.2" xfId="802" xr:uid="{00000000-0005-0000-0000-0000CC020000}"/>
    <cellStyle name="%_NRA_model_for_NEMO2 (EMC Update) v0.20_NRA_model_for_NEMO2 (EMC Update) v0.21_NRA_model_for_NEMO2 (EMC Update) v0.26_NRA_model_for_NEMO2 (EMC Update) v0.29.2_NRA_model_for_NEMO2 (EMC Update) v0 30 1" xfId="803" xr:uid="{00000000-0005-0000-0000-0000CD020000}"/>
    <cellStyle name="%_NRA_model_for_NEMO2 (EMC Update) v0.20_NRA_model_for_NEMO2 (EMC Update) v0.21_NRA_model_for_NEMO2 (EMC Update) v0.26_NRA_model_for_NEMO2 (EMC Update) v0.29.2_NRA_model_for_NEMO2 (EMC Update) v0.29.3" xfId="804" xr:uid="{00000000-0005-0000-0000-0000CE020000}"/>
    <cellStyle name="%_NRA_model_for_NEMO2 (EMC Update) v0.20_NRA_model_for_NEMO2 (EMC Update) v0.21_NRA_model_for_NEMO2 (EMC Update) v0.26_NRA_model_for_NEMO2 (EMC Update) v0.29.2_NRA_model_for_NEMO2 (EMC Update) v0.29.3_NRA_model_for_NEMO2 (EMC Update) v0 30 1" xfId="805" xr:uid="{00000000-0005-0000-0000-0000CF020000}"/>
    <cellStyle name="%_NRA_model_for_NEMO2 (EMC Update) v0.20_NRA_model_for_NEMO2 (EMC Update) v0.21_NRA_model_for_NEMO2 (EMC Update) v0.26_NRA_model_for_NEMO2 (EMC Update) v0.29.2_NRA_model_for_NEMO2 (EMC Update) v0.29.3_NRA_model_for_NEMO2 (EMC Update) v0.29.5" xfId="806" xr:uid="{00000000-0005-0000-0000-0000D0020000}"/>
    <cellStyle name="%_NRA_model_for_NEMO2 (EMC Update) v0.20_NRA_model_for_NEMO2 (EMC Update) v0.21_NRA_model_for_NEMO2 (EMC Update) v0.26_NRA_model_for_NEMO2 (EMC Update) v0.29.2_NRA_model_for_NEMO2 (EMC Update) v0.29.4" xfId="807" xr:uid="{00000000-0005-0000-0000-0000D1020000}"/>
    <cellStyle name="%_NRA_model_for_NEMO2 (EMC Update) v0.20_NRA_model_for_NEMO2 (EMC Update) v0.21_NRA_model_for_NEMO2 (EMC Update) v0.26_NRA_model_for_NEMO2 (EMC Update) v0.29.2_NRA_model_for_NEMO2 (EMC Update) v0.29.4_NRA_model_for_NEMO2 (EMC Update) v0 30 1" xfId="808" xr:uid="{00000000-0005-0000-0000-0000D2020000}"/>
    <cellStyle name="%_NRA_model_for_NEMO2 (EMC Update) v0.20_NRA_model_for_NEMO2 (EMC Update) v0.21_NRA_model_for_NEMO2 (EMC Update) v0.26_NRA_model_for_NEMO2 (EMC Update) v0.29.2_NRA_model_for_NEMO2 (EMC Update) v0.29.4_NRA_model_for_NEMO2 (EMC Update) v0.29.5" xfId="809" xr:uid="{00000000-0005-0000-0000-0000D3020000}"/>
    <cellStyle name="%_NRA_model_for_NEMO2 (EMC Update) v0.20_NRA_model_for_NEMO2 (EMC Update) v0.21_NRA_model_for_NEMO2 (EMC Update) v0.26_NRA_model_for_NEMO2 (EMC Update) v0.29.2_NRA_model_for_NEMO2 (EMC Update) v0.29.5" xfId="810" xr:uid="{00000000-0005-0000-0000-0000D4020000}"/>
    <cellStyle name="%_NRA_model_for_NEMO2 (EMC Update) v0.20_NRA_model_for_NEMO2 (EMC Update) v0.21_NRA_model_for_NEMO2 (EMC Update) v0.26_NRA_model_for_NEMO2 (EMC Update) v0.29.2_NRA_model_for_NEMO2 (EMC Update) v0.29.5_NRA_model_for_NEMO2 (EMC Update) v0 30 1" xfId="811" xr:uid="{00000000-0005-0000-0000-0000D5020000}"/>
    <cellStyle name="%_NRA_model_for_NEMO2 (EMC Update) v0.20_NRA_model_for_NEMO2 (EMC Update) v0.21_NRA_model_for_NEMO2 (EMC Update) v0.26_NRA_model_for_NEMO2 (EMC Update) v0.29.3" xfId="812" xr:uid="{00000000-0005-0000-0000-0000D6020000}"/>
    <cellStyle name="%_NRA_model_for_NEMO2 (EMC Update) v0.20_NRA_model_for_NEMO2 (EMC Update) v0.21_NRA_model_for_NEMO2 (EMC Update) v0.26_NRA_model_for_NEMO2 (EMC Update) v0.29.3_NRA_model_for_NEMO2 (EMC Update) v0 30 1" xfId="813" xr:uid="{00000000-0005-0000-0000-0000D7020000}"/>
    <cellStyle name="%_NRA_model_for_NEMO2 (EMC Update) v0.20_NRA_model_for_NEMO2 (EMC Update) v0.21_NRA_model_for_NEMO2 (EMC Update) v0.26_NRA_model_for_NEMO2 (EMC Update) v0.29.3_NRA_model_for_NEMO2 (EMC Update) v0.29.5" xfId="814" xr:uid="{00000000-0005-0000-0000-0000D8020000}"/>
    <cellStyle name="%_NRA_model_for_NEMO2 (EMC Update) v0.20_NRA_model_for_NEMO2 (EMC Update) v0.21_NRA_model_for_NEMO2 (EMC Update) v0.26_NRA_model_for_NEMO2 (EMC Update) v0.29.3_NRA_model_for_NEMO2 (EMC Update) v0.29.5_NRA_model_for_NEMO2 (EMC Update) v0 30 1" xfId="815" xr:uid="{00000000-0005-0000-0000-0000D9020000}"/>
    <cellStyle name="%_NRA_model_for_NEMO2 (EMC Update) v0.20_NRA_model_for_NEMO2 (EMC Update) v0.21_NRA_model_for_NEMO2 (EMC Update) v0.26_NRA_model_for_NEMO2 (EMC Update) v0.29.4" xfId="816" xr:uid="{00000000-0005-0000-0000-0000DA020000}"/>
    <cellStyle name="%_NRA_model_for_NEMO2 (EMC Update) v0.20_NRA_model_for_NEMO2 (EMC Update) v0.21_NRA_model_for_NEMO2 (EMC Update) v0.26_NRA_model_for_NEMO2 (EMC Update) v0.29.4_NRA_model_for_NEMO2 (EMC Update) v0 30 1" xfId="817" xr:uid="{00000000-0005-0000-0000-0000DB020000}"/>
    <cellStyle name="%_NRA_model_for_NEMO2 (EMC Update) v0.20_NRA_model_for_NEMO2 (EMC Update) v0.21_NRA_model_for_NEMO2 (EMC Update) v0.26_NRA_model_for_NEMO2 (EMC Update) v0.29.4_NRA_model_for_NEMO2 (EMC Update) v0.29.5" xfId="818" xr:uid="{00000000-0005-0000-0000-0000DC020000}"/>
    <cellStyle name="%_NRA_model_for_NEMO2 (EMC Update) v0.20_NRA_model_for_NEMO2 (EMC Update) v0.21_NRA_model_for_NEMO2 (EMC Update) v0.26_NRA_model_for_NEMO2 (EMC Update) v0.29.4_NRA_model_for_NEMO2 (EMC Update) v0.29.5_NRA_model_for_NEMO2 (EMC Update) v0 30 1" xfId="819" xr:uid="{00000000-0005-0000-0000-0000DD020000}"/>
    <cellStyle name="%_NRA_model_for_NEMO2 (EMC Update) v0.20_NRA_model_for_NEMO2 (EMC Update) v0.21_NRA_model_for_NEMO2 (EMC Update) v0.26_NRA_model_for_NEMO2 (EMC Update) v0.29.5" xfId="820" xr:uid="{00000000-0005-0000-0000-0000DE020000}"/>
    <cellStyle name="%_NRA_model_for_NEMO2 (EMC Update) v0.20_NRA_model_for_NEMO2 (EMC Update) v0.21_NRA_model_for_NEMO2 (EMC Update) v0.26_NRA_model_for_NEMO2 (EMC Update) v0.29.5_NRA_model_for_NEMO2 (EMC Update) v0 30 1" xfId="821" xr:uid="{00000000-0005-0000-0000-0000DF020000}"/>
    <cellStyle name="%_NRA_model_for_NEMO2 (EMC Update) v0.20_NRA_model_for_NEMO2 (EMC Update) v0.21_NRA_model_for_NEMO2 (EMC Update) v0.26_NRA_model_for_NEMO2 (EMC Update) v0.29_NRA_model_for_NEMO2 (EMC Update) v0 30 1" xfId="822" xr:uid="{00000000-0005-0000-0000-0000E0020000}"/>
    <cellStyle name="%_NRA_model_for_NEMO2 (EMC Update) v0.20_NRA_model_for_NEMO2 (EMC Update) v0.21_NRA_model_for_NEMO2 (EMC Update) v0.26_NRA_model_for_NEMO2 (EMC Update) v0.29_NRA_model_for_NEMO2 (EMC Update) v0.29.2" xfId="823" xr:uid="{00000000-0005-0000-0000-0000E1020000}"/>
    <cellStyle name="%_NRA_model_for_NEMO2 (EMC Update) v0.20_NRA_model_for_NEMO2 (EMC Update) v0.21_NRA_model_for_NEMO2 (EMC Update) v0.26_NRA_model_for_NEMO2 (EMC Update) v0.29_NRA_model_for_NEMO2 (EMC Update) v0.29.2_NRA_model_for_NEMO2 (EMC Update) v0 30 1" xfId="824" xr:uid="{00000000-0005-0000-0000-0000E2020000}"/>
    <cellStyle name="%_NRA_model_for_NEMO2 (EMC Update) v0.20_NRA_model_for_NEMO2 (EMC Update) v0.21_NRA_model_for_NEMO2 (EMC Update) v0.26_NRA_model_for_NEMO2 (EMC Update) v0.29_NRA_model_for_NEMO2 (EMC Update) v0.29.2_NRA_model_for_NEMO2 (EMC Update) v0.29.3" xfId="825" xr:uid="{00000000-0005-0000-0000-0000E3020000}"/>
    <cellStyle name="%_NRA_model_for_NEMO2 (EMC Update) v0.20_NRA_model_for_NEMO2 (EMC Update) v0.21_NRA_model_for_NEMO2 (EMC Update) v0.26_NRA_model_for_NEMO2 (EMC Update) v0.29_NRA_model_for_NEMO2 (EMC Update) v0.29.2_NRA_model_for_NEMO2 (EMC Update) v0.29.4" xfId="826" xr:uid="{00000000-0005-0000-0000-0000E4020000}"/>
    <cellStyle name="%_NRA_model_for_NEMO2 (EMC Update) v0.20_NRA_model_for_NEMO2 (EMC Update) v0.21_NRA_model_for_NEMO2 (EMC Update) v0.26_NRA_model_for_NEMO2 (EMC Update) v0.29_NRA_model_for_NEMO2 (EMC Update) v0.29.2_NRA_model_for_NEMO2 (EMC Update) v0.29.5" xfId="827" xr:uid="{00000000-0005-0000-0000-0000E5020000}"/>
    <cellStyle name="%_NRA_model_for_NEMO2 (EMC Update) v0.20_NRA_model_for_NEMO2 (EMC Update) v0.21_NRA_model_for_NEMO2 (EMC Update) v0.26_NRA_model_for_NEMO2 (EMC Update) v0.29_NRA_model_for_NEMO2 (EMC Update) v0.29.3" xfId="828" xr:uid="{00000000-0005-0000-0000-0000E6020000}"/>
    <cellStyle name="%_NRA_model_for_NEMO2 (EMC Update) v0.20_NRA_model_for_NEMO2 (EMC Update) v0.21_NRA_model_for_NEMO2 (EMC Update) v0.26_NRA_model_for_NEMO2 (EMC Update) v0.29_NRA_model_for_NEMO2 (EMC Update) v0.29.3_NRA_model_for_NEMO2 (EMC Update) v0 30 1" xfId="829" xr:uid="{00000000-0005-0000-0000-0000E7020000}"/>
    <cellStyle name="%_NRA_model_for_NEMO2 (EMC Update) v0.20_NRA_model_for_NEMO2 (EMC Update) v0.21_NRA_model_for_NEMO2 (EMC Update) v0.26_NRA_model_for_NEMO2 (EMC Update) v0.29_NRA_model_for_NEMO2 (EMC Update) v0.29.3_NRA_model_for_NEMO2 (EMC Update) v0.29.5" xfId="830" xr:uid="{00000000-0005-0000-0000-0000E8020000}"/>
    <cellStyle name="%_NRA_model_for_NEMO2 (EMC Update) v0.20_NRA_model_for_NEMO2 (EMC Update) v0.21_NRA_model_for_NEMO2 (EMC Update) v0.26_NRA_model_for_NEMO2 (EMC Update) v0.29_NRA_model_for_NEMO2 (EMC Update) v0.29.4" xfId="831" xr:uid="{00000000-0005-0000-0000-0000E9020000}"/>
    <cellStyle name="%_NRA_model_for_NEMO2 (EMC Update) v0.20_NRA_model_for_NEMO2 (EMC Update) v0.21_NRA_model_for_NEMO2 (EMC Update) v0.26_NRA_model_for_NEMO2 (EMC Update) v0.29_NRA_model_for_NEMO2 (EMC Update) v0.29.4_NRA_model_for_NEMO2 (EMC Update) v0 30 1" xfId="832" xr:uid="{00000000-0005-0000-0000-0000EA020000}"/>
    <cellStyle name="%_NRA_model_for_NEMO2 (EMC Update) v0.20_NRA_model_for_NEMO2 (EMC Update) v0.21_NRA_model_for_NEMO2 (EMC Update) v0.26_NRA_model_for_NEMO2 (EMC Update) v0.29_NRA_model_for_NEMO2 (EMC Update) v0.29.4_NRA_model_for_NEMO2 (EMC Update) v0.29.5" xfId="833" xr:uid="{00000000-0005-0000-0000-0000EB020000}"/>
    <cellStyle name="%_NRA_model_for_NEMO2 (EMC Update) v0.20_NRA_model_for_NEMO2 (EMC Update) v0.21_NRA_model_for_NEMO2 (EMC Update) v0.26_NRA_model_for_NEMO2 (EMC Update) v0.29_NRA_model_for_NEMO2 (EMC Update) v0.29.5" xfId="834" xr:uid="{00000000-0005-0000-0000-0000EC020000}"/>
    <cellStyle name="%_NRA_model_for_NEMO2 (EMC Update) v0.20_NRA_model_for_NEMO2 (EMC Update) v0.21_NRA_model_for_NEMO2 (EMC Update) v0.26_NRA_model_for_NEMO2 (EMC Update) v0.29_NRA_model_for_NEMO2 (EMC Update) v0.29.5_NRA_model_for_NEMO2 (EMC Update) v0 30 1" xfId="835" xr:uid="{00000000-0005-0000-0000-0000ED020000}"/>
    <cellStyle name="%_NRA_model_for_NEMO2 (EMC Update) v0.20_NRA_model_for_NEMO2 (EMC Update) v0.21_NRA_model_for_NEMO2 (EMC Update) v0.29" xfId="836" xr:uid="{00000000-0005-0000-0000-0000EE020000}"/>
    <cellStyle name="%_NRA_model_for_NEMO2 (EMC Update) v0.20_NRA_model_for_NEMO2 (EMC Update) v0.21_NRA_model_for_NEMO2 (EMC Update) v0.29.2" xfId="837" xr:uid="{00000000-0005-0000-0000-0000EF020000}"/>
    <cellStyle name="%_NRA_model_for_NEMO2 (EMC Update) v0.20_NRA_model_for_NEMO2 (EMC Update) v0.21_NRA_model_for_NEMO2 (EMC Update) v0.29.2_NRA_model_for_NEMO2 (EMC Update) v0 30 1" xfId="838" xr:uid="{00000000-0005-0000-0000-0000F0020000}"/>
    <cellStyle name="%_NRA_model_for_NEMO2 (EMC Update) v0.20_NRA_model_for_NEMO2 (EMC Update) v0.21_NRA_model_for_NEMO2 (EMC Update) v0.29.2_NRA_model_for_NEMO2 (EMC Update) v0.29.3" xfId="839" xr:uid="{00000000-0005-0000-0000-0000F1020000}"/>
    <cellStyle name="%_NRA_model_for_NEMO2 (EMC Update) v0.20_NRA_model_for_NEMO2 (EMC Update) v0.21_NRA_model_for_NEMO2 (EMC Update) v0.29.2_NRA_model_for_NEMO2 (EMC Update) v0.29.3_NRA_model_for_NEMO2 (EMC Update) v0 30 1" xfId="840" xr:uid="{00000000-0005-0000-0000-0000F2020000}"/>
    <cellStyle name="%_NRA_model_for_NEMO2 (EMC Update) v0.20_NRA_model_for_NEMO2 (EMC Update) v0.21_NRA_model_for_NEMO2 (EMC Update) v0.29.2_NRA_model_for_NEMO2 (EMC Update) v0.29.3_NRA_model_for_NEMO2 (EMC Update) v0.29.5" xfId="841" xr:uid="{00000000-0005-0000-0000-0000F3020000}"/>
    <cellStyle name="%_NRA_model_for_NEMO2 (EMC Update) v0.20_NRA_model_for_NEMO2 (EMC Update) v0.21_NRA_model_for_NEMO2 (EMC Update) v0.29.2_NRA_model_for_NEMO2 (EMC Update) v0.29.3_NRA_model_for_NEMO2 (EMC Update) v0.29.5_NRA_model_for_NEMO2 (EMC Update) v0 30 1" xfId="842" xr:uid="{00000000-0005-0000-0000-0000F4020000}"/>
    <cellStyle name="%_NRA_model_for_NEMO2 (EMC Update) v0.20_NRA_model_for_NEMO2 (EMC Update) v0.21_NRA_model_for_NEMO2 (EMC Update) v0.29.2_NRA_model_for_NEMO2 (EMC Update) v0.29.4" xfId="843" xr:uid="{00000000-0005-0000-0000-0000F5020000}"/>
    <cellStyle name="%_NRA_model_for_NEMO2 (EMC Update) v0.20_NRA_model_for_NEMO2 (EMC Update) v0.21_NRA_model_for_NEMO2 (EMC Update) v0.29.2_NRA_model_for_NEMO2 (EMC Update) v0.29.4_NRA_model_for_NEMO2 (EMC Update) v0 30 1" xfId="844" xr:uid="{00000000-0005-0000-0000-0000F6020000}"/>
    <cellStyle name="%_NRA_model_for_NEMO2 (EMC Update) v0.20_NRA_model_for_NEMO2 (EMC Update) v0.21_NRA_model_for_NEMO2 (EMC Update) v0.29.2_NRA_model_for_NEMO2 (EMC Update) v0.29.4_NRA_model_for_NEMO2 (EMC Update) v0.29.5" xfId="845" xr:uid="{00000000-0005-0000-0000-0000F7020000}"/>
    <cellStyle name="%_NRA_model_for_NEMO2 (EMC Update) v0.20_NRA_model_for_NEMO2 (EMC Update) v0.21_NRA_model_for_NEMO2 (EMC Update) v0.29.2_NRA_model_for_NEMO2 (EMC Update) v0.29.4_NRA_model_for_NEMO2 (EMC Update) v0.29.5_NRA_model_for_NEMO2 (EMC Update) v0 30 1" xfId="846" xr:uid="{00000000-0005-0000-0000-0000F8020000}"/>
    <cellStyle name="%_NRA_model_for_NEMO2 (EMC Update) v0.20_NRA_model_for_NEMO2 (EMC Update) v0.21_NRA_model_for_NEMO2 (EMC Update) v0.29.2_NRA_model_for_NEMO2 (EMC Update) v0.29.5" xfId="847" xr:uid="{00000000-0005-0000-0000-0000F9020000}"/>
    <cellStyle name="%_NRA_model_for_NEMO2 (EMC Update) v0.20_NRA_model_for_NEMO2 (EMC Update) v0.21_NRA_model_for_NEMO2 (EMC Update) v0.29.2_NRA_model_for_NEMO2 (EMC Update) v0.29.5_NRA_model_for_NEMO2 (EMC Update) v0 30 1" xfId="848" xr:uid="{00000000-0005-0000-0000-0000FA020000}"/>
    <cellStyle name="%_NRA_model_for_NEMO2 (EMC Update) v0.20_NRA_model_for_NEMO2 (EMC Update) v0.21_NRA_model_for_NEMO2 (EMC Update) v0.29.3" xfId="849" xr:uid="{00000000-0005-0000-0000-0000FB020000}"/>
    <cellStyle name="%_NRA_model_for_NEMO2 (EMC Update) v0.20_NRA_model_for_NEMO2 (EMC Update) v0.21_NRA_model_for_NEMO2 (EMC Update) v0.29.3_NRA_model_for_NEMO2 (EMC Update) v0 30 1" xfId="850" xr:uid="{00000000-0005-0000-0000-0000FC020000}"/>
    <cellStyle name="%_NRA_model_for_NEMO2 (EMC Update) v0.20_NRA_model_for_NEMO2 (EMC Update) v0.21_NRA_model_for_NEMO2 (EMC Update) v0.29.3_NRA_model_for_NEMO2 (EMC Update) v0.29.5" xfId="851" xr:uid="{00000000-0005-0000-0000-0000FD020000}"/>
    <cellStyle name="%_NRA_model_for_NEMO2 (EMC Update) v0.20_NRA_model_for_NEMO2 (EMC Update) v0.21_NRA_model_for_NEMO2 (EMC Update) v0.29.3_NRA_model_for_NEMO2 (EMC Update) v0.29.5_NRA_model_for_NEMO2 (EMC Update) v0 30 1" xfId="852" xr:uid="{00000000-0005-0000-0000-0000FE020000}"/>
    <cellStyle name="%_NRA_model_for_NEMO2 (EMC Update) v0.20_NRA_model_for_NEMO2 (EMC Update) v0.21_NRA_model_for_NEMO2 (EMC Update) v0.29.4" xfId="853" xr:uid="{00000000-0005-0000-0000-0000FF020000}"/>
    <cellStyle name="%_NRA_model_for_NEMO2 (EMC Update) v0.20_NRA_model_for_NEMO2 (EMC Update) v0.21_NRA_model_for_NEMO2 (EMC Update) v0.29.4_NRA_model_for_NEMO2 (EMC Update) v0 30 1" xfId="854" xr:uid="{00000000-0005-0000-0000-000000030000}"/>
    <cellStyle name="%_NRA_model_for_NEMO2 (EMC Update) v0.20_NRA_model_for_NEMO2 (EMC Update) v0.21_NRA_model_for_NEMO2 (EMC Update) v0.29.4_NRA_model_for_NEMO2 (EMC Update) v0.29.5" xfId="855" xr:uid="{00000000-0005-0000-0000-000001030000}"/>
    <cellStyle name="%_NRA_model_for_NEMO2 (EMC Update) v0.20_NRA_model_for_NEMO2 (EMC Update) v0.21_NRA_model_for_NEMO2 (EMC Update) v0.29.4_NRA_model_for_NEMO2 (EMC Update) v0.29.5_NRA_model_for_NEMO2 (EMC Update) v0 30 1" xfId="856" xr:uid="{00000000-0005-0000-0000-000002030000}"/>
    <cellStyle name="%_NRA_model_for_NEMO2 (EMC Update) v0.20_NRA_model_for_NEMO2 (EMC Update) v0.21_NRA_model_for_NEMO2 (EMC Update) v0.29.5" xfId="857" xr:uid="{00000000-0005-0000-0000-000003030000}"/>
    <cellStyle name="%_NRA_model_for_NEMO2 (EMC Update) v0.20_NRA_model_for_NEMO2 (EMC Update) v0.21_NRA_model_for_NEMO2 (EMC Update) v0.29.5_NRA_model_for_NEMO2 (EMC Update) v0 30 1" xfId="858" xr:uid="{00000000-0005-0000-0000-000004030000}"/>
    <cellStyle name="%_NRA_model_for_NEMO2 (EMC Update) v0.20_NRA_model_for_NEMO2 (EMC Update) v0.21_NRA_model_for_NEMO2 (EMC Update) v0.29_NRA_model_for_NEMO2 (EMC Update) v0 30 1" xfId="859" xr:uid="{00000000-0005-0000-0000-000005030000}"/>
    <cellStyle name="%_NRA_model_for_NEMO2 (EMC Update) v0.20_NRA_model_for_NEMO2 (EMC Update) v0.21_NRA_model_for_NEMO2 (EMC Update) v0.29_NRA_model_for_NEMO2 (EMC Update) v0.29.2" xfId="860" xr:uid="{00000000-0005-0000-0000-000006030000}"/>
    <cellStyle name="%_NRA_model_for_NEMO2 (EMC Update) v0.20_NRA_model_for_NEMO2 (EMC Update) v0.21_NRA_model_for_NEMO2 (EMC Update) v0.29_NRA_model_for_NEMO2 (EMC Update) v0.29.2_NRA_model_for_NEMO2 (EMC Update) v0 30 1" xfId="861" xr:uid="{00000000-0005-0000-0000-000007030000}"/>
    <cellStyle name="%_NRA_model_for_NEMO2 (EMC Update) v0.20_NRA_model_for_NEMO2 (EMC Update) v0.21_NRA_model_for_NEMO2 (EMC Update) v0.29_NRA_model_for_NEMO2 (EMC Update) v0.29.2_NRA_model_for_NEMO2 (EMC Update) v0.29.3" xfId="862" xr:uid="{00000000-0005-0000-0000-000008030000}"/>
    <cellStyle name="%_NRA_model_for_NEMO2 (EMC Update) v0.20_NRA_model_for_NEMO2 (EMC Update) v0.21_NRA_model_for_NEMO2 (EMC Update) v0.29_NRA_model_for_NEMO2 (EMC Update) v0.29.2_NRA_model_for_NEMO2 (EMC Update) v0.29.3_NRA_model_for_NEMO2 (EMC Update) v0 30 1" xfId="863" xr:uid="{00000000-0005-0000-0000-000009030000}"/>
    <cellStyle name="%_NRA_model_for_NEMO2 (EMC Update) v0.20_NRA_model_for_NEMO2 (EMC Update) v0.21_NRA_model_for_NEMO2 (EMC Update) v0.29_NRA_model_for_NEMO2 (EMC Update) v0.29.2_NRA_model_for_NEMO2 (EMC Update) v0.29.3_NRA_model_for_NEMO2 (EMC Update) v0.29.5" xfId="864" xr:uid="{00000000-0005-0000-0000-00000A030000}"/>
    <cellStyle name="%_NRA_model_for_NEMO2 (EMC Update) v0.20_NRA_model_for_NEMO2 (EMC Update) v0.21_NRA_model_for_NEMO2 (EMC Update) v0.29_NRA_model_for_NEMO2 (EMC Update) v0.29.2_NRA_model_for_NEMO2 (EMC Update) v0.29.4" xfId="865" xr:uid="{00000000-0005-0000-0000-00000B030000}"/>
    <cellStyle name="%_NRA_model_for_NEMO2 (EMC Update) v0.20_NRA_model_for_NEMO2 (EMC Update) v0.21_NRA_model_for_NEMO2 (EMC Update) v0.29_NRA_model_for_NEMO2 (EMC Update) v0.29.2_NRA_model_for_NEMO2 (EMC Update) v0.29.4_NRA_model_for_NEMO2 (EMC Update) v0 30 1" xfId="866" xr:uid="{00000000-0005-0000-0000-00000C030000}"/>
    <cellStyle name="%_NRA_model_for_NEMO2 (EMC Update) v0.20_NRA_model_for_NEMO2 (EMC Update) v0.21_NRA_model_for_NEMO2 (EMC Update) v0.29_NRA_model_for_NEMO2 (EMC Update) v0.29.2_NRA_model_for_NEMO2 (EMC Update) v0.29.4_NRA_model_for_NEMO2 (EMC Update) v0.29.5" xfId="867" xr:uid="{00000000-0005-0000-0000-00000D030000}"/>
    <cellStyle name="%_NRA_model_for_NEMO2 (EMC Update) v0.20_NRA_model_for_NEMO2 (EMC Update) v0.21_NRA_model_for_NEMO2 (EMC Update) v0.29_NRA_model_for_NEMO2 (EMC Update) v0.29.2_NRA_model_for_NEMO2 (EMC Update) v0.29.5" xfId="868" xr:uid="{00000000-0005-0000-0000-00000E030000}"/>
    <cellStyle name="%_NRA_model_for_NEMO2 (EMC Update) v0.20_NRA_model_for_NEMO2 (EMC Update) v0.21_NRA_model_for_NEMO2 (EMC Update) v0.29_NRA_model_for_NEMO2 (EMC Update) v0.29.2_NRA_model_for_NEMO2 (EMC Update) v0.29.5_NRA_model_for_NEMO2 (EMC Update) v0 30 1" xfId="869" xr:uid="{00000000-0005-0000-0000-00000F030000}"/>
    <cellStyle name="%_NRA_model_for_NEMO2 (EMC Update) v0.20_NRA_model_for_NEMO2 (EMC Update) v0.21_NRA_model_for_NEMO2 (EMC Update) v0.29_NRA_model_for_NEMO2 (EMC Update) v0.29.3" xfId="870" xr:uid="{00000000-0005-0000-0000-000010030000}"/>
    <cellStyle name="%_NRA_model_for_NEMO2 (EMC Update) v0.20_NRA_model_for_NEMO2 (EMC Update) v0.21_NRA_model_for_NEMO2 (EMC Update) v0.29_NRA_model_for_NEMO2 (EMC Update) v0.29.3_NRA_model_for_NEMO2 (EMC Update) v0 30 1" xfId="871" xr:uid="{00000000-0005-0000-0000-000011030000}"/>
    <cellStyle name="%_NRA_model_for_NEMO2 (EMC Update) v0.20_NRA_model_for_NEMO2 (EMC Update) v0.21_NRA_model_for_NEMO2 (EMC Update) v0.29_NRA_model_for_NEMO2 (EMC Update) v0.29.3_NRA_model_for_NEMO2 (EMC Update) v0.29.5" xfId="872" xr:uid="{00000000-0005-0000-0000-000012030000}"/>
    <cellStyle name="%_NRA_model_for_NEMO2 (EMC Update) v0.20_NRA_model_for_NEMO2 (EMC Update) v0.21_NRA_model_for_NEMO2 (EMC Update) v0.29_NRA_model_for_NEMO2 (EMC Update) v0.29.3_NRA_model_for_NEMO2 (EMC Update) v0.29.5_NRA_model_for_NEMO2 (EMC Update) v0 30 1" xfId="873" xr:uid="{00000000-0005-0000-0000-000013030000}"/>
    <cellStyle name="%_NRA_model_for_NEMO2 (EMC Update) v0.20_NRA_model_for_NEMO2 (EMC Update) v0.21_NRA_model_for_NEMO2 (EMC Update) v0.29_NRA_model_for_NEMO2 (EMC Update) v0.29.4" xfId="874" xr:uid="{00000000-0005-0000-0000-000014030000}"/>
    <cellStyle name="%_NRA_model_for_NEMO2 (EMC Update) v0.20_NRA_model_for_NEMO2 (EMC Update) v0.21_NRA_model_for_NEMO2 (EMC Update) v0.29_NRA_model_for_NEMO2 (EMC Update) v0.29.4_NRA_model_for_NEMO2 (EMC Update) v0 30 1" xfId="875" xr:uid="{00000000-0005-0000-0000-000015030000}"/>
    <cellStyle name="%_NRA_model_for_NEMO2 (EMC Update) v0.20_NRA_model_for_NEMO2 (EMC Update) v0.21_NRA_model_for_NEMO2 (EMC Update) v0.29_NRA_model_for_NEMO2 (EMC Update) v0.29.4_NRA_model_for_NEMO2 (EMC Update) v0.29.5" xfId="876" xr:uid="{00000000-0005-0000-0000-000016030000}"/>
    <cellStyle name="%_NRA_model_for_NEMO2 (EMC Update) v0.20_NRA_model_for_NEMO2 (EMC Update) v0.21_NRA_model_for_NEMO2 (EMC Update) v0.29_NRA_model_for_NEMO2 (EMC Update) v0.29.4_NRA_model_for_NEMO2 (EMC Update) v0.29.5_NRA_model_for_NEMO2 (EMC Update) v0 30 1" xfId="877" xr:uid="{00000000-0005-0000-0000-000017030000}"/>
    <cellStyle name="%_NRA_model_for_NEMO2 (EMC Update) v0.20_NRA_model_for_NEMO2 (EMC Update) v0.21_NRA_model_for_NEMO2 (EMC Update) v0.29_NRA_model_for_NEMO2 (EMC Update) v0.29.5" xfId="878" xr:uid="{00000000-0005-0000-0000-000018030000}"/>
    <cellStyle name="%_NRA_model_for_NEMO2 (EMC Update) v0.20_NRA_model_for_NEMO2 (EMC Update) v0.21_NRA_model_for_NEMO2 (EMC Update) v0.29_NRA_model_for_NEMO2 (EMC Update) v0.29.5_NRA_model_for_NEMO2 (EMC Update) v0 30 1" xfId="879" xr:uid="{00000000-0005-0000-0000-000019030000}"/>
    <cellStyle name="%_NRA_model_for_NEMO2 (EMC Update) v0.20_NRA_model_for_NEMO2 (EMC Update) v0.22" xfId="880" xr:uid="{00000000-0005-0000-0000-00001A030000}"/>
    <cellStyle name="%_NRA_model_for_NEMO2 (EMC Update) v0.20_NRA_model_for_NEMO2 (EMC Update) v0.22_NRA_model_for_NEMO2 (EMC Update) v0 30 1" xfId="881" xr:uid="{00000000-0005-0000-0000-00001B030000}"/>
    <cellStyle name="%_NRA_model_for_NEMO2 (EMC Update) v0.20_NRA_model_for_NEMO2 (EMC Update) v0.22_NRA_model_for_NEMO2 (EMC Update) v0.25" xfId="882" xr:uid="{00000000-0005-0000-0000-00001C030000}"/>
    <cellStyle name="%_NRA_model_for_NEMO2 (EMC Update) v0.20_NRA_model_for_NEMO2 (EMC Update) v0.22_NRA_model_for_NEMO2 (EMC Update) v0.25_NRA_model_for_NEMO2 (EMC Update) v0 30 1" xfId="883" xr:uid="{00000000-0005-0000-0000-00001D030000}"/>
    <cellStyle name="%_NRA_model_for_NEMO2 (EMC Update) v0.20_NRA_model_for_NEMO2 (EMC Update) v0.22_NRA_model_for_NEMO2 (EMC Update) v0.25_NRA_model_for_NEMO2 (EMC Update) v0.26" xfId="884" xr:uid="{00000000-0005-0000-0000-00001E030000}"/>
    <cellStyle name="%_NRA_model_for_NEMO2 (EMC Update) v0.20_NRA_model_for_NEMO2 (EMC Update) v0.22_NRA_model_for_NEMO2 (EMC Update) v0.25_NRA_model_for_NEMO2 (EMC Update) v0.26_NRA_model_for_NEMO2 (EMC Update) v0 30 1" xfId="885" xr:uid="{00000000-0005-0000-0000-00001F030000}"/>
    <cellStyle name="%_NRA_model_for_NEMO2 (EMC Update) v0.20_NRA_model_for_NEMO2 (EMC Update) v0.22_NRA_model_for_NEMO2 (EMC Update) v0.25_NRA_model_for_NEMO2 (EMC Update) v0.26_NRA_model_for_NEMO2 (EMC Update) v0.29" xfId="886" xr:uid="{00000000-0005-0000-0000-000020030000}"/>
    <cellStyle name="%_NRA_model_for_NEMO2 (EMC Update) v0.20_NRA_model_for_NEMO2 (EMC Update) v0.22_NRA_model_for_NEMO2 (EMC Update) v0.25_NRA_model_for_NEMO2 (EMC Update) v0.26_NRA_model_for_NEMO2 (EMC Update) v0.29.2" xfId="887" xr:uid="{00000000-0005-0000-0000-000021030000}"/>
    <cellStyle name="%_NRA_model_for_NEMO2 (EMC Update) v0.20_NRA_model_for_NEMO2 (EMC Update) v0.22_NRA_model_for_NEMO2 (EMC Update) v0.25_NRA_model_for_NEMO2 (EMC Update) v0.26_NRA_model_for_NEMO2 (EMC Update) v0.29.2_NRA_model_for_NEMO2 (EMC Update) v0 30 1" xfId="888" xr:uid="{00000000-0005-0000-0000-000022030000}"/>
    <cellStyle name="%_NRA_model_for_NEMO2 (EMC Update) v0.20_NRA_model_for_NEMO2 (EMC Update) v0.22_NRA_model_for_NEMO2 (EMC Update) v0.25_NRA_model_for_NEMO2 (EMC Update) v0.26_NRA_model_for_NEMO2 (EMC Update) v0.29.2_NRA_model_for_NEMO2 (EMC Update) v0.29.3" xfId="889" xr:uid="{00000000-0005-0000-0000-000023030000}"/>
    <cellStyle name="%_NRA_model_for_NEMO2 (EMC Update) v0.20_NRA_model_for_NEMO2 (EMC Update) v0.22_NRA_model_for_NEMO2 (EMC Update) v0.25_NRA_model_for_NEMO2 (EMC Update) v0.26_NRA_model_for_NEMO2 (EMC Update) v0.29.2_NRA_model_for_NEMO2 (EMC Update) v0.29.4" xfId="890" xr:uid="{00000000-0005-0000-0000-000024030000}"/>
    <cellStyle name="%_NRA_model_for_NEMO2 (EMC Update) v0.20_NRA_model_for_NEMO2 (EMC Update) v0.22_NRA_model_for_NEMO2 (EMC Update) v0.25_NRA_model_for_NEMO2 (EMC Update) v0.26_NRA_model_for_NEMO2 (EMC Update) v0.29.2_NRA_model_for_NEMO2 (EMC Update) v0.29.5" xfId="891" xr:uid="{00000000-0005-0000-0000-000025030000}"/>
    <cellStyle name="%_NRA_model_for_NEMO2 (EMC Update) v0.20_NRA_model_for_NEMO2 (EMC Update) v0.22_NRA_model_for_NEMO2 (EMC Update) v0.25_NRA_model_for_NEMO2 (EMC Update) v0.26_NRA_model_for_NEMO2 (EMC Update) v0.29.3" xfId="892" xr:uid="{00000000-0005-0000-0000-000026030000}"/>
    <cellStyle name="%_NRA_model_for_NEMO2 (EMC Update) v0.20_NRA_model_for_NEMO2 (EMC Update) v0.22_NRA_model_for_NEMO2 (EMC Update) v0.25_NRA_model_for_NEMO2 (EMC Update) v0.26_NRA_model_for_NEMO2 (EMC Update) v0.29.3_NRA_model_for_NEMO2 (EMC Update) v0 30 1" xfId="893" xr:uid="{00000000-0005-0000-0000-000027030000}"/>
    <cellStyle name="%_NRA_model_for_NEMO2 (EMC Update) v0.20_NRA_model_for_NEMO2 (EMC Update) v0.22_NRA_model_for_NEMO2 (EMC Update) v0.25_NRA_model_for_NEMO2 (EMC Update) v0.26_NRA_model_for_NEMO2 (EMC Update) v0.29.3_NRA_model_for_NEMO2 (EMC Update) v0.29.5" xfId="894" xr:uid="{00000000-0005-0000-0000-000028030000}"/>
    <cellStyle name="%_NRA_model_for_NEMO2 (EMC Update) v0.20_NRA_model_for_NEMO2 (EMC Update) v0.22_NRA_model_for_NEMO2 (EMC Update) v0.25_NRA_model_for_NEMO2 (EMC Update) v0.26_NRA_model_for_NEMO2 (EMC Update) v0.29.4" xfId="895" xr:uid="{00000000-0005-0000-0000-000029030000}"/>
    <cellStyle name="%_NRA_model_for_NEMO2 (EMC Update) v0.20_NRA_model_for_NEMO2 (EMC Update) v0.22_NRA_model_for_NEMO2 (EMC Update) v0.25_NRA_model_for_NEMO2 (EMC Update) v0.26_NRA_model_for_NEMO2 (EMC Update) v0.29.4_NRA_model_for_NEMO2 (EMC Update) v0 30 1" xfId="896" xr:uid="{00000000-0005-0000-0000-00002A030000}"/>
    <cellStyle name="%_NRA_model_for_NEMO2 (EMC Update) v0.20_NRA_model_for_NEMO2 (EMC Update) v0.22_NRA_model_for_NEMO2 (EMC Update) v0.25_NRA_model_for_NEMO2 (EMC Update) v0.26_NRA_model_for_NEMO2 (EMC Update) v0.29.4_NRA_model_for_NEMO2 (EMC Update) v0.29.5" xfId="897" xr:uid="{00000000-0005-0000-0000-00002B030000}"/>
    <cellStyle name="%_NRA_model_for_NEMO2 (EMC Update) v0.20_NRA_model_for_NEMO2 (EMC Update) v0.22_NRA_model_for_NEMO2 (EMC Update) v0.25_NRA_model_for_NEMO2 (EMC Update) v0.26_NRA_model_for_NEMO2 (EMC Update) v0.29.5" xfId="898" xr:uid="{00000000-0005-0000-0000-00002C030000}"/>
    <cellStyle name="%_NRA_model_for_NEMO2 (EMC Update) v0.20_NRA_model_for_NEMO2 (EMC Update) v0.22_NRA_model_for_NEMO2 (EMC Update) v0.25_NRA_model_for_NEMO2 (EMC Update) v0.26_NRA_model_for_NEMO2 (EMC Update) v0.29.5_NRA_model_for_NEMO2 (EMC Update) v0 30 1" xfId="899" xr:uid="{00000000-0005-0000-0000-00002D030000}"/>
    <cellStyle name="%_NRA_model_for_NEMO2 (EMC Update) v0.20_NRA_model_for_NEMO2 (EMC Update) v0.22_NRA_model_for_NEMO2 (EMC Update) v0.25_NRA_model_for_NEMO2 (EMC Update) v0.26_NRA_model_for_NEMO2 (EMC Update) v0.29_NRA_model_for_NEMO2 (EMC Update) v0 30 1" xfId="900" xr:uid="{00000000-0005-0000-0000-00002E030000}"/>
    <cellStyle name="%_NRA_model_for_NEMO2 (EMC Update) v0.20_NRA_model_for_NEMO2 (EMC Update) v0.22_NRA_model_for_NEMO2 (EMC Update) v0.25_NRA_model_for_NEMO2 (EMC Update) v0.26_NRA_model_for_NEMO2 (EMC Update) v0.29_NRA_model_for_NEMO2 (EMC Update) v0.29.2" xfId="901" xr:uid="{00000000-0005-0000-0000-00002F030000}"/>
    <cellStyle name="%_NRA_model_for_NEMO2 (EMC Update) v0.20_NRA_model_for_NEMO2 (EMC Update) v0.22_NRA_model_for_NEMO2 (EMC Update) v0.25_NRA_model_for_NEMO2 (EMC Update) v0.26_NRA_model_for_NEMO2 (EMC Update) v0.29_NRA_model_for_NEMO2 (EMC Update) v0.29.3" xfId="902" xr:uid="{00000000-0005-0000-0000-000030030000}"/>
    <cellStyle name="%_NRA_model_for_NEMO2 (EMC Update) v0.20_NRA_model_for_NEMO2 (EMC Update) v0.22_NRA_model_for_NEMO2 (EMC Update) v0.25_NRA_model_for_NEMO2 (EMC Update) v0.26_NRA_model_for_NEMO2 (EMC Update) v0.29_NRA_model_for_NEMO2 (EMC Update) v0.29.4" xfId="903" xr:uid="{00000000-0005-0000-0000-000031030000}"/>
    <cellStyle name="%_NRA_model_for_NEMO2 (EMC Update) v0.20_NRA_model_for_NEMO2 (EMC Update) v0.22_NRA_model_for_NEMO2 (EMC Update) v0.25_NRA_model_for_NEMO2 (EMC Update) v0.26_NRA_model_for_NEMO2 (EMC Update) v0.29_NRA_model_for_NEMO2 (EMC Update) v0.29.5" xfId="904" xr:uid="{00000000-0005-0000-0000-000032030000}"/>
    <cellStyle name="%_NRA_model_for_NEMO2 (EMC Update) v0.20_NRA_model_for_NEMO2 (EMC Update) v0.22_NRA_model_for_NEMO2 (EMC Update) v0.25_NRA_model_for_NEMO2 (EMC Update) v0.29" xfId="905" xr:uid="{00000000-0005-0000-0000-000033030000}"/>
    <cellStyle name="%_NRA_model_for_NEMO2 (EMC Update) v0.20_NRA_model_for_NEMO2 (EMC Update) v0.22_NRA_model_for_NEMO2 (EMC Update) v0.25_NRA_model_for_NEMO2 (EMC Update) v0.29.2" xfId="906" xr:uid="{00000000-0005-0000-0000-000034030000}"/>
    <cellStyle name="%_NRA_model_for_NEMO2 (EMC Update) v0.20_NRA_model_for_NEMO2 (EMC Update) v0.22_NRA_model_for_NEMO2 (EMC Update) v0.25_NRA_model_for_NEMO2 (EMC Update) v0.29.2_NRA_model_for_NEMO2 (EMC Update) v0 30 1" xfId="907" xr:uid="{00000000-0005-0000-0000-000035030000}"/>
    <cellStyle name="%_NRA_model_for_NEMO2 (EMC Update) v0.20_NRA_model_for_NEMO2 (EMC Update) v0.22_NRA_model_for_NEMO2 (EMC Update) v0.25_NRA_model_for_NEMO2 (EMC Update) v0.29.2_NRA_model_for_NEMO2 (EMC Update) v0.29.3" xfId="908" xr:uid="{00000000-0005-0000-0000-000036030000}"/>
    <cellStyle name="%_NRA_model_for_NEMO2 (EMC Update) v0.20_NRA_model_for_NEMO2 (EMC Update) v0.22_NRA_model_for_NEMO2 (EMC Update) v0.25_NRA_model_for_NEMO2 (EMC Update) v0.29.2_NRA_model_for_NEMO2 (EMC Update) v0.29.3_NRA_model_for_NEMO2 (EMC Update) v0 30 1" xfId="909" xr:uid="{00000000-0005-0000-0000-000037030000}"/>
    <cellStyle name="%_NRA_model_for_NEMO2 (EMC Update) v0.20_NRA_model_for_NEMO2 (EMC Update) v0.22_NRA_model_for_NEMO2 (EMC Update) v0.25_NRA_model_for_NEMO2 (EMC Update) v0.29.2_NRA_model_for_NEMO2 (EMC Update) v0.29.3_NRA_model_for_NEMO2 (EMC Update) v0.29.5" xfId="910" xr:uid="{00000000-0005-0000-0000-000038030000}"/>
    <cellStyle name="%_NRA_model_for_NEMO2 (EMC Update) v0.20_NRA_model_for_NEMO2 (EMC Update) v0.22_NRA_model_for_NEMO2 (EMC Update) v0.25_NRA_model_for_NEMO2 (EMC Update) v0.29.2_NRA_model_for_NEMO2 (EMC Update) v0.29.4" xfId="911" xr:uid="{00000000-0005-0000-0000-000039030000}"/>
    <cellStyle name="%_NRA_model_for_NEMO2 (EMC Update) v0.20_NRA_model_for_NEMO2 (EMC Update) v0.22_NRA_model_for_NEMO2 (EMC Update) v0.25_NRA_model_for_NEMO2 (EMC Update) v0.29.2_NRA_model_for_NEMO2 (EMC Update) v0.29.4_NRA_model_for_NEMO2 (EMC Update) v0 30 1" xfId="912" xr:uid="{00000000-0005-0000-0000-00003A030000}"/>
    <cellStyle name="%_NRA_model_for_NEMO2 (EMC Update) v0.20_NRA_model_for_NEMO2 (EMC Update) v0.22_NRA_model_for_NEMO2 (EMC Update) v0.25_NRA_model_for_NEMO2 (EMC Update) v0.29.2_NRA_model_for_NEMO2 (EMC Update) v0.29.4_NRA_model_for_NEMO2 (EMC Update) v0.29.5" xfId="913" xr:uid="{00000000-0005-0000-0000-00003B030000}"/>
    <cellStyle name="%_NRA_model_for_NEMO2 (EMC Update) v0.20_NRA_model_for_NEMO2 (EMC Update) v0.22_NRA_model_for_NEMO2 (EMC Update) v0.25_NRA_model_for_NEMO2 (EMC Update) v0.29.2_NRA_model_for_NEMO2 (EMC Update) v0.29.5" xfId="914" xr:uid="{00000000-0005-0000-0000-00003C030000}"/>
    <cellStyle name="%_NRA_model_for_NEMO2 (EMC Update) v0.20_NRA_model_for_NEMO2 (EMC Update) v0.22_NRA_model_for_NEMO2 (EMC Update) v0.25_NRA_model_for_NEMO2 (EMC Update) v0.29.2_NRA_model_for_NEMO2 (EMC Update) v0.29.5_NRA_model_for_NEMO2 (EMC Update) v0 30 1" xfId="915" xr:uid="{00000000-0005-0000-0000-00003D030000}"/>
    <cellStyle name="%_NRA_model_for_NEMO2 (EMC Update) v0.20_NRA_model_for_NEMO2 (EMC Update) v0.22_NRA_model_for_NEMO2 (EMC Update) v0.25_NRA_model_for_NEMO2 (EMC Update) v0.29.3" xfId="916" xr:uid="{00000000-0005-0000-0000-00003E030000}"/>
    <cellStyle name="%_NRA_model_for_NEMO2 (EMC Update) v0.20_NRA_model_for_NEMO2 (EMC Update) v0.22_NRA_model_for_NEMO2 (EMC Update) v0.25_NRA_model_for_NEMO2 (EMC Update) v0.29.3_NRA_model_for_NEMO2 (EMC Update) v0 30 1" xfId="917" xr:uid="{00000000-0005-0000-0000-00003F030000}"/>
    <cellStyle name="%_NRA_model_for_NEMO2 (EMC Update) v0.20_NRA_model_for_NEMO2 (EMC Update) v0.22_NRA_model_for_NEMO2 (EMC Update) v0.25_NRA_model_for_NEMO2 (EMC Update) v0.29.3_NRA_model_for_NEMO2 (EMC Update) v0.29.5" xfId="918" xr:uid="{00000000-0005-0000-0000-000040030000}"/>
    <cellStyle name="%_NRA_model_for_NEMO2 (EMC Update) v0.20_NRA_model_for_NEMO2 (EMC Update) v0.22_NRA_model_for_NEMO2 (EMC Update) v0.25_NRA_model_for_NEMO2 (EMC Update) v0.29.3_NRA_model_for_NEMO2 (EMC Update) v0.29.5_NRA_model_for_NEMO2 (EMC Update) v0 30 1" xfId="919" xr:uid="{00000000-0005-0000-0000-000041030000}"/>
    <cellStyle name="%_NRA_model_for_NEMO2 (EMC Update) v0.20_NRA_model_for_NEMO2 (EMC Update) v0.22_NRA_model_for_NEMO2 (EMC Update) v0.25_NRA_model_for_NEMO2 (EMC Update) v0.29.4" xfId="920" xr:uid="{00000000-0005-0000-0000-000042030000}"/>
    <cellStyle name="%_NRA_model_for_NEMO2 (EMC Update) v0.20_NRA_model_for_NEMO2 (EMC Update) v0.22_NRA_model_for_NEMO2 (EMC Update) v0.25_NRA_model_for_NEMO2 (EMC Update) v0.29.4_NRA_model_for_NEMO2 (EMC Update) v0 30 1" xfId="921" xr:uid="{00000000-0005-0000-0000-000043030000}"/>
    <cellStyle name="%_NRA_model_for_NEMO2 (EMC Update) v0.20_NRA_model_for_NEMO2 (EMC Update) v0.22_NRA_model_for_NEMO2 (EMC Update) v0.25_NRA_model_for_NEMO2 (EMC Update) v0.29.4_NRA_model_for_NEMO2 (EMC Update) v0.29.5" xfId="922" xr:uid="{00000000-0005-0000-0000-000044030000}"/>
    <cellStyle name="%_NRA_model_for_NEMO2 (EMC Update) v0.20_NRA_model_for_NEMO2 (EMC Update) v0.22_NRA_model_for_NEMO2 (EMC Update) v0.25_NRA_model_for_NEMO2 (EMC Update) v0.29.4_NRA_model_for_NEMO2 (EMC Update) v0.29.5_NRA_model_for_NEMO2 (EMC Update) v0 30 1" xfId="923" xr:uid="{00000000-0005-0000-0000-000045030000}"/>
    <cellStyle name="%_NRA_model_for_NEMO2 (EMC Update) v0.20_NRA_model_for_NEMO2 (EMC Update) v0.22_NRA_model_for_NEMO2 (EMC Update) v0.25_NRA_model_for_NEMO2 (EMC Update) v0.29.5" xfId="924" xr:uid="{00000000-0005-0000-0000-000046030000}"/>
    <cellStyle name="%_NRA_model_for_NEMO2 (EMC Update) v0.20_NRA_model_for_NEMO2 (EMC Update) v0.22_NRA_model_for_NEMO2 (EMC Update) v0.25_NRA_model_for_NEMO2 (EMC Update) v0.29.5_NRA_model_for_NEMO2 (EMC Update) v0 30 1" xfId="925" xr:uid="{00000000-0005-0000-0000-000047030000}"/>
    <cellStyle name="%_NRA_model_for_NEMO2 (EMC Update) v0.20_NRA_model_for_NEMO2 (EMC Update) v0.22_NRA_model_for_NEMO2 (EMC Update) v0.25_NRA_model_for_NEMO2 (EMC Update) v0.29_NRA_model_for_NEMO2 (EMC Update) v0 30 1" xfId="926" xr:uid="{00000000-0005-0000-0000-000048030000}"/>
    <cellStyle name="%_NRA_model_for_NEMO2 (EMC Update) v0.20_NRA_model_for_NEMO2 (EMC Update) v0.22_NRA_model_for_NEMO2 (EMC Update) v0.25_NRA_model_for_NEMO2 (EMC Update) v0.29_NRA_model_for_NEMO2 (EMC Update) v0.29.2" xfId="927" xr:uid="{00000000-0005-0000-0000-000049030000}"/>
    <cellStyle name="%_NRA_model_for_NEMO2 (EMC Update) v0.20_NRA_model_for_NEMO2 (EMC Update) v0.22_NRA_model_for_NEMO2 (EMC Update) v0.25_NRA_model_for_NEMO2 (EMC Update) v0.29_NRA_model_for_NEMO2 (EMC Update) v0.29.2_NRA_model_for_NEMO2 (EMC Update) v0 30 1" xfId="928" xr:uid="{00000000-0005-0000-0000-00004A030000}"/>
    <cellStyle name="%_NRA_model_for_NEMO2 (EMC Update) v0.20_NRA_model_for_NEMO2 (EMC Update) v0.22_NRA_model_for_NEMO2 (EMC Update) v0.25_NRA_model_for_NEMO2 (EMC Update) v0.29_NRA_model_for_NEMO2 (EMC Update) v0.29.2_NRA_model_for_NEMO2 (EMC Update) v0.29.3" xfId="929" xr:uid="{00000000-0005-0000-0000-00004B030000}"/>
    <cellStyle name="%_NRA_model_for_NEMO2 (EMC Update) v0.20_NRA_model_for_NEMO2 (EMC Update) v0.22_NRA_model_for_NEMO2 (EMC Update) v0.25_NRA_model_for_NEMO2 (EMC Update) v0.29_NRA_model_for_NEMO2 (EMC Update) v0.29.2_NRA_model_for_NEMO2 (EMC Update) v0.29.4" xfId="930" xr:uid="{00000000-0005-0000-0000-00004C030000}"/>
    <cellStyle name="%_NRA_model_for_NEMO2 (EMC Update) v0.20_NRA_model_for_NEMO2 (EMC Update) v0.22_NRA_model_for_NEMO2 (EMC Update) v0.25_NRA_model_for_NEMO2 (EMC Update) v0.29_NRA_model_for_NEMO2 (EMC Update) v0.29.2_NRA_model_for_NEMO2 (EMC Update) v0.29.5" xfId="931" xr:uid="{00000000-0005-0000-0000-00004D030000}"/>
    <cellStyle name="%_NRA_model_for_NEMO2 (EMC Update) v0.20_NRA_model_for_NEMO2 (EMC Update) v0.22_NRA_model_for_NEMO2 (EMC Update) v0.25_NRA_model_for_NEMO2 (EMC Update) v0.29_NRA_model_for_NEMO2 (EMC Update) v0.29.3" xfId="932" xr:uid="{00000000-0005-0000-0000-00004E030000}"/>
    <cellStyle name="%_NRA_model_for_NEMO2 (EMC Update) v0.20_NRA_model_for_NEMO2 (EMC Update) v0.22_NRA_model_for_NEMO2 (EMC Update) v0.25_NRA_model_for_NEMO2 (EMC Update) v0.29_NRA_model_for_NEMO2 (EMC Update) v0.29.3_NRA_model_for_NEMO2 (EMC Update) v0 30 1" xfId="933" xr:uid="{00000000-0005-0000-0000-00004F030000}"/>
    <cellStyle name="%_NRA_model_for_NEMO2 (EMC Update) v0.20_NRA_model_for_NEMO2 (EMC Update) v0.22_NRA_model_for_NEMO2 (EMC Update) v0.25_NRA_model_for_NEMO2 (EMC Update) v0.29_NRA_model_for_NEMO2 (EMC Update) v0.29.3_NRA_model_for_NEMO2 (EMC Update) v0.29.5" xfId="934" xr:uid="{00000000-0005-0000-0000-000050030000}"/>
    <cellStyle name="%_NRA_model_for_NEMO2 (EMC Update) v0.20_NRA_model_for_NEMO2 (EMC Update) v0.22_NRA_model_for_NEMO2 (EMC Update) v0.25_NRA_model_for_NEMO2 (EMC Update) v0.29_NRA_model_for_NEMO2 (EMC Update) v0.29.4" xfId="935" xr:uid="{00000000-0005-0000-0000-000051030000}"/>
    <cellStyle name="%_NRA_model_for_NEMO2 (EMC Update) v0.20_NRA_model_for_NEMO2 (EMC Update) v0.22_NRA_model_for_NEMO2 (EMC Update) v0.25_NRA_model_for_NEMO2 (EMC Update) v0.29_NRA_model_for_NEMO2 (EMC Update) v0.29.4_NRA_model_for_NEMO2 (EMC Update) v0 30 1" xfId="936" xr:uid="{00000000-0005-0000-0000-000052030000}"/>
    <cellStyle name="%_NRA_model_for_NEMO2 (EMC Update) v0.20_NRA_model_for_NEMO2 (EMC Update) v0.22_NRA_model_for_NEMO2 (EMC Update) v0.25_NRA_model_for_NEMO2 (EMC Update) v0.29_NRA_model_for_NEMO2 (EMC Update) v0.29.4_NRA_model_for_NEMO2 (EMC Update) v0.29.5" xfId="937" xr:uid="{00000000-0005-0000-0000-000053030000}"/>
    <cellStyle name="%_NRA_model_for_NEMO2 (EMC Update) v0.20_NRA_model_for_NEMO2 (EMC Update) v0.22_NRA_model_for_NEMO2 (EMC Update) v0.25_NRA_model_for_NEMO2 (EMC Update) v0.29_NRA_model_for_NEMO2 (EMC Update) v0.29.5" xfId="938" xr:uid="{00000000-0005-0000-0000-000054030000}"/>
    <cellStyle name="%_NRA_model_for_NEMO2 (EMC Update) v0.20_NRA_model_for_NEMO2 (EMC Update) v0.22_NRA_model_for_NEMO2 (EMC Update) v0.25_NRA_model_for_NEMO2 (EMC Update) v0.29_NRA_model_for_NEMO2 (EMC Update) v0.29.5_NRA_model_for_NEMO2 (EMC Update) v0 30 1" xfId="939" xr:uid="{00000000-0005-0000-0000-000055030000}"/>
    <cellStyle name="%_NRA_model_for_NEMO2 (EMC Update) v0.20_NRA_model_for_NEMO2 (EMC Update) v0.22_NRA_model_for_NEMO2 (EMC Update) v0.26" xfId="940" xr:uid="{00000000-0005-0000-0000-000056030000}"/>
    <cellStyle name="%_NRA_model_for_NEMO2 (EMC Update) v0.20_NRA_model_for_NEMO2 (EMC Update) v0.22_NRA_model_for_NEMO2 (EMC Update) v0.26_NRA_model_for_NEMO2 (EMC Update) v0 30 1" xfId="941" xr:uid="{00000000-0005-0000-0000-000057030000}"/>
    <cellStyle name="%_NRA_model_for_NEMO2 (EMC Update) v0.20_NRA_model_for_NEMO2 (EMC Update) v0.22_NRA_model_for_NEMO2 (EMC Update) v0.26_NRA_model_for_NEMO2 (EMC Update) v0.29" xfId="942" xr:uid="{00000000-0005-0000-0000-000058030000}"/>
    <cellStyle name="%_NRA_model_for_NEMO2 (EMC Update) v0.20_NRA_model_for_NEMO2 (EMC Update) v0.22_NRA_model_for_NEMO2 (EMC Update) v0.26_NRA_model_for_NEMO2 (EMC Update) v0.29.2" xfId="943" xr:uid="{00000000-0005-0000-0000-000059030000}"/>
    <cellStyle name="%_NRA_model_for_NEMO2 (EMC Update) v0.20_NRA_model_for_NEMO2 (EMC Update) v0.22_NRA_model_for_NEMO2 (EMC Update) v0.26_NRA_model_for_NEMO2 (EMC Update) v0.29.2_NRA_model_for_NEMO2 (EMC Update) v0 30 1" xfId="944" xr:uid="{00000000-0005-0000-0000-00005A030000}"/>
    <cellStyle name="%_NRA_model_for_NEMO2 (EMC Update) v0.20_NRA_model_for_NEMO2 (EMC Update) v0.22_NRA_model_for_NEMO2 (EMC Update) v0.26_NRA_model_for_NEMO2 (EMC Update) v0.29.2_NRA_model_for_NEMO2 (EMC Update) v0.29.3" xfId="945" xr:uid="{00000000-0005-0000-0000-00005B030000}"/>
    <cellStyle name="%_NRA_model_for_NEMO2 (EMC Update) v0.20_NRA_model_for_NEMO2 (EMC Update) v0.22_NRA_model_for_NEMO2 (EMC Update) v0.26_NRA_model_for_NEMO2 (EMC Update) v0.29.2_NRA_model_for_NEMO2 (EMC Update) v0.29.3_NRA_model_for_NEMO2 (EMC Update) v0 30 1" xfId="946" xr:uid="{00000000-0005-0000-0000-00005C030000}"/>
    <cellStyle name="%_NRA_model_for_NEMO2 (EMC Update) v0.20_NRA_model_for_NEMO2 (EMC Update) v0.22_NRA_model_for_NEMO2 (EMC Update) v0.26_NRA_model_for_NEMO2 (EMC Update) v0.29.2_NRA_model_for_NEMO2 (EMC Update) v0.29.3_NRA_model_for_NEMO2 (EMC Update) v0.29.5" xfId="947" xr:uid="{00000000-0005-0000-0000-00005D030000}"/>
    <cellStyle name="%_NRA_model_for_NEMO2 (EMC Update) v0.20_NRA_model_for_NEMO2 (EMC Update) v0.22_NRA_model_for_NEMO2 (EMC Update) v0.26_NRA_model_for_NEMO2 (EMC Update) v0.29.2_NRA_model_for_NEMO2 (EMC Update) v0.29.4" xfId="948" xr:uid="{00000000-0005-0000-0000-00005E030000}"/>
    <cellStyle name="%_NRA_model_for_NEMO2 (EMC Update) v0.20_NRA_model_for_NEMO2 (EMC Update) v0.22_NRA_model_for_NEMO2 (EMC Update) v0.26_NRA_model_for_NEMO2 (EMC Update) v0.29.2_NRA_model_for_NEMO2 (EMC Update) v0.29.4_NRA_model_for_NEMO2 (EMC Update) v0 30 1" xfId="949" xr:uid="{00000000-0005-0000-0000-00005F030000}"/>
    <cellStyle name="%_NRA_model_for_NEMO2 (EMC Update) v0.20_NRA_model_for_NEMO2 (EMC Update) v0.22_NRA_model_for_NEMO2 (EMC Update) v0.26_NRA_model_for_NEMO2 (EMC Update) v0.29.2_NRA_model_for_NEMO2 (EMC Update) v0.29.4_NRA_model_for_NEMO2 (EMC Update) v0.29.5" xfId="950" xr:uid="{00000000-0005-0000-0000-000060030000}"/>
    <cellStyle name="%_NRA_model_for_NEMO2 (EMC Update) v0.20_NRA_model_for_NEMO2 (EMC Update) v0.22_NRA_model_for_NEMO2 (EMC Update) v0.26_NRA_model_for_NEMO2 (EMC Update) v0.29.2_NRA_model_for_NEMO2 (EMC Update) v0.29.5" xfId="951" xr:uid="{00000000-0005-0000-0000-000061030000}"/>
    <cellStyle name="%_NRA_model_for_NEMO2 (EMC Update) v0.20_NRA_model_for_NEMO2 (EMC Update) v0.22_NRA_model_for_NEMO2 (EMC Update) v0.26_NRA_model_for_NEMO2 (EMC Update) v0.29.2_NRA_model_for_NEMO2 (EMC Update) v0.29.5_NRA_model_for_NEMO2 (EMC Update) v0 30 1" xfId="952" xr:uid="{00000000-0005-0000-0000-000062030000}"/>
    <cellStyle name="%_NRA_model_for_NEMO2 (EMC Update) v0.20_NRA_model_for_NEMO2 (EMC Update) v0.22_NRA_model_for_NEMO2 (EMC Update) v0.26_NRA_model_for_NEMO2 (EMC Update) v0.29.3" xfId="953" xr:uid="{00000000-0005-0000-0000-000063030000}"/>
    <cellStyle name="%_NRA_model_for_NEMO2 (EMC Update) v0.20_NRA_model_for_NEMO2 (EMC Update) v0.22_NRA_model_for_NEMO2 (EMC Update) v0.26_NRA_model_for_NEMO2 (EMC Update) v0.29.3_NRA_model_for_NEMO2 (EMC Update) v0 30 1" xfId="954" xr:uid="{00000000-0005-0000-0000-000064030000}"/>
    <cellStyle name="%_NRA_model_for_NEMO2 (EMC Update) v0.20_NRA_model_for_NEMO2 (EMC Update) v0.22_NRA_model_for_NEMO2 (EMC Update) v0.26_NRA_model_for_NEMO2 (EMC Update) v0.29.3_NRA_model_for_NEMO2 (EMC Update) v0.29.5" xfId="955" xr:uid="{00000000-0005-0000-0000-000065030000}"/>
    <cellStyle name="%_NRA_model_for_NEMO2 (EMC Update) v0.20_NRA_model_for_NEMO2 (EMC Update) v0.22_NRA_model_for_NEMO2 (EMC Update) v0.26_NRA_model_for_NEMO2 (EMC Update) v0.29.3_NRA_model_for_NEMO2 (EMC Update) v0.29.5_NRA_model_for_NEMO2 (EMC Update) v0 30 1" xfId="956" xr:uid="{00000000-0005-0000-0000-000066030000}"/>
    <cellStyle name="%_NRA_model_for_NEMO2 (EMC Update) v0.20_NRA_model_for_NEMO2 (EMC Update) v0.22_NRA_model_for_NEMO2 (EMC Update) v0.26_NRA_model_for_NEMO2 (EMC Update) v0.29.4" xfId="957" xr:uid="{00000000-0005-0000-0000-000067030000}"/>
    <cellStyle name="%_NRA_model_for_NEMO2 (EMC Update) v0.20_NRA_model_for_NEMO2 (EMC Update) v0.22_NRA_model_for_NEMO2 (EMC Update) v0.26_NRA_model_for_NEMO2 (EMC Update) v0.29.4_NRA_model_for_NEMO2 (EMC Update) v0 30 1" xfId="958" xr:uid="{00000000-0005-0000-0000-000068030000}"/>
    <cellStyle name="%_NRA_model_for_NEMO2 (EMC Update) v0.20_NRA_model_for_NEMO2 (EMC Update) v0.22_NRA_model_for_NEMO2 (EMC Update) v0.26_NRA_model_for_NEMO2 (EMC Update) v0.29.4_NRA_model_for_NEMO2 (EMC Update) v0.29.5" xfId="959" xr:uid="{00000000-0005-0000-0000-000069030000}"/>
    <cellStyle name="%_NRA_model_for_NEMO2 (EMC Update) v0.20_NRA_model_for_NEMO2 (EMC Update) v0.22_NRA_model_for_NEMO2 (EMC Update) v0.26_NRA_model_for_NEMO2 (EMC Update) v0.29.4_NRA_model_for_NEMO2 (EMC Update) v0.29.5_NRA_model_for_NEMO2 (EMC Update) v0 30 1" xfId="960" xr:uid="{00000000-0005-0000-0000-00006A030000}"/>
    <cellStyle name="%_NRA_model_for_NEMO2 (EMC Update) v0.20_NRA_model_for_NEMO2 (EMC Update) v0.22_NRA_model_for_NEMO2 (EMC Update) v0.26_NRA_model_for_NEMO2 (EMC Update) v0.29.5" xfId="961" xr:uid="{00000000-0005-0000-0000-00006B030000}"/>
    <cellStyle name="%_NRA_model_for_NEMO2 (EMC Update) v0.20_NRA_model_for_NEMO2 (EMC Update) v0.22_NRA_model_for_NEMO2 (EMC Update) v0.26_NRA_model_for_NEMO2 (EMC Update) v0.29.5_NRA_model_for_NEMO2 (EMC Update) v0 30 1" xfId="962" xr:uid="{00000000-0005-0000-0000-00006C030000}"/>
    <cellStyle name="%_NRA_model_for_NEMO2 (EMC Update) v0.20_NRA_model_for_NEMO2 (EMC Update) v0.22_NRA_model_for_NEMO2 (EMC Update) v0.26_NRA_model_for_NEMO2 (EMC Update) v0.29_NRA_model_for_NEMO2 (EMC Update) v0 30 1" xfId="963" xr:uid="{00000000-0005-0000-0000-00006D030000}"/>
    <cellStyle name="%_NRA_model_for_NEMO2 (EMC Update) v0.20_NRA_model_for_NEMO2 (EMC Update) v0.22_NRA_model_for_NEMO2 (EMC Update) v0.26_NRA_model_for_NEMO2 (EMC Update) v0.29_NRA_model_for_NEMO2 (EMC Update) v0.29.2" xfId="964" xr:uid="{00000000-0005-0000-0000-00006E030000}"/>
    <cellStyle name="%_NRA_model_for_NEMO2 (EMC Update) v0.20_NRA_model_for_NEMO2 (EMC Update) v0.22_NRA_model_for_NEMO2 (EMC Update) v0.26_NRA_model_for_NEMO2 (EMC Update) v0.29_NRA_model_for_NEMO2 (EMC Update) v0.29.2_NRA_model_for_NEMO2 (EMC Update) v0 30 1" xfId="965" xr:uid="{00000000-0005-0000-0000-00006F030000}"/>
    <cellStyle name="%_NRA_model_for_NEMO2 (EMC Update) v0.20_NRA_model_for_NEMO2 (EMC Update) v0.22_NRA_model_for_NEMO2 (EMC Update) v0.26_NRA_model_for_NEMO2 (EMC Update) v0.29_NRA_model_for_NEMO2 (EMC Update) v0.29.2_NRA_model_for_NEMO2 (EMC Update) v0.29.3" xfId="966" xr:uid="{00000000-0005-0000-0000-000070030000}"/>
    <cellStyle name="%_NRA_model_for_NEMO2 (EMC Update) v0.20_NRA_model_for_NEMO2 (EMC Update) v0.22_NRA_model_for_NEMO2 (EMC Update) v0.26_NRA_model_for_NEMO2 (EMC Update) v0.29_NRA_model_for_NEMO2 (EMC Update) v0.29.2_NRA_model_for_NEMO2 (EMC Update) v0.29.4" xfId="967" xr:uid="{00000000-0005-0000-0000-000071030000}"/>
    <cellStyle name="%_NRA_model_for_NEMO2 (EMC Update) v0.20_NRA_model_for_NEMO2 (EMC Update) v0.22_NRA_model_for_NEMO2 (EMC Update) v0.26_NRA_model_for_NEMO2 (EMC Update) v0.29_NRA_model_for_NEMO2 (EMC Update) v0.29.2_NRA_model_for_NEMO2 (EMC Update) v0.29.5" xfId="968" xr:uid="{00000000-0005-0000-0000-000072030000}"/>
    <cellStyle name="%_NRA_model_for_NEMO2 (EMC Update) v0.20_NRA_model_for_NEMO2 (EMC Update) v0.22_NRA_model_for_NEMO2 (EMC Update) v0.26_NRA_model_for_NEMO2 (EMC Update) v0.29_NRA_model_for_NEMO2 (EMC Update) v0.29.3" xfId="969" xr:uid="{00000000-0005-0000-0000-000073030000}"/>
    <cellStyle name="%_NRA_model_for_NEMO2 (EMC Update) v0.20_NRA_model_for_NEMO2 (EMC Update) v0.22_NRA_model_for_NEMO2 (EMC Update) v0.26_NRA_model_for_NEMO2 (EMC Update) v0.29_NRA_model_for_NEMO2 (EMC Update) v0.29.3_NRA_model_for_NEMO2 (EMC Update) v0 30 1" xfId="970" xr:uid="{00000000-0005-0000-0000-000074030000}"/>
    <cellStyle name="%_NRA_model_for_NEMO2 (EMC Update) v0.20_NRA_model_for_NEMO2 (EMC Update) v0.22_NRA_model_for_NEMO2 (EMC Update) v0.26_NRA_model_for_NEMO2 (EMC Update) v0.29_NRA_model_for_NEMO2 (EMC Update) v0.29.3_NRA_model_for_NEMO2 (EMC Update) v0.29.5" xfId="971" xr:uid="{00000000-0005-0000-0000-000075030000}"/>
    <cellStyle name="%_NRA_model_for_NEMO2 (EMC Update) v0.20_NRA_model_for_NEMO2 (EMC Update) v0.22_NRA_model_for_NEMO2 (EMC Update) v0.26_NRA_model_for_NEMO2 (EMC Update) v0.29_NRA_model_for_NEMO2 (EMC Update) v0.29.4" xfId="972" xr:uid="{00000000-0005-0000-0000-000076030000}"/>
    <cellStyle name="%_NRA_model_for_NEMO2 (EMC Update) v0.20_NRA_model_for_NEMO2 (EMC Update) v0.22_NRA_model_for_NEMO2 (EMC Update) v0.26_NRA_model_for_NEMO2 (EMC Update) v0.29_NRA_model_for_NEMO2 (EMC Update) v0.29.4_NRA_model_for_NEMO2 (EMC Update) v0 30 1" xfId="973" xr:uid="{00000000-0005-0000-0000-000077030000}"/>
    <cellStyle name="%_NRA_model_for_NEMO2 (EMC Update) v0.20_NRA_model_for_NEMO2 (EMC Update) v0.22_NRA_model_for_NEMO2 (EMC Update) v0.26_NRA_model_for_NEMO2 (EMC Update) v0.29_NRA_model_for_NEMO2 (EMC Update) v0.29.4_NRA_model_for_NEMO2 (EMC Update) v0.29.5" xfId="974" xr:uid="{00000000-0005-0000-0000-000078030000}"/>
    <cellStyle name="%_NRA_model_for_NEMO2 (EMC Update) v0.20_NRA_model_for_NEMO2 (EMC Update) v0.22_NRA_model_for_NEMO2 (EMC Update) v0.26_NRA_model_for_NEMO2 (EMC Update) v0.29_NRA_model_for_NEMO2 (EMC Update) v0.29.5" xfId="975" xr:uid="{00000000-0005-0000-0000-000079030000}"/>
    <cellStyle name="%_NRA_model_for_NEMO2 (EMC Update) v0.20_NRA_model_for_NEMO2 (EMC Update) v0.22_NRA_model_for_NEMO2 (EMC Update) v0.26_NRA_model_for_NEMO2 (EMC Update) v0.29_NRA_model_for_NEMO2 (EMC Update) v0.29.5_NRA_model_for_NEMO2 (EMC Update) v0 30 1" xfId="976" xr:uid="{00000000-0005-0000-0000-00007A030000}"/>
    <cellStyle name="%_NRA_model_for_NEMO2 (EMC Update) v0.20_NRA_model_for_NEMO2 (EMC Update) v0.22_NRA_model_for_NEMO2 (EMC Update) v0.29" xfId="977" xr:uid="{00000000-0005-0000-0000-00007B030000}"/>
    <cellStyle name="%_NRA_model_for_NEMO2 (EMC Update) v0.20_NRA_model_for_NEMO2 (EMC Update) v0.22_NRA_model_for_NEMO2 (EMC Update) v0.29.2" xfId="978" xr:uid="{00000000-0005-0000-0000-00007C030000}"/>
    <cellStyle name="%_NRA_model_for_NEMO2 (EMC Update) v0.20_NRA_model_for_NEMO2 (EMC Update) v0.22_NRA_model_for_NEMO2 (EMC Update) v0.29.2_NRA_model_for_NEMO2 (EMC Update) v0 30 1" xfId="979" xr:uid="{00000000-0005-0000-0000-00007D030000}"/>
    <cellStyle name="%_NRA_model_for_NEMO2 (EMC Update) v0.20_NRA_model_for_NEMO2 (EMC Update) v0.22_NRA_model_for_NEMO2 (EMC Update) v0.29.2_NRA_model_for_NEMO2 (EMC Update) v0.29.3" xfId="980" xr:uid="{00000000-0005-0000-0000-00007E030000}"/>
    <cellStyle name="%_NRA_model_for_NEMO2 (EMC Update) v0.20_NRA_model_for_NEMO2 (EMC Update) v0.22_NRA_model_for_NEMO2 (EMC Update) v0.29.2_NRA_model_for_NEMO2 (EMC Update) v0.29.3_NRA_model_for_NEMO2 (EMC Update) v0 30 1" xfId="981" xr:uid="{00000000-0005-0000-0000-00007F030000}"/>
    <cellStyle name="%_NRA_model_for_NEMO2 (EMC Update) v0.20_NRA_model_for_NEMO2 (EMC Update) v0.22_NRA_model_for_NEMO2 (EMC Update) v0.29.2_NRA_model_for_NEMO2 (EMC Update) v0.29.3_NRA_model_for_NEMO2 (EMC Update) v0.29.5" xfId="982" xr:uid="{00000000-0005-0000-0000-000080030000}"/>
    <cellStyle name="%_NRA_model_for_NEMO2 (EMC Update) v0.20_NRA_model_for_NEMO2 (EMC Update) v0.22_NRA_model_for_NEMO2 (EMC Update) v0.29.2_NRA_model_for_NEMO2 (EMC Update) v0.29.3_NRA_model_for_NEMO2 (EMC Update) v0.29.5_NRA_model_for_NEMO2 (EMC Update) v0 30 1" xfId="983" xr:uid="{00000000-0005-0000-0000-000081030000}"/>
    <cellStyle name="%_NRA_model_for_NEMO2 (EMC Update) v0.20_NRA_model_for_NEMO2 (EMC Update) v0.22_NRA_model_for_NEMO2 (EMC Update) v0.29.2_NRA_model_for_NEMO2 (EMC Update) v0.29.4" xfId="984" xr:uid="{00000000-0005-0000-0000-000082030000}"/>
    <cellStyle name="%_NRA_model_for_NEMO2 (EMC Update) v0.20_NRA_model_for_NEMO2 (EMC Update) v0.22_NRA_model_for_NEMO2 (EMC Update) v0.29.2_NRA_model_for_NEMO2 (EMC Update) v0.29.4_NRA_model_for_NEMO2 (EMC Update) v0 30 1" xfId="985" xr:uid="{00000000-0005-0000-0000-000083030000}"/>
    <cellStyle name="%_NRA_model_for_NEMO2 (EMC Update) v0.20_NRA_model_for_NEMO2 (EMC Update) v0.22_NRA_model_for_NEMO2 (EMC Update) v0.29.2_NRA_model_for_NEMO2 (EMC Update) v0.29.4_NRA_model_for_NEMO2 (EMC Update) v0.29.5" xfId="986" xr:uid="{00000000-0005-0000-0000-000084030000}"/>
    <cellStyle name="%_NRA_model_for_NEMO2 (EMC Update) v0.20_NRA_model_for_NEMO2 (EMC Update) v0.22_NRA_model_for_NEMO2 (EMC Update) v0.29.2_NRA_model_for_NEMO2 (EMC Update) v0.29.4_NRA_model_for_NEMO2 (EMC Update) v0.29.5_NRA_model_for_NEMO2 (EMC Update) v0 30 1" xfId="987" xr:uid="{00000000-0005-0000-0000-000085030000}"/>
    <cellStyle name="%_NRA_model_for_NEMO2 (EMC Update) v0.20_NRA_model_for_NEMO2 (EMC Update) v0.22_NRA_model_for_NEMO2 (EMC Update) v0.29.2_NRA_model_for_NEMO2 (EMC Update) v0.29.5" xfId="988" xr:uid="{00000000-0005-0000-0000-000086030000}"/>
    <cellStyle name="%_NRA_model_for_NEMO2 (EMC Update) v0.20_NRA_model_for_NEMO2 (EMC Update) v0.22_NRA_model_for_NEMO2 (EMC Update) v0.29.2_NRA_model_for_NEMO2 (EMC Update) v0.29.5_NRA_model_for_NEMO2 (EMC Update) v0 30 1" xfId="989" xr:uid="{00000000-0005-0000-0000-000087030000}"/>
    <cellStyle name="%_NRA_model_for_NEMO2 (EMC Update) v0.20_NRA_model_for_NEMO2 (EMC Update) v0.22_NRA_model_for_NEMO2 (EMC Update) v0.29.3" xfId="990" xr:uid="{00000000-0005-0000-0000-000088030000}"/>
    <cellStyle name="%_NRA_model_for_NEMO2 (EMC Update) v0.20_NRA_model_for_NEMO2 (EMC Update) v0.22_NRA_model_for_NEMO2 (EMC Update) v0.29.3_NRA_model_for_NEMO2 (EMC Update) v0 30 1" xfId="991" xr:uid="{00000000-0005-0000-0000-000089030000}"/>
    <cellStyle name="%_NRA_model_for_NEMO2 (EMC Update) v0.20_NRA_model_for_NEMO2 (EMC Update) v0.22_NRA_model_for_NEMO2 (EMC Update) v0.29.3_NRA_model_for_NEMO2 (EMC Update) v0.29.5" xfId="992" xr:uid="{00000000-0005-0000-0000-00008A030000}"/>
    <cellStyle name="%_NRA_model_for_NEMO2 (EMC Update) v0.20_NRA_model_for_NEMO2 (EMC Update) v0.22_NRA_model_for_NEMO2 (EMC Update) v0.29.3_NRA_model_for_NEMO2 (EMC Update) v0.29.5_NRA_model_for_NEMO2 (EMC Update) v0 30 1" xfId="993" xr:uid="{00000000-0005-0000-0000-00008B030000}"/>
    <cellStyle name="%_NRA_model_for_NEMO2 (EMC Update) v0.20_NRA_model_for_NEMO2 (EMC Update) v0.22_NRA_model_for_NEMO2 (EMC Update) v0.29.4" xfId="994" xr:uid="{00000000-0005-0000-0000-00008C030000}"/>
    <cellStyle name="%_NRA_model_for_NEMO2 (EMC Update) v0.20_NRA_model_for_NEMO2 (EMC Update) v0.22_NRA_model_for_NEMO2 (EMC Update) v0.29.4_NRA_model_for_NEMO2 (EMC Update) v0 30 1" xfId="995" xr:uid="{00000000-0005-0000-0000-00008D030000}"/>
    <cellStyle name="%_NRA_model_for_NEMO2 (EMC Update) v0.20_NRA_model_for_NEMO2 (EMC Update) v0.22_NRA_model_for_NEMO2 (EMC Update) v0.29.4_NRA_model_for_NEMO2 (EMC Update) v0.29.5" xfId="996" xr:uid="{00000000-0005-0000-0000-00008E030000}"/>
    <cellStyle name="%_NRA_model_for_NEMO2 (EMC Update) v0.20_NRA_model_for_NEMO2 (EMC Update) v0.22_NRA_model_for_NEMO2 (EMC Update) v0.29.4_NRA_model_for_NEMO2 (EMC Update) v0.29.5_NRA_model_for_NEMO2 (EMC Update) v0 30 1" xfId="997" xr:uid="{00000000-0005-0000-0000-00008F030000}"/>
    <cellStyle name="%_NRA_model_for_NEMO2 (EMC Update) v0.20_NRA_model_for_NEMO2 (EMC Update) v0.22_NRA_model_for_NEMO2 (EMC Update) v0.29.5" xfId="998" xr:uid="{00000000-0005-0000-0000-000090030000}"/>
    <cellStyle name="%_NRA_model_for_NEMO2 (EMC Update) v0.20_NRA_model_for_NEMO2 (EMC Update) v0.22_NRA_model_for_NEMO2 (EMC Update) v0.29.5_NRA_model_for_NEMO2 (EMC Update) v0 30 1" xfId="999" xr:uid="{00000000-0005-0000-0000-000091030000}"/>
    <cellStyle name="%_NRA_model_for_NEMO2 (EMC Update) v0.20_NRA_model_for_NEMO2 (EMC Update) v0.22_NRA_model_for_NEMO2 (EMC Update) v0.29_NRA_model_for_NEMO2 (EMC Update) v0 30 1" xfId="1000" xr:uid="{00000000-0005-0000-0000-000092030000}"/>
    <cellStyle name="%_NRA_model_for_NEMO2 (EMC Update) v0.20_NRA_model_for_NEMO2 (EMC Update) v0.22_NRA_model_for_NEMO2 (EMC Update) v0.29_NRA_model_for_NEMO2 (EMC Update) v0.29.2" xfId="1001" xr:uid="{00000000-0005-0000-0000-000093030000}"/>
    <cellStyle name="%_NRA_model_for_NEMO2 (EMC Update) v0.20_NRA_model_for_NEMO2 (EMC Update) v0.22_NRA_model_for_NEMO2 (EMC Update) v0.29_NRA_model_for_NEMO2 (EMC Update) v0.29.2_NRA_model_for_NEMO2 (EMC Update) v0 30 1" xfId="1002" xr:uid="{00000000-0005-0000-0000-000094030000}"/>
    <cellStyle name="%_NRA_model_for_NEMO2 (EMC Update) v0.20_NRA_model_for_NEMO2 (EMC Update) v0.22_NRA_model_for_NEMO2 (EMC Update) v0.29_NRA_model_for_NEMO2 (EMC Update) v0.29.2_NRA_model_for_NEMO2 (EMC Update) v0.29.3" xfId="1003" xr:uid="{00000000-0005-0000-0000-000095030000}"/>
    <cellStyle name="%_NRA_model_for_NEMO2 (EMC Update) v0.20_NRA_model_for_NEMO2 (EMC Update) v0.22_NRA_model_for_NEMO2 (EMC Update) v0.29_NRA_model_for_NEMO2 (EMC Update) v0.29.2_NRA_model_for_NEMO2 (EMC Update) v0.29.3_NRA_model_for_NEMO2 (EMC Update) v0 30 1" xfId="1004" xr:uid="{00000000-0005-0000-0000-000096030000}"/>
    <cellStyle name="%_NRA_model_for_NEMO2 (EMC Update) v0.20_NRA_model_for_NEMO2 (EMC Update) v0.22_NRA_model_for_NEMO2 (EMC Update) v0.29_NRA_model_for_NEMO2 (EMC Update) v0.29.2_NRA_model_for_NEMO2 (EMC Update) v0.29.3_NRA_model_for_NEMO2 (EMC Update) v0.29.5" xfId="1005" xr:uid="{00000000-0005-0000-0000-000097030000}"/>
    <cellStyle name="%_NRA_model_for_NEMO2 (EMC Update) v0.20_NRA_model_for_NEMO2 (EMC Update) v0.22_NRA_model_for_NEMO2 (EMC Update) v0.29_NRA_model_for_NEMO2 (EMC Update) v0.29.2_NRA_model_for_NEMO2 (EMC Update) v0.29.4" xfId="1006" xr:uid="{00000000-0005-0000-0000-000098030000}"/>
    <cellStyle name="%_NRA_model_for_NEMO2 (EMC Update) v0.20_NRA_model_for_NEMO2 (EMC Update) v0.22_NRA_model_for_NEMO2 (EMC Update) v0.29_NRA_model_for_NEMO2 (EMC Update) v0.29.2_NRA_model_for_NEMO2 (EMC Update) v0.29.4_NRA_model_for_NEMO2 (EMC Update) v0 30 1" xfId="1007" xr:uid="{00000000-0005-0000-0000-000099030000}"/>
    <cellStyle name="%_NRA_model_for_NEMO2 (EMC Update) v0.20_NRA_model_for_NEMO2 (EMC Update) v0.22_NRA_model_for_NEMO2 (EMC Update) v0.29_NRA_model_for_NEMO2 (EMC Update) v0.29.2_NRA_model_for_NEMO2 (EMC Update) v0.29.4_NRA_model_for_NEMO2 (EMC Update) v0.29.5" xfId="1008" xr:uid="{00000000-0005-0000-0000-00009A030000}"/>
    <cellStyle name="%_NRA_model_for_NEMO2 (EMC Update) v0.20_NRA_model_for_NEMO2 (EMC Update) v0.22_NRA_model_for_NEMO2 (EMC Update) v0.29_NRA_model_for_NEMO2 (EMC Update) v0.29.2_NRA_model_for_NEMO2 (EMC Update) v0.29.5" xfId="1009" xr:uid="{00000000-0005-0000-0000-00009B030000}"/>
    <cellStyle name="%_NRA_model_for_NEMO2 (EMC Update) v0.20_NRA_model_for_NEMO2 (EMC Update) v0.22_NRA_model_for_NEMO2 (EMC Update) v0.29_NRA_model_for_NEMO2 (EMC Update) v0.29.2_NRA_model_for_NEMO2 (EMC Update) v0.29.5_NRA_model_for_NEMO2 (EMC Update) v0 30 1" xfId="1010" xr:uid="{00000000-0005-0000-0000-00009C030000}"/>
    <cellStyle name="%_NRA_model_for_NEMO2 (EMC Update) v0.20_NRA_model_for_NEMO2 (EMC Update) v0.22_NRA_model_for_NEMO2 (EMC Update) v0.29_NRA_model_for_NEMO2 (EMC Update) v0.29.3" xfId="1011" xr:uid="{00000000-0005-0000-0000-00009D030000}"/>
    <cellStyle name="%_NRA_model_for_NEMO2 (EMC Update) v0.20_NRA_model_for_NEMO2 (EMC Update) v0.22_NRA_model_for_NEMO2 (EMC Update) v0.29_NRA_model_for_NEMO2 (EMC Update) v0.29.3_NRA_model_for_NEMO2 (EMC Update) v0 30 1" xfId="1012" xr:uid="{00000000-0005-0000-0000-00009E030000}"/>
    <cellStyle name="%_NRA_model_for_NEMO2 (EMC Update) v0.20_NRA_model_for_NEMO2 (EMC Update) v0.22_NRA_model_for_NEMO2 (EMC Update) v0.29_NRA_model_for_NEMO2 (EMC Update) v0.29.3_NRA_model_for_NEMO2 (EMC Update) v0.29.5" xfId="1013" xr:uid="{00000000-0005-0000-0000-00009F030000}"/>
    <cellStyle name="%_NRA_model_for_NEMO2 (EMC Update) v0.20_NRA_model_for_NEMO2 (EMC Update) v0.22_NRA_model_for_NEMO2 (EMC Update) v0.29_NRA_model_for_NEMO2 (EMC Update) v0.29.3_NRA_model_for_NEMO2 (EMC Update) v0.29.5_NRA_model_for_NEMO2 (EMC Update) v0 30 1" xfId="1014" xr:uid="{00000000-0005-0000-0000-0000A0030000}"/>
    <cellStyle name="%_NRA_model_for_NEMO2 (EMC Update) v0.20_NRA_model_for_NEMO2 (EMC Update) v0.22_NRA_model_for_NEMO2 (EMC Update) v0.29_NRA_model_for_NEMO2 (EMC Update) v0.29.4" xfId="1015" xr:uid="{00000000-0005-0000-0000-0000A1030000}"/>
    <cellStyle name="%_NRA_model_for_NEMO2 (EMC Update) v0.20_NRA_model_for_NEMO2 (EMC Update) v0.22_NRA_model_for_NEMO2 (EMC Update) v0.29_NRA_model_for_NEMO2 (EMC Update) v0.29.4_NRA_model_for_NEMO2 (EMC Update) v0 30 1" xfId="1016" xr:uid="{00000000-0005-0000-0000-0000A2030000}"/>
    <cellStyle name="%_NRA_model_for_NEMO2 (EMC Update) v0.20_NRA_model_for_NEMO2 (EMC Update) v0.22_NRA_model_for_NEMO2 (EMC Update) v0.29_NRA_model_for_NEMO2 (EMC Update) v0.29.4_NRA_model_for_NEMO2 (EMC Update) v0.29.5" xfId="1017" xr:uid="{00000000-0005-0000-0000-0000A3030000}"/>
    <cellStyle name="%_NRA_model_for_NEMO2 (EMC Update) v0.20_NRA_model_for_NEMO2 (EMC Update) v0.22_NRA_model_for_NEMO2 (EMC Update) v0.29_NRA_model_for_NEMO2 (EMC Update) v0.29.4_NRA_model_for_NEMO2 (EMC Update) v0.29.5_NRA_model_for_NEMO2 (EMC Update) v0 30 1" xfId="1018" xr:uid="{00000000-0005-0000-0000-0000A4030000}"/>
    <cellStyle name="%_NRA_model_for_NEMO2 (EMC Update) v0.20_NRA_model_for_NEMO2 (EMC Update) v0.22_NRA_model_for_NEMO2 (EMC Update) v0.29_NRA_model_for_NEMO2 (EMC Update) v0.29.5" xfId="1019" xr:uid="{00000000-0005-0000-0000-0000A5030000}"/>
    <cellStyle name="%_NRA_model_for_NEMO2 (EMC Update) v0.20_NRA_model_for_NEMO2 (EMC Update) v0.22_NRA_model_for_NEMO2 (EMC Update) v0.29_NRA_model_for_NEMO2 (EMC Update) v0.29.5_NRA_model_for_NEMO2 (EMC Update) v0 30 1" xfId="1020" xr:uid="{00000000-0005-0000-0000-0000A6030000}"/>
    <cellStyle name="%_NRA_model_for_NEMO2 (EMC Update) v0.20_NRA_model_for_NEMO2 (EMC Update) v0.25" xfId="1021" xr:uid="{00000000-0005-0000-0000-0000A7030000}"/>
    <cellStyle name="%_NRA_model_for_NEMO2 (EMC Update) v0.20_NRA_model_for_NEMO2 (EMC Update) v0.25_NRA_model_for_NEMO2 (EMC Update) v0 30 1" xfId="1022" xr:uid="{00000000-0005-0000-0000-0000A8030000}"/>
    <cellStyle name="%_NRA_model_for_NEMO2 (EMC Update) v0.20_NRA_model_for_NEMO2 (EMC Update) v0.25_NRA_model_for_NEMO2 (EMC Update) v0.26" xfId="1023" xr:uid="{00000000-0005-0000-0000-0000A9030000}"/>
    <cellStyle name="%_NRA_model_for_NEMO2 (EMC Update) v0.20_NRA_model_for_NEMO2 (EMC Update) v0.25_NRA_model_for_NEMO2 (EMC Update) v0.26_NRA_model_for_NEMO2 (EMC Update) v0 30 1" xfId="1024" xr:uid="{00000000-0005-0000-0000-0000AA030000}"/>
    <cellStyle name="%_NRA_model_for_NEMO2 (EMC Update) v0.20_NRA_model_for_NEMO2 (EMC Update) v0.25_NRA_model_for_NEMO2 (EMC Update) v0.26_NRA_model_for_NEMO2 (EMC Update) v0.29" xfId="1025" xr:uid="{00000000-0005-0000-0000-0000AB030000}"/>
    <cellStyle name="%_NRA_model_for_NEMO2 (EMC Update) v0.20_NRA_model_for_NEMO2 (EMC Update) v0.25_NRA_model_for_NEMO2 (EMC Update) v0.26_NRA_model_for_NEMO2 (EMC Update) v0.29.2" xfId="1026" xr:uid="{00000000-0005-0000-0000-0000AC030000}"/>
    <cellStyle name="%_NRA_model_for_NEMO2 (EMC Update) v0.20_NRA_model_for_NEMO2 (EMC Update) v0.25_NRA_model_for_NEMO2 (EMC Update) v0.26_NRA_model_for_NEMO2 (EMC Update) v0.29.2_NRA_model_for_NEMO2 (EMC Update) v0 30 1" xfId="1027" xr:uid="{00000000-0005-0000-0000-0000AD030000}"/>
    <cellStyle name="%_NRA_model_for_NEMO2 (EMC Update) v0.20_NRA_model_for_NEMO2 (EMC Update) v0.25_NRA_model_for_NEMO2 (EMC Update) v0.26_NRA_model_for_NEMO2 (EMC Update) v0.29.2_NRA_model_for_NEMO2 (EMC Update) v0.29.3" xfId="1028" xr:uid="{00000000-0005-0000-0000-0000AE030000}"/>
    <cellStyle name="%_NRA_model_for_NEMO2 (EMC Update) v0.20_NRA_model_for_NEMO2 (EMC Update) v0.25_NRA_model_for_NEMO2 (EMC Update) v0.26_NRA_model_for_NEMO2 (EMC Update) v0.29.2_NRA_model_for_NEMO2 (EMC Update) v0.29.3_NRA_model_for_NEMO2 (EMC Update) v0 30 1" xfId="1029" xr:uid="{00000000-0005-0000-0000-0000AF030000}"/>
    <cellStyle name="%_NRA_model_for_NEMO2 (EMC Update) v0.20_NRA_model_for_NEMO2 (EMC Update) v0.25_NRA_model_for_NEMO2 (EMC Update) v0.26_NRA_model_for_NEMO2 (EMC Update) v0.29.2_NRA_model_for_NEMO2 (EMC Update) v0.29.3_NRA_model_for_NEMO2 (EMC Update) v0.29.5" xfId="1030" xr:uid="{00000000-0005-0000-0000-0000B0030000}"/>
    <cellStyle name="%_NRA_model_for_NEMO2 (EMC Update) v0.20_NRA_model_for_NEMO2 (EMC Update) v0.25_NRA_model_for_NEMO2 (EMC Update) v0.26_NRA_model_for_NEMO2 (EMC Update) v0.29.2_NRA_model_for_NEMO2 (EMC Update) v0.29.4" xfId="1031" xr:uid="{00000000-0005-0000-0000-0000B1030000}"/>
    <cellStyle name="%_NRA_model_for_NEMO2 (EMC Update) v0.20_NRA_model_for_NEMO2 (EMC Update) v0.25_NRA_model_for_NEMO2 (EMC Update) v0.26_NRA_model_for_NEMO2 (EMC Update) v0.29.2_NRA_model_for_NEMO2 (EMC Update) v0.29.4_NRA_model_for_NEMO2 (EMC Update) v0 30 1" xfId="1032" xr:uid="{00000000-0005-0000-0000-0000B2030000}"/>
    <cellStyle name="%_NRA_model_for_NEMO2 (EMC Update) v0.20_NRA_model_for_NEMO2 (EMC Update) v0.25_NRA_model_for_NEMO2 (EMC Update) v0.26_NRA_model_for_NEMO2 (EMC Update) v0.29.2_NRA_model_for_NEMO2 (EMC Update) v0.29.4_NRA_model_for_NEMO2 (EMC Update) v0.29.5" xfId="1033" xr:uid="{00000000-0005-0000-0000-0000B3030000}"/>
    <cellStyle name="%_NRA_model_for_NEMO2 (EMC Update) v0.20_NRA_model_for_NEMO2 (EMC Update) v0.25_NRA_model_for_NEMO2 (EMC Update) v0.26_NRA_model_for_NEMO2 (EMC Update) v0.29.2_NRA_model_for_NEMO2 (EMC Update) v0.29.5" xfId="1034" xr:uid="{00000000-0005-0000-0000-0000B4030000}"/>
    <cellStyle name="%_NRA_model_for_NEMO2 (EMC Update) v0.20_NRA_model_for_NEMO2 (EMC Update) v0.25_NRA_model_for_NEMO2 (EMC Update) v0.26_NRA_model_for_NEMO2 (EMC Update) v0.29.2_NRA_model_for_NEMO2 (EMC Update) v0.29.5_NRA_model_for_NEMO2 (EMC Update) v0 30 1" xfId="1035" xr:uid="{00000000-0005-0000-0000-0000B5030000}"/>
    <cellStyle name="%_NRA_model_for_NEMO2 (EMC Update) v0.20_NRA_model_for_NEMO2 (EMC Update) v0.25_NRA_model_for_NEMO2 (EMC Update) v0.26_NRA_model_for_NEMO2 (EMC Update) v0.29.3" xfId="1036" xr:uid="{00000000-0005-0000-0000-0000B6030000}"/>
    <cellStyle name="%_NRA_model_for_NEMO2 (EMC Update) v0.20_NRA_model_for_NEMO2 (EMC Update) v0.25_NRA_model_for_NEMO2 (EMC Update) v0.26_NRA_model_for_NEMO2 (EMC Update) v0.29.3_NRA_model_for_NEMO2 (EMC Update) v0 30 1" xfId="1037" xr:uid="{00000000-0005-0000-0000-0000B7030000}"/>
    <cellStyle name="%_NRA_model_for_NEMO2 (EMC Update) v0.20_NRA_model_for_NEMO2 (EMC Update) v0.25_NRA_model_for_NEMO2 (EMC Update) v0.26_NRA_model_for_NEMO2 (EMC Update) v0.29.3_NRA_model_for_NEMO2 (EMC Update) v0.29.5" xfId="1038" xr:uid="{00000000-0005-0000-0000-0000B8030000}"/>
    <cellStyle name="%_NRA_model_for_NEMO2 (EMC Update) v0.20_NRA_model_for_NEMO2 (EMC Update) v0.25_NRA_model_for_NEMO2 (EMC Update) v0.26_NRA_model_for_NEMO2 (EMC Update) v0.29.3_NRA_model_for_NEMO2 (EMC Update) v0.29.5_NRA_model_for_NEMO2 (EMC Update) v0 30 1" xfId="1039" xr:uid="{00000000-0005-0000-0000-0000B9030000}"/>
    <cellStyle name="%_NRA_model_for_NEMO2 (EMC Update) v0.20_NRA_model_for_NEMO2 (EMC Update) v0.25_NRA_model_for_NEMO2 (EMC Update) v0.26_NRA_model_for_NEMO2 (EMC Update) v0.29.4" xfId="1040" xr:uid="{00000000-0005-0000-0000-0000BA030000}"/>
    <cellStyle name="%_NRA_model_for_NEMO2 (EMC Update) v0.20_NRA_model_for_NEMO2 (EMC Update) v0.25_NRA_model_for_NEMO2 (EMC Update) v0.26_NRA_model_for_NEMO2 (EMC Update) v0.29.4_NRA_model_for_NEMO2 (EMC Update) v0 30 1" xfId="1041" xr:uid="{00000000-0005-0000-0000-0000BB030000}"/>
    <cellStyle name="%_NRA_model_for_NEMO2 (EMC Update) v0.20_NRA_model_for_NEMO2 (EMC Update) v0.25_NRA_model_for_NEMO2 (EMC Update) v0.26_NRA_model_for_NEMO2 (EMC Update) v0.29.4_NRA_model_for_NEMO2 (EMC Update) v0.29.5" xfId="1042" xr:uid="{00000000-0005-0000-0000-0000BC030000}"/>
    <cellStyle name="%_NRA_model_for_NEMO2 (EMC Update) v0.20_NRA_model_for_NEMO2 (EMC Update) v0.25_NRA_model_for_NEMO2 (EMC Update) v0.26_NRA_model_for_NEMO2 (EMC Update) v0.29.4_NRA_model_for_NEMO2 (EMC Update) v0.29.5_NRA_model_for_NEMO2 (EMC Update) v0 30 1" xfId="1043" xr:uid="{00000000-0005-0000-0000-0000BD030000}"/>
    <cellStyle name="%_NRA_model_for_NEMO2 (EMC Update) v0.20_NRA_model_for_NEMO2 (EMC Update) v0.25_NRA_model_for_NEMO2 (EMC Update) v0.26_NRA_model_for_NEMO2 (EMC Update) v0.29.5" xfId="1044" xr:uid="{00000000-0005-0000-0000-0000BE030000}"/>
    <cellStyle name="%_NRA_model_for_NEMO2 (EMC Update) v0.20_NRA_model_for_NEMO2 (EMC Update) v0.25_NRA_model_for_NEMO2 (EMC Update) v0.26_NRA_model_for_NEMO2 (EMC Update) v0.29.5_NRA_model_for_NEMO2 (EMC Update) v0 30 1" xfId="1045" xr:uid="{00000000-0005-0000-0000-0000BF030000}"/>
    <cellStyle name="%_NRA_model_for_NEMO2 (EMC Update) v0.20_NRA_model_for_NEMO2 (EMC Update) v0.25_NRA_model_for_NEMO2 (EMC Update) v0.26_NRA_model_for_NEMO2 (EMC Update) v0.29_NRA_model_for_NEMO2 (EMC Update) v0 30 1" xfId="1046" xr:uid="{00000000-0005-0000-0000-0000C0030000}"/>
    <cellStyle name="%_NRA_model_for_NEMO2 (EMC Update) v0.20_NRA_model_for_NEMO2 (EMC Update) v0.25_NRA_model_for_NEMO2 (EMC Update) v0.26_NRA_model_for_NEMO2 (EMC Update) v0.29_NRA_model_for_NEMO2 (EMC Update) v0.29.2" xfId="1047" xr:uid="{00000000-0005-0000-0000-0000C1030000}"/>
    <cellStyle name="%_NRA_model_for_NEMO2 (EMC Update) v0.20_NRA_model_for_NEMO2 (EMC Update) v0.25_NRA_model_for_NEMO2 (EMC Update) v0.26_NRA_model_for_NEMO2 (EMC Update) v0.29_NRA_model_for_NEMO2 (EMC Update) v0.29.2_NRA_model_for_NEMO2 (EMC Update) v0 30 1" xfId="1048" xr:uid="{00000000-0005-0000-0000-0000C2030000}"/>
    <cellStyle name="%_NRA_model_for_NEMO2 (EMC Update) v0.20_NRA_model_for_NEMO2 (EMC Update) v0.25_NRA_model_for_NEMO2 (EMC Update) v0.26_NRA_model_for_NEMO2 (EMC Update) v0.29_NRA_model_for_NEMO2 (EMC Update) v0.29.2_NRA_model_for_NEMO2 (EMC Update) v0.29.3" xfId="1049" xr:uid="{00000000-0005-0000-0000-0000C3030000}"/>
    <cellStyle name="%_NRA_model_for_NEMO2 (EMC Update) v0.20_NRA_model_for_NEMO2 (EMC Update) v0.25_NRA_model_for_NEMO2 (EMC Update) v0.26_NRA_model_for_NEMO2 (EMC Update) v0.29_NRA_model_for_NEMO2 (EMC Update) v0.29.2_NRA_model_for_NEMO2 (EMC Update) v0.29.4" xfId="1050" xr:uid="{00000000-0005-0000-0000-0000C4030000}"/>
    <cellStyle name="%_NRA_model_for_NEMO2 (EMC Update) v0.20_NRA_model_for_NEMO2 (EMC Update) v0.25_NRA_model_for_NEMO2 (EMC Update) v0.26_NRA_model_for_NEMO2 (EMC Update) v0.29_NRA_model_for_NEMO2 (EMC Update) v0.29.2_NRA_model_for_NEMO2 (EMC Update) v0.29.5" xfId="1051" xr:uid="{00000000-0005-0000-0000-0000C5030000}"/>
    <cellStyle name="%_NRA_model_for_NEMO2 (EMC Update) v0.20_NRA_model_for_NEMO2 (EMC Update) v0.25_NRA_model_for_NEMO2 (EMC Update) v0.26_NRA_model_for_NEMO2 (EMC Update) v0.29_NRA_model_for_NEMO2 (EMC Update) v0.29.3" xfId="1052" xr:uid="{00000000-0005-0000-0000-0000C6030000}"/>
    <cellStyle name="%_NRA_model_for_NEMO2 (EMC Update) v0.20_NRA_model_for_NEMO2 (EMC Update) v0.25_NRA_model_for_NEMO2 (EMC Update) v0.26_NRA_model_for_NEMO2 (EMC Update) v0.29_NRA_model_for_NEMO2 (EMC Update) v0.29.3_NRA_model_for_NEMO2 (EMC Update) v0 30 1" xfId="1053" xr:uid="{00000000-0005-0000-0000-0000C7030000}"/>
    <cellStyle name="%_NRA_model_for_NEMO2 (EMC Update) v0.20_NRA_model_for_NEMO2 (EMC Update) v0.25_NRA_model_for_NEMO2 (EMC Update) v0.26_NRA_model_for_NEMO2 (EMC Update) v0.29_NRA_model_for_NEMO2 (EMC Update) v0.29.3_NRA_model_for_NEMO2 (EMC Update) v0.29.5" xfId="1054" xr:uid="{00000000-0005-0000-0000-0000C8030000}"/>
    <cellStyle name="%_NRA_model_for_NEMO2 (EMC Update) v0.20_NRA_model_for_NEMO2 (EMC Update) v0.25_NRA_model_for_NEMO2 (EMC Update) v0.26_NRA_model_for_NEMO2 (EMC Update) v0.29_NRA_model_for_NEMO2 (EMC Update) v0.29.4" xfId="1055" xr:uid="{00000000-0005-0000-0000-0000C9030000}"/>
    <cellStyle name="%_NRA_model_for_NEMO2 (EMC Update) v0.20_NRA_model_for_NEMO2 (EMC Update) v0.25_NRA_model_for_NEMO2 (EMC Update) v0.26_NRA_model_for_NEMO2 (EMC Update) v0.29_NRA_model_for_NEMO2 (EMC Update) v0.29.4_NRA_model_for_NEMO2 (EMC Update) v0 30 1" xfId="1056" xr:uid="{00000000-0005-0000-0000-0000CA030000}"/>
    <cellStyle name="%_NRA_model_for_NEMO2 (EMC Update) v0.20_NRA_model_for_NEMO2 (EMC Update) v0.25_NRA_model_for_NEMO2 (EMC Update) v0.26_NRA_model_for_NEMO2 (EMC Update) v0.29_NRA_model_for_NEMO2 (EMC Update) v0.29.4_NRA_model_for_NEMO2 (EMC Update) v0.29.5" xfId="1057" xr:uid="{00000000-0005-0000-0000-0000CB030000}"/>
    <cellStyle name="%_NRA_model_for_NEMO2 (EMC Update) v0.20_NRA_model_for_NEMO2 (EMC Update) v0.25_NRA_model_for_NEMO2 (EMC Update) v0.26_NRA_model_for_NEMO2 (EMC Update) v0.29_NRA_model_for_NEMO2 (EMC Update) v0.29.5" xfId="1058" xr:uid="{00000000-0005-0000-0000-0000CC030000}"/>
    <cellStyle name="%_NRA_model_for_NEMO2 (EMC Update) v0.20_NRA_model_for_NEMO2 (EMC Update) v0.25_NRA_model_for_NEMO2 (EMC Update) v0.26_NRA_model_for_NEMO2 (EMC Update) v0.29_NRA_model_for_NEMO2 (EMC Update) v0.29.5_NRA_model_for_NEMO2 (EMC Update) v0 30 1" xfId="1059" xr:uid="{00000000-0005-0000-0000-0000CD030000}"/>
    <cellStyle name="%_NRA_model_for_NEMO2 (EMC Update) v0.20_NRA_model_for_NEMO2 (EMC Update) v0.25_NRA_model_for_NEMO2 (EMC Update) v0.29" xfId="1060" xr:uid="{00000000-0005-0000-0000-0000CE030000}"/>
    <cellStyle name="%_NRA_model_for_NEMO2 (EMC Update) v0.20_NRA_model_for_NEMO2 (EMC Update) v0.25_NRA_model_for_NEMO2 (EMC Update) v0.29.2" xfId="1061" xr:uid="{00000000-0005-0000-0000-0000CF030000}"/>
    <cellStyle name="%_NRA_model_for_NEMO2 (EMC Update) v0.20_NRA_model_for_NEMO2 (EMC Update) v0.25_NRA_model_for_NEMO2 (EMC Update) v0.29.2_NRA_model_for_NEMO2 (EMC Update) v0 30 1" xfId="1062" xr:uid="{00000000-0005-0000-0000-0000D0030000}"/>
    <cellStyle name="%_NRA_model_for_NEMO2 (EMC Update) v0.20_NRA_model_for_NEMO2 (EMC Update) v0.25_NRA_model_for_NEMO2 (EMC Update) v0.29.2_NRA_model_for_NEMO2 (EMC Update) v0.29.3" xfId="1063" xr:uid="{00000000-0005-0000-0000-0000D1030000}"/>
    <cellStyle name="%_NRA_model_for_NEMO2 (EMC Update) v0.20_NRA_model_for_NEMO2 (EMC Update) v0.25_NRA_model_for_NEMO2 (EMC Update) v0.29.2_NRA_model_for_NEMO2 (EMC Update) v0.29.3_NRA_model_for_NEMO2 (EMC Update) v0 30 1" xfId="1064" xr:uid="{00000000-0005-0000-0000-0000D2030000}"/>
    <cellStyle name="%_NRA_model_for_NEMO2 (EMC Update) v0.20_NRA_model_for_NEMO2 (EMC Update) v0.25_NRA_model_for_NEMO2 (EMC Update) v0.29.2_NRA_model_for_NEMO2 (EMC Update) v0.29.3_NRA_model_for_NEMO2 (EMC Update) v0.29.5" xfId="1065" xr:uid="{00000000-0005-0000-0000-0000D3030000}"/>
    <cellStyle name="%_NRA_model_for_NEMO2 (EMC Update) v0.20_NRA_model_for_NEMO2 (EMC Update) v0.25_NRA_model_for_NEMO2 (EMC Update) v0.29.2_NRA_model_for_NEMO2 (EMC Update) v0.29.3_NRA_model_for_NEMO2 (EMC Update) v0.29.5_NRA_model_for_NEMO2 (EMC Update) v0 30 1" xfId="1066" xr:uid="{00000000-0005-0000-0000-0000D4030000}"/>
    <cellStyle name="%_NRA_model_for_NEMO2 (EMC Update) v0.20_NRA_model_for_NEMO2 (EMC Update) v0.25_NRA_model_for_NEMO2 (EMC Update) v0.29.2_NRA_model_for_NEMO2 (EMC Update) v0.29.4" xfId="1067" xr:uid="{00000000-0005-0000-0000-0000D5030000}"/>
    <cellStyle name="%_NRA_model_for_NEMO2 (EMC Update) v0.20_NRA_model_for_NEMO2 (EMC Update) v0.25_NRA_model_for_NEMO2 (EMC Update) v0.29.2_NRA_model_for_NEMO2 (EMC Update) v0.29.4_NRA_model_for_NEMO2 (EMC Update) v0 30 1" xfId="1068" xr:uid="{00000000-0005-0000-0000-0000D6030000}"/>
    <cellStyle name="%_NRA_model_for_NEMO2 (EMC Update) v0.20_NRA_model_for_NEMO2 (EMC Update) v0.25_NRA_model_for_NEMO2 (EMC Update) v0.29.2_NRA_model_for_NEMO2 (EMC Update) v0.29.4_NRA_model_for_NEMO2 (EMC Update) v0.29.5" xfId="1069" xr:uid="{00000000-0005-0000-0000-0000D7030000}"/>
    <cellStyle name="%_NRA_model_for_NEMO2 (EMC Update) v0.20_NRA_model_for_NEMO2 (EMC Update) v0.25_NRA_model_for_NEMO2 (EMC Update) v0.29.2_NRA_model_for_NEMO2 (EMC Update) v0.29.4_NRA_model_for_NEMO2 (EMC Update) v0.29.5_NRA_model_for_NEMO2 (EMC Update) v0 30 1" xfId="1070" xr:uid="{00000000-0005-0000-0000-0000D8030000}"/>
    <cellStyle name="%_NRA_model_for_NEMO2 (EMC Update) v0.20_NRA_model_for_NEMO2 (EMC Update) v0.25_NRA_model_for_NEMO2 (EMC Update) v0.29.2_NRA_model_for_NEMO2 (EMC Update) v0.29.5" xfId="1071" xr:uid="{00000000-0005-0000-0000-0000D9030000}"/>
    <cellStyle name="%_NRA_model_for_NEMO2 (EMC Update) v0.20_NRA_model_for_NEMO2 (EMC Update) v0.25_NRA_model_for_NEMO2 (EMC Update) v0.29.2_NRA_model_for_NEMO2 (EMC Update) v0.29.5_NRA_model_for_NEMO2 (EMC Update) v0 30 1" xfId="1072" xr:uid="{00000000-0005-0000-0000-0000DA030000}"/>
    <cellStyle name="%_NRA_model_for_NEMO2 (EMC Update) v0.20_NRA_model_for_NEMO2 (EMC Update) v0.25_NRA_model_for_NEMO2 (EMC Update) v0.29.3" xfId="1073" xr:uid="{00000000-0005-0000-0000-0000DB030000}"/>
    <cellStyle name="%_NRA_model_for_NEMO2 (EMC Update) v0.20_NRA_model_for_NEMO2 (EMC Update) v0.25_NRA_model_for_NEMO2 (EMC Update) v0.29.3_NRA_model_for_NEMO2 (EMC Update) v0 30 1" xfId="1074" xr:uid="{00000000-0005-0000-0000-0000DC030000}"/>
    <cellStyle name="%_NRA_model_for_NEMO2 (EMC Update) v0.20_NRA_model_for_NEMO2 (EMC Update) v0.25_NRA_model_for_NEMO2 (EMC Update) v0.29.3_NRA_model_for_NEMO2 (EMC Update) v0.29.5" xfId="1075" xr:uid="{00000000-0005-0000-0000-0000DD030000}"/>
    <cellStyle name="%_NRA_model_for_NEMO2 (EMC Update) v0.20_NRA_model_for_NEMO2 (EMC Update) v0.25_NRA_model_for_NEMO2 (EMC Update) v0.29.3_NRA_model_for_NEMO2 (EMC Update) v0.29.5_NRA_model_for_NEMO2 (EMC Update) v0 30 1" xfId="1076" xr:uid="{00000000-0005-0000-0000-0000DE030000}"/>
    <cellStyle name="%_NRA_model_for_NEMO2 (EMC Update) v0.20_NRA_model_for_NEMO2 (EMC Update) v0.25_NRA_model_for_NEMO2 (EMC Update) v0.29.4" xfId="1077" xr:uid="{00000000-0005-0000-0000-0000DF030000}"/>
    <cellStyle name="%_NRA_model_for_NEMO2 (EMC Update) v0.20_NRA_model_for_NEMO2 (EMC Update) v0.25_NRA_model_for_NEMO2 (EMC Update) v0.29.4_NRA_model_for_NEMO2 (EMC Update) v0 30 1" xfId="1078" xr:uid="{00000000-0005-0000-0000-0000E0030000}"/>
    <cellStyle name="%_NRA_model_for_NEMO2 (EMC Update) v0.20_NRA_model_for_NEMO2 (EMC Update) v0.25_NRA_model_for_NEMO2 (EMC Update) v0.29.4_NRA_model_for_NEMO2 (EMC Update) v0.29.5" xfId="1079" xr:uid="{00000000-0005-0000-0000-0000E1030000}"/>
    <cellStyle name="%_NRA_model_for_NEMO2 (EMC Update) v0.20_NRA_model_for_NEMO2 (EMC Update) v0.25_NRA_model_for_NEMO2 (EMC Update) v0.29.4_NRA_model_for_NEMO2 (EMC Update) v0.29.5_NRA_model_for_NEMO2 (EMC Update) v0 30 1" xfId="1080" xr:uid="{00000000-0005-0000-0000-0000E2030000}"/>
    <cellStyle name="%_NRA_model_for_NEMO2 (EMC Update) v0.20_NRA_model_for_NEMO2 (EMC Update) v0.25_NRA_model_for_NEMO2 (EMC Update) v0.29.5" xfId="1081" xr:uid="{00000000-0005-0000-0000-0000E3030000}"/>
    <cellStyle name="%_NRA_model_for_NEMO2 (EMC Update) v0.20_NRA_model_for_NEMO2 (EMC Update) v0.25_NRA_model_for_NEMO2 (EMC Update) v0.29.5_NRA_model_for_NEMO2 (EMC Update) v0 30 1" xfId="1082" xr:uid="{00000000-0005-0000-0000-0000E4030000}"/>
    <cellStyle name="%_NRA_model_for_NEMO2 (EMC Update) v0.20_NRA_model_for_NEMO2 (EMC Update) v0.25_NRA_model_for_NEMO2 (EMC Update) v0.29_NRA_model_for_NEMO2 (EMC Update) v0 30 1" xfId="1083" xr:uid="{00000000-0005-0000-0000-0000E5030000}"/>
    <cellStyle name="%_NRA_model_for_NEMO2 (EMC Update) v0.20_NRA_model_for_NEMO2 (EMC Update) v0.25_NRA_model_for_NEMO2 (EMC Update) v0.29_NRA_model_for_NEMO2 (EMC Update) v0.29.2" xfId="1084" xr:uid="{00000000-0005-0000-0000-0000E6030000}"/>
    <cellStyle name="%_NRA_model_for_NEMO2 (EMC Update) v0.20_NRA_model_for_NEMO2 (EMC Update) v0.25_NRA_model_for_NEMO2 (EMC Update) v0.29_NRA_model_for_NEMO2 (EMC Update) v0.29.2_NRA_model_for_NEMO2 (EMC Update) v0 30 1" xfId="1085" xr:uid="{00000000-0005-0000-0000-0000E7030000}"/>
    <cellStyle name="%_NRA_model_for_NEMO2 (EMC Update) v0.20_NRA_model_for_NEMO2 (EMC Update) v0.25_NRA_model_for_NEMO2 (EMC Update) v0.29_NRA_model_for_NEMO2 (EMC Update) v0.29.2_NRA_model_for_NEMO2 (EMC Update) v0.29.3" xfId="1086" xr:uid="{00000000-0005-0000-0000-0000E8030000}"/>
    <cellStyle name="%_NRA_model_for_NEMO2 (EMC Update) v0.20_NRA_model_for_NEMO2 (EMC Update) v0.25_NRA_model_for_NEMO2 (EMC Update) v0.29_NRA_model_for_NEMO2 (EMC Update) v0.29.2_NRA_model_for_NEMO2 (EMC Update) v0.29.3_NRA_model_for_NEMO2 (EMC Update) v0 30 1" xfId="1087" xr:uid="{00000000-0005-0000-0000-0000E9030000}"/>
    <cellStyle name="%_NRA_model_for_NEMO2 (EMC Update) v0.20_NRA_model_for_NEMO2 (EMC Update) v0.25_NRA_model_for_NEMO2 (EMC Update) v0.29_NRA_model_for_NEMO2 (EMC Update) v0.29.2_NRA_model_for_NEMO2 (EMC Update) v0.29.3_NRA_model_for_NEMO2 (EMC Update) v0.29.5" xfId="1088" xr:uid="{00000000-0005-0000-0000-0000EA030000}"/>
    <cellStyle name="%_NRA_model_for_NEMO2 (EMC Update) v0.20_NRA_model_for_NEMO2 (EMC Update) v0.25_NRA_model_for_NEMO2 (EMC Update) v0.29_NRA_model_for_NEMO2 (EMC Update) v0.29.2_NRA_model_for_NEMO2 (EMC Update) v0.29.4" xfId="1089" xr:uid="{00000000-0005-0000-0000-0000EB030000}"/>
    <cellStyle name="%_NRA_model_for_NEMO2 (EMC Update) v0.20_NRA_model_for_NEMO2 (EMC Update) v0.25_NRA_model_for_NEMO2 (EMC Update) v0.29_NRA_model_for_NEMO2 (EMC Update) v0.29.2_NRA_model_for_NEMO2 (EMC Update) v0.29.4_NRA_model_for_NEMO2 (EMC Update) v0 30 1" xfId="1090" xr:uid="{00000000-0005-0000-0000-0000EC030000}"/>
    <cellStyle name="%_NRA_model_for_NEMO2 (EMC Update) v0.20_NRA_model_for_NEMO2 (EMC Update) v0.25_NRA_model_for_NEMO2 (EMC Update) v0.29_NRA_model_for_NEMO2 (EMC Update) v0.29.2_NRA_model_for_NEMO2 (EMC Update) v0.29.4_NRA_model_for_NEMO2 (EMC Update) v0.29.5" xfId="1091" xr:uid="{00000000-0005-0000-0000-0000ED030000}"/>
    <cellStyle name="%_NRA_model_for_NEMO2 (EMC Update) v0.20_NRA_model_for_NEMO2 (EMC Update) v0.25_NRA_model_for_NEMO2 (EMC Update) v0.29_NRA_model_for_NEMO2 (EMC Update) v0.29.2_NRA_model_for_NEMO2 (EMC Update) v0.29.5" xfId="1092" xr:uid="{00000000-0005-0000-0000-0000EE030000}"/>
    <cellStyle name="%_NRA_model_for_NEMO2 (EMC Update) v0.20_NRA_model_for_NEMO2 (EMC Update) v0.25_NRA_model_for_NEMO2 (EMC Update) v0.29_NRA_model_for_NEMO2 (EMC Update) v0.29.2_NRA_model_for_NEMO2 (EMC Update) v0.29.5_NRA_model_for_NEMO2 (EMC Update) v0 30 1" xfId="1093" xr:uid="{00000000-0005-0000-0000-0000EF030000}"/>
    <cellStyle name="%_NRA_model_for_NEMO2 (EMC Update) v0.20_NRA_model_for_NEMO2 (EMC Update) v0.25_NRA_model_for_NEMO2 (EMC Update) v0.29_NRA_model_for_NEMO2 (EMC Update) v0.29.3" xfId="1094" xr:uid="{00000000-0005-0000-0000-0000F0030000}"/>
    <cellStyle name="%_NRA_model_for_NEMO2 (EMC Update) v0.20_NRA_model_for_NEMO2 (EMC Update) v0.25_NRA_model_for_NEMO2 (EMC Update) v0.29_NRA_model_for_NEMO2 (EMC Update) v0.29.3_NRA_model_for_NEMO2 (EMC Update) v0 30 1" xfId="1095" xr:uid="{00000000-0005-0000-0000-0000F1030000}"/>
    <cellStyle name="%_NRA_model_for_NEMO2 (EMC Update) v0.20_NRA_model_for_NEMO2 (EMC Update) v0.25_NRA_model_for_NEMO2 (EMC Update) v0.29_NRA_model_for_NEMO2 (EMC Update) v0.29.3_NRA_model_for_NEMO2 (EMC Update) v0.29.5" xfId="1096" xr:uid="{00000000-0005-0000-0000-0000F2030000}"/>
    <cellStyle name="%_NRA_model_for_NEMO2 (EMC Update) v0.20_NRA_model_for_NEMO2 (EMC Update) v0.25_NRA_model_for_NEMO2 (EMC Update) v0.29_NRA_model_for_NEMO2 (EMC Update) v0.29.3_NRA_model_for_NEMO2 (EMC Update) v0.29.5_NRA_model_for_NEMO2 (EMC Update) v0 30 1" xfId="1097" xr:uid="{00000000-0005-0000-0000-0000F3030000}"/>
    <cellStyle name="%_NRA_model_for_NEMO2 (EMC Update) v0.20_NRA_model_for_NEMO2 (EMC Update) v0.25_NRA_model_for_NEMO2 (EMC Update) v0.29_NRA_model_for_NEMO2 (EMC Update) v0.29.4" xfId="1098" xr:uid="{00000000-0005-0000-0000-0000F4030000}"/>
    <cellStyle name="%_NRA_model_for_NEMO2 (EMC Update) v0.20_NRA_model_for_NEMO2 (EMC Update) v0.25_NRA_model_for_NEMO2 (EMC Update) v0.29_NRA_model_for_NEMO2 (EMC Update) v0.29.4_NRA_model_for_NEMO2 (EMC Update) v0 30 1" xfId="1099" xr:uid="{00000000-0005-0000-0000-0000F5030000}"/>
    <cellStyle name="%_NRA_model_for_NEMO2 (EMC Update) v0.20_NRA_model_for_NEMO2 (EMC Update) v0.25_NRA_model_for_NEMO2 (EMC Update) v0.29_NRA_model_for_NEMO2 (EMC Update) v0.29.4_NRA_model_for_NEMO2 (EMC Update) v0.29.5" xfId="1100" xr:uid="{00000000-0005-0000-0000-0000F6030000}"/>
    <cellStyle name="%_NRA_model_for_NEMO2 (EMC Update) v0.20_NRA_model_for_NEMO2 (EMC Update) v0.25_NRA_model_for_NEMO2 (EMC Update) v0.29_NRA_model_for_NEMO2 (EMC Update) v0.29.4_NRA_model_for_NEMO2 (EMC Update) v0.29.5_NRA_model_for_NEMO2 (EMC Update) v0 30 1" xfId="1101" xr:uid="{00000000-0005-0000-0000-0000F7030000}"/>
    <cellStyle name="%_NRA_model_for_NEMO2 (EMC Update) v0.20_NRA_model_for_NEMO2 (EMC Update) v0.25_NRA_model_for_NEMO2 (EMC Update) v0.29_NRA_model_for_NEMO2 (EMC Update) v0.29.5" xfId="1102" xr:uid="{00000000-0005-0000-0000-0000F8030000}"/>
    <cellStyle name="%_NRA_model_for_NEMO2 (EMC Update) v0.20_NRA_model_for_NEMO2 (EMC Update) v0.25_NRA_model_for_NEMO2 (EMC Update) v0.29_NRA_model_for_NEMO2 (EMC Update) v0.29.5_NRA_model_for_NEMO2 (EMC Update) v0 30 1" xfId="1103" xr:uid="{00000000-0005-0000-0000-0000F9030000}"/>
    <cellStyle name="%_NRA_model_for_NEMO2 (EMC Update) v0.20_NRA_model_for_NEMO2 (EMC Update) v0.26" xfId="1104" xr:uid="{00000000-0005-0000-0000-0000FA030000}"/>
    <cellStyle name="%_NRA_model_for_NEMO2 (EMC Update) v0.20_NRA_model_for_NEMO2 (EMC Update) v0.26_NRA_model_for_NEMO2 (EMC Update) v0 30 1" xfId="1105" xr:uid="{00000000-0005-0000-0000-0000FB030000}"/>
    <cellStyle name="%_NRA_model_for_NEMO2 (EMC Update) v0.20_NRA_model_for_NEMO2 (EMC Update) v0.26_NRA_model_for_NEMO2 (EMC Update) v0.29" xfId="1106" xr:uid="{00000000-0005-0000-0000-0000FC030000}"/>
    <cellStyle name="%_NRA_model_for_NEMO2 (EMC Update) v0.20_NRA_model_for_NEMO2 (EMC Update) v0.26_NRA_model_for_NEMO2 (EMC Update) v0.29.2" xfId="1107" xr:uid="{00000000-0005-0000-0000-0000FD030000}"/>
    <cellStyle name="%_NRA_model_for_NEMO2 (EMC Update) v0.20_NRA_model_for_NEMO2 (EMC Update) v0.26_NRA_model_for_NEMO2 (EMC Update) v0.29.2_NRA_model_for_NEMO2 (EMC Update) v0 30 1" xfId="1108" xr:uid="{00000000-0005-0000-0000-0000FE030000}"/>
    <cellStyle name="%_NRA_model_for_NEMO2 (EMC Update) v0.20_NRA_model_for_NEMO2 (EMC Update) v0.26_NRA_model_for_NEMO2 (EMC Update) v0.29.2_NRA_model_for_NEMO2 (EMC Update) v0.29.3" xfId="1109" xr:uid="{00000000-0005-0000-0000-0000FF030000}"/>
    <cellStyle name="%_NRA_model_for_NEMO2 (EMC Update) v0.20_NRA_model_for_NEMO2 (EMC Update) v0.26_NRA_model_for_NEMO2 (EMC Update) v0.29.2_NRA_model_for_NEMO2 (EMC Update) v0.29.3_NRA_model_for_NEMO2 (EMC Update) v0 30 1" xfId="1110" xr:uid="{00000000-0005-0000-0000-000000040000}"/>
    <cellStyle name="%_NRA_model_for_NEMO2 (EMC Update) v0.20_NRA_model_for_NEMO2 (EMC Update) v0.26_NRA_model_for_NEMO2 (EMC Update) v0.29.2_NRA_model_for_NEMO2 (EMC Update) v0.29.3_NRA_model_for_NEMO2 (EMC Update) v0.29.5" xfId="1111" xr:uid="{00000000-0005-0000-0000-000001040000}"/>
    <cellStyle name="%_NRA_model_for_NEMO2 (EMC Update) v0.20_NRA_model_for_NEMO2 (EMC Update) v0.26_NRA_model_for_NEMO2 (EMC Update) v0.29.2_NRA_model_for_NEMO2 (EMC Update) v0.29.3_NRA_model_for_NEMO2 (EMC Update) v0.29.5_NRA_model_for_NEMO2 (EMC Update) v0 30 1" xfId="1112" xr:uid="{00000000-0005-0000-0000-000002040000}"/>
    <cellStyle name="%_NRA_model_for_NEMO2 (EMC Update) v0.20_NRA_model_for_NEMO2 (EMC Update) v0.26_NRA_model_for_NEMO2 (EMC Update) v0.29.2_NRA_model_for_NEMO2 (EMC Update) v0.29.4" xfId="1113" xr:uid="{00000000-0005-0000-0000-000003040000}"/>
    <cellStyle name="%_NRA_model_for_NEMO2 (EMC Update) v0.20_NRA_model_for_NEMO2 (EMC Update) v0.26_NRA_model_for_NEMO2 (EMC Update) v0.29.2_NRA_model_for_NEMO2 (EMC Update) v0.29.4_NRA_model_for_NEMO2 (EMC Update) v0 30 1" xfId="1114" xr:uid="{00000000-0005-0000-0000-000004040000}"/>
    <cellStyle name="%_NRA_model_for_NEMO2 (EMC Update) v0.20_NRA_model_for_NEMO2 (EMC Update) v0.26_NRA_model_for_NEMO2 (EMC Update) v0.29.2_NRA_model_for_NEMO2 (EMC Update) v0.29.4_NRA_model_for_NEMO2 (EMC Update) v0.29.5" xfId="1115" xr:uid="{00000000-0005-0000-0000-000005040000}"/>
    <cellStyle name="%_NRA_model_for_NEMO2 (EMC Update) v0.20_NRA_model_for_NEMO2 (EMC Update) v0.26_NRA_model_for_NEMO2 (EMC Update) v0.29.2_NRA_model_for_NEMO2 (EMC Update) v0.29.4_NRA_model_for_NEMO2 (EMC Update) v0.29.5_NRA_model_for_NEMO2 (EMC Update) v0 30 1" xfId="1116" xr:uid="{00000000-0005-0000-0000-000006040000}"/>
    <cellStyle name="%_NRA_model_for_NEMO2 (EMC Update) v0.20_NRA_model_for_NEMO2 (EMC Update) v0.26_NRA_model_for_NEMO2 (EMC Update) v0.29.2_NRA_model_for_NEMO2 (EMC Update) v0.29.5" xfId="1117" xr:uid="{00000000-0005-0000-0000-000007040000}"/>
    <cellStyle name="%_NRA_model_for_NEMO2 (EMC Update) v0.20_NRA_model_for_NEMO2 (EMC Update) v0.26_NRA_model_for_NEMO2 (EMC Update) v0.29.2_NRA_model_for_NEMO2 (EMC Update) v0.29.5_NRA_model_for_NEMO2 (EMC Update) v0 30 1" xfId="1118" xr:uid="{00000000-0005-0000-0000-000008040000}"/>
    <cellStyle name="%_NRA_model_for_NEMO2 (EMC Update) v0.20_NRA_model_for_NEMO2 (EMC Update) v0.26_NRA_model_for_NEMO2 (EMC Update) v0.29.3" xfId="1119" xr:uid="{00000000-0005-0000-0000-000009040000}"/>
    <cellStyle name="%_NRA_model_for_NEMO2 (EMC Update) v0.20_NRA_model_for_NEMO2 (EMC Update) v0.26_NRA_model_for_NEMO2 (EMC Update) v0.29.3_NRA_model_for_NEMO2 (EMC Update) v0 30 1" xfId="1120" xr:uid="{00000000-0005-0000-0000-00000A040000}"/>
    <cellStyle name="%_NRA_model_for_NEMO2 (EMC Update) v0.20_NRA_model_for_NEMO2 (EMC Update) v0.26_NRA_model_for_NEMO2 (EMC Update) v0.29.3_NRA_model_for_NEMO2 (EMC Update) v0.29.5" xfId="1121" xr:uid="{00000000-0005-0000-0000-00000B040000}"/>
    <cellStyle name="%_NRA_model_for_NEMO2 (EMC Update) v0.20_NRA_model_for_NEMO2 (EMC Update) v0.26_NRA_model_for_NEMO2 (EMC Update) v0.29.3_NRA_model_for_NEMO2 (EMC Update) v0.29.5_NRA_model_for_NEMO2 (EMC Update) v0 30 1" xfId="1122" xr:uid="{00000000-0005-0000-0000-00000C040000}"/>
    <cellStyle name="%_NRA_model_for_NEMO2 (EMC Update) v0.20_NRA_model_for_NEMO2 (EMC Update) v0.26_NRA_model_for_NEMO2 (EMC Update) v0.29.4" xfId="1123" xr:uid="{00000000-0005-0000-0000-00000D040000}"/>
    <cellStyle name="%_NRA_model_for_NEMO2 (EMC Update) v0.20_NRA_model_for_NEMO2 (EMC Update) v0.26_NRA_model_for_NEMO2 (EMC Update) v0.29.4_NRA_model_for_NEMO2 (EMC Update) v0 30 1" xfId="1124" xr:uid="{00000000-0005-0000-0000-00000E040000}"/>
    <cellStyle name="%_NRA_model_for_NEMO2 (EMC Update) v0.20_NRA_model_for_NEMO2 (EMC Update) v0.26_NRA_model_for_NEMO2 (EMC Update) v0.29.4_NRA_model_for_NEMO2 (EMC Update) v0.29.5" xfId="1125" xr:uid="{00000000-0005-0000-0000-00000F040000}"/>
    <cellStyle name="%_NRA_model_for_NEMO2 (EMC Update) v0.20_NRA_model_for_NEMO2 (EMC Update) v0.26_NRA_model_for_NEMO2 (EMC Update) v0.29.4_NRA_model_for_NEMO2 (EMC Update) v0.29.5_NRA_model_for_NEMO2 (EMC Update) v0 30 1" xfId="1126" xr:uid="{00000000-0005-0000-0000-000010040000}"/>
    <cellStyle name="%_NRA_model_for_NEMO2 (EMC Update) v0.20_NRA_model_for_NEMO2 (EMC Update) v0.26_NRA_model_for_NEMO2 (EMC Update) v0.29.5" xfId="1127" xr:uid="{00000000-0005-0000-0000-000011040000}"/>
    <cellStyle name="%_NRA_model_for_NEMO2 (EMC Update) v0.20_NRA_model_for_NEMO2 (EMC Update) v0.26_NRA_model_for_NEMO2 (EMC Update) v0.29.5_NRA_model_for_NEMO2 (EMC Update) v0 30 1" xfId="1128" xr:uid="{00000000-0005-0000-0000-000012040000}"/>
    <cellStyle name="%_NRA_model_for_NEMO2 (EMC Update) v0.20_NRA_model_for_NEMO2 (EMC Update) v0.26_NRA_model_for_NEMO2 (EMC Update) v0.29_NRA_model_for_NEMO2 (EMC Update) v0 30 1" xfId="1129" xr:uid="{00000000-0005-0000-0000-000013040000}"/>
    <cellStyle name="%_NRA_model_for_NEMO2 (EMC Update) v0.20_NRA_model_for_NEMO2 (EMC Update) v0.26_NRA_model_for_NEMO2 (EMC Update) v0.29_NRA_model_for_NEMO2 (EMC Update) v0.29.2" xfId="1130" xr:uid="{00000000-0005-0000-0000-000014040000}"/>
    <cellStyle name="%_NRA_model_for_NEMO2 (EMC Update) v0.20_NRA_model_for_NEMO2 (EMC Update) v0.26_NRA_model_for_NEMO2 (EMC Update) v0.29_NRA_model_for_NEMO2 (EMC Update) v0.29.2_NRA_model_for_NEMO2 (EMC Update) v0 30 1" xfId="1131" xr:uid="{00000000-0005-0000-0000-000015040000}"/>
    <cellStyle name="%_NRA_model_for_NEMO2 (EMC Update) v0.20_NRA_model_for_NEMO2 (EMC Update) v0.26_NRA_model_for_NEMO2 (EMC Update) v0.29_NRA_model_for_NEMO2 (EMC Update) v0.29.2_NRA_model_for_NEMO2 (EMC Update) v0.29.3" xfId="1132" xr:uid="{00000000-0005-0000-0000-000016040000}"/>
    <cellStyle name="%_NRA_model_for_NEMO2 (EMC Update) v0.20_NRA_model_for_NEMO2 (EMC Update) v0.26_NRA_model_for_NEMO2 (EMC Update) v0.29_NRA_model_for_NEMO2 (EMC Update) v0.29.2_NRA_model_for_NEMO2 (EMC Update) v0.29.3_NRA_model_for_NEMO2 (EMC Update) v0 30 1" xfId="1133" xr:uid="{00000000-0005-0000-0000-000017040000}"/>
    <cellStyle name="%_NRA_model_for_NEMO2 (EMC Update) v0.20_NRA_model_for_NEMO2 (EMC Update) v0.26_NRA_model_for_NEMO2 (EMC Update) v0.29_NRA_model_for_NEMO2 (EMC Update) v0.29.2_NRA_model_for_NEMO2 (EMC Update) v0.29.3_NRA_model_for_NEMO2 (EMC Update) v0.29.5" xfId="1134" xr:uid="{00000000-0005-0000-0000-000018040000}"/>
    <cellStyle name="%_NRA_model_for_NEMO2 (EMC Update) v0.20_NRA_model_for_NEMO2 (EMC Update) v0.26_NRA_model_for_NEMO2 (EMC Update) v0.29_NRA_model_for_NEMO2 (EMC Update) v0.29.2_NRA_model_for_NEMO2 (EMC Update) v0.29.4" xfId="1135" xr:uid="{00000000-0005-0000-0000-000019040000}"/>
    <cellStyle name="%_NRA_model_for_NEMO2 (EMC Update) v0.20_NRA_model_for_NEMO2 (EMC Update) v0.26_NRA_model_for_NEMO2 (EMC Update) v0.29_NRA_model_for_NEMO2 (EMC Update) v0.29.2_NRA_model_for_NEMO2 (EMC Update) v0.29.4_NRA_model_for_NEMO2 (EMC Update) v0 30 1" xfId="1136" xr:uid="{00000000-0005-0000-0000-00001A040000}"/>
    <cellStyle name="%_NRA_model_for_NEMO2 (EMC Update) v0.20_NRA_model_for_NEMO2 (EMC Update) v0.26_NRA_model_for_NEMO2 (EMC Update) v0.29_NRA_model_for_NEMO2 (EMC Update) v0.29.2_NRA_model_for_NEMO2 (EMC Update) v0.29.4_NRA_model_for_NEMO2 (EMC Update) v0.29.5" xfId="1137" xr:uid="{00000000-0005-0000-0000-00001B040000}"/>
    <cellStyle name="%_NRA_model_for_NEMO2 (EMC Update) v0.20_NRA_model_for_NEMO2 (EMC Update) v0.26_NRA_model_for_NEMO2 (EMC Update) v0.29_NRA_model_for_NEMO2 (EMC Update) v0.29.2_NRA_model_for_NEMO2 (EMC Update) v0.29.5" xfId="1138" xr:uid="{00000000-0005-0000-0000-00001C040000}"/>
    <cellStyle name="%_NRA_model_for_NEMO2 (EMC Update) v0.20_NRA_model_for_NEMO2 (EMC Update) v0.26_NRA_model_for_NEMO2 (EMC Update) v0.29_NRA_model_for_NEMO2 (EMC Update) v0.29.2_NRA_model_for_NEMO2 (EMC Update) v0.29.5_NRA_model_for_NEMO2 (EMC Update) v0 30 1" xfId="1139" xr:uid="{00000000-0005-0000-0000-00001D040000}"/>
    <cellStyle name="%_NRA_model_for_NEMO2 (EMC Update) v0.20_NRA_model_for_NEMO2 (EMC Update) v0.26_NRA_model_for_NEMO2 (EMC Update) v0.29_NRA_model_for_NEMO2 (EMC Update) v0.29.3" xfId="1140" xr:uid="{00000000-0005-0000-0000-00001E040000}"/>
    <cellStyle name="%_NRA_model_for_NEMO2 (EMC Update) v0.20_NRA_model_for_NEMO2 (EMC Update) v0.26_NRA_model_for_NEMO2 (EMC Update) v0.29_NRA_model_for_NEMO2 (EMC Update) v0.29.3_NRA_model_for_NEMO2 (EMC Update) v0 30 1" xfId="1141" xr:uid="{00000000-0005-0000-0000-00001F040000}"/>
    <cellStyle name="%_NRA_model_for_NEMO2 (EMC Update) v0.20_NRA_model_for_NEMO2 (EMC Update) v0.26_NRA_model_for_NEMO2 (EMC Update) v0.29_NRA_model_for_NEMO2 (EMC Update) v0.29.3_NRA_model_for_NEMO2 (EMC Update) v0.29.5" xfId="1142" xr:uid="{00000000-0005-0000-0000-000020040000}"/>
    <cellStyle name="%_NRA_model_for_NEMO2 (EMC Update) v0.20_NRA_model_for_NEMO2 (EMC Update) v0.26_NRA_model_for_NEMO2 (EMC Update) v0.29_NRA_model_for_NEMO2 (EMC Update) v0.29.3_NRA_model_for_NEMO2 (EMC Update) v0.29.5_NRA_model_for_NEMO2 (EMC Update) v0 30 1" xfId="1143" xr:uid="{00000000-0005-0000-0000-000021040000}"/>
    <cellStyle name="%_NRA_model_for_NEMO2 (EMC Update) v0.20_NRA_model_for_NEMO2 (EMC Update) v0.26_NRA_model_for_NEMO2 (EMC Update) v0.29_NRA_model_for_NEMO2 (EMC Update) v0.29.4" xfId="1144" xr:uid="{00000000-0005-0000-0000-000022040000}"/>
    <cellStyle name="%_NRA_model_for_NEMO2 (EMC Update) v0.20_NRA_model_for_NEMO2 (EMC Update) v0.26_NRA_model_for_NEMO2 (EMC Update) v0.29_NRA_model_for_NEMO2 (EMC Update) v0.29.4_NRA_model_for_NEMO2 (EMC Update) v0 30 1" xfId="1145" xr:uid="{00000000-0005-0000-0000-000023040000}"/>
    <cellStyle name="%_NRA_model_for_NEMO2 (EMC Update) v0.20_NRA_model_for_NEMO2 (EMC Update) v0.26_NRA_model_for_NEMO2 (EMC Update) v0.29_NRA_model_for_NEMO2 (EMC Update) v0.29.4_NRA_model_for_NEMO2 (EMC Update) v0.29.5" xfId="1146" xr:uid="{00000000-0005-0000-0000-000024040000}"/>
    <cellStyle name="%_NRA_model_for_NEMO2 (EMC Update) v0.20_NRA_model_for_NEMO2 (EMC Update) v0.26_NRA_model_for_NEMO2 (EMC Update) v0.29_NRA_model_for_NEMO2 (EMC Update) v0.29.4_NRA_model_for_NEMO2 (EMC Update) v0.29.5_NRA_model_for_NEMO2 (EMC Update) v0 30 1" xfId="1147" xr:uid="{00000000-0005-0000-0000-000025040000}"/>
    <cellStyle name="%_NRA_model_for_NEMO2 (EMC Update) v0.20_NRA_model_for_NEMO2 (EMC Update) v0.26_NRA_model_for_NEMO2 (EMC Update) v0.29_NRA_model_for_NEMO2 (EMC Update) v0.29.5" xfId="1148" xr:uid="{00000000-0005-0000-0000-000026040000}"/>
    <cellStyle name="%_NRA_model_for_NEMO2 (EMC Update) v0.20_NRA_model_for_NEMO2 (EMC Update) v0.26_NRA_model_for_NEMO2 (EMC Update) v0.29_NRA_model_for_NEMO2 (EMC Update) v0.29.5_NRA_model_for_NEMO2 (EMC Update) v0 30 1" xfId="1149" xr:uid="{00000000-0005-0000-0000-000027040000}"/>
    <cellStyle name="%_NRA_model_for_NEMO2 (EMC Update) v0.20_NRA_model_for_NEMO2 (EMC Update) v0.29" xfId="1150" xr:uid="{00000000-0005-0000-0000-000028040000}"/>
    <cellStyle name="%_NRA_model_for_NEMO2 (EMC Update) v0.20_NRA_model_for_NEMO2 (EMC Update) v0.29.2" xfId="1151" xr:uid="{00000000-0005-0000-0000-000029040000}"/>
    <cellStyle name="%_NRA_model_for_NEMO2 (EMC Update) v0.20_NRA_model_for_NEMO2 (EMC Update) v0.29.2_NRA_model_for_NEMO2 (EMC Update) v0 30 1" xfId="1152" xr:uid="{00000000-0005-0000-0000-00002A040000}"/>
    <cellStyle name="%_NRA_model_for_NEMO2 (EMC Update) v0.20_NRA_model_for_NEMO2 (EMC Update) v0.29.2_NRA_model_for_NEMO2 (EMC Update) v0.29.3" xfId="1153" xr:uid="{00000000-0005-0000-0000-00002B040000}"/>
    <cellStyle name="%_NRA_model_for_NEMO2 (EMC Update) v0.20_NRA_model_for_NEMO2 (EMC Update) v0.29.2_NRA_model_for_NEMO2 (EMC Update) v0.29.3_NRA_model_for_NEMO2 (EMC Update) v0 30 1" xfId="1154" xr:uid="{00000000-0005-0000-0000-00002C040000}"/>
    <cellStyle name="%_NRA_model_for_NEMO2 (EMC Update) v0.20_NRA_model_for_NEMO2 (EMC Update) v0.29.2_NRA_model_for_NEMO2 (EMC Update) v0.29.3_NRA_model_for_NEMO2 (EMC Update) v0.29.5" xfId="1155" xr:uid="{00000000-0005-0000-0000-00002D040000}"/>
    <cellStyle name="%_NRA_model_for_NEMO2 (EMC Update) v0.20_NRA_model_for_NEMO2 (EMC Update) v0.29.2_NRA_model_for_NEMO2 (EMC Update) v0.29.3_NRA_model_for_NEMO2 (EMC Update) v0.29.5_NRA_model_for_NEMO2 (EMC Update) v0 30 1" xfId="1156" xr:uid="{00000000-0005-0000-0000-00002E040000}"/>
    <cellStyle name="%_NRA_model_for_NEMO2 (EMC Update) v0.20_NRA_model_for_NEMO2 (EMC Update) v0.29.2_NRA_model_for_NEMO2 (EMC Update) v0.29.4" xfId="1157" xr:uid="{00000000-0005-0000-0000-00002F040000}"/>
    <cellStyle name="%_NRA_model_for_NEMO2 (EMC Update) v0.20_NRA_model_for_NEMO2 (EMC Update) v0.29.2_NRA_model_for_NEMO2 (EMC Update) v0.29.4_NRA_model_for_NEMO2 (EMC Update) v0 30 1" xfId="1158" xr:uid="{00000000-0005-0000-0000-000030040000}"/>
    <cellStyle name="%_NRA_model_for_NEMO2 (EMC Update) v0.20_NRA_model_for_NEMO2 (EMC Update) v0.29.2_NRA_model_for_NEMO2 (EMC Update) v0.29.4_NRA_model_for_NEMO2 (EMC Update) v0.29.5" xfId="1159" xr:uid="{00000000-0005-0000-0000-000031040000}"/>
    <cellStyle name="%_NRA_model_for_NEMO2 (EMC Update) v0.20_NRA_model_for_NEMO2 (EMC Update) v0.29.2_NRA_model_for_NEMO2 (EMC Update) v0.29.4_NRA_model_for_NEMO2 (EMC Update) v0.29.5_NRA_model_for_NEMO2 (EMC Update) v0 30 1" xfId="1160" xr:uid="{00000000-0005-0000-0000-000032040000}"/>
    <cellStyle name="%_NRA_model_for_NEMO2 (EMC Update) v0.20_NRA_model_for_NEMO2 (EMC Update) v0.29.2_NRA_model_for_NEMO2 (EMC Update) v0.29.5" xfId="1161" xr:uid="{00000000-0005-0000-0000-000033040000}"/>
    <cellStyle name="%_NRA_model_for_NEMO2 (EMC Update) v0.20_NRA_model_for_NEMO2 (EMC Update) v0.29.2_NRA_model_for_NEMO2 (EMC Update) v0.29.5_NRA_model_for_NEMO2 (EMC Update) v0 30 1" xfId="1162" xr:uid="{00000000-0005-0000-0000-000034040000}"/>
    <cellStyle name="%_NRA_model_for_NEMO2 (EMC Update) v0.20_NRA_model_for_NEMO2 (EMC Update) v0.29.3" xfId="1163" xr:uid="{00000000-0005-0000-0000-000035040000}"/>
    <cellStyle name="%_NRA_model_for_NEMO2 (EMC Update) v0.20_NRA_model_for_NEMO2 (EMC Update) v0.29.3_NRA_model_for_NEMO2 (EMC Update) v0 30 1" xfId="1164" xr:uid="{00000000-0005-0000-0000-000036040000}"/>
    <cellStyle name="%_NRA_model_for_NEMO2 (EMC Update) v0.20_NRA_model_for_NEMO2 (EMC Update) v0.29.3_NRA_model_for_NEMO2 (EMC Update) v0.29.5" xfId="1165" xr:uid="{00000000-0005-0000-0000-000037040000}"/>
    <cellStyle name="%_NRA_model_for_NEMO2 (EMC Update) v0.20_NRA_model_for_NEMO2 (EMC Update) v0.29.3_NRA_model_for_NEMO2 (EMC Update) v0.29.5_NRA_model_for_NEMO2 (EMC Update) v0 30 1" xfId="1166" xr:uid="{00000000-0005-0000-0000-000038040000}"/>
    <cellStyle name="%_NRA_model_for_NEMO2 (EMC Update) v0.20_NRA_model_for_NEMO2 (EMC Update) v0.29.4" xfId="1167" xr:uid="{00000000-0005-0000-0000-000039040000}"/>
    <cellStyle name="%_NRA_model_for_NEMO2 (EMC Update) v0.20_NRA_model_for_NEMO2 (EMC Update) v0.29.4_NRA_model_for_NEMO2 (EMC Update) v0 30 1" xfId="1168" xr:uid="{00000000-0005-0000-0000-00003A040000}"/>
    <cellStyle name="%_NRA_model_for_NEMO2 (EMC Update) v0.20_NRA_model_for_NEMO2 (EMC Update) v0.29.4_NRA_model_for_NEMO2 (EMC Update) v0.29.5" xfId="1169" xr:uid="{00000000-0005-0000-0000-00003B040000}"/>
    <cellStyle name="%_NRA_model_for_NEMO2 (EMC Update) v0.20_NRA_model_for_NEMO2 (EMC Update) v0.29.4_NRA_model_for_NEMO2 (EMC Update) v0.29.5_NRA_model_for_NEMO2 (EMC Update) v0 30 1" xfId="1170" xr:uid="{00000000-0005-0000-0000-00003C040000}"/>
    <cellStyle name="%_NRA_model_for_NEMO2 (EMC Update) v0.20_NRA_model_for_NEMO2 (EMC Update) v0.29.5" xfId="1171" xr:uid="{00000000-0005-0000-0000-00003D040000}"/>
    <cellStyle name="%_NRA_model_for_NEMO2 (EMC Update) v0.20_NRA_model_for_NEMO2 (EMC Update) v0.29.5_NRA_model_for_NEMO2 (EMC Update) v0 30 1" xfId="1172" xr:uid="{00000000-0005-0000-0000-00003E040000}"/>
    <cellStyle name="%_NRA_model_for_NEMO2 (EMC Update) v0.20_NRA_model_for_NEMO2 (EMC Update) v0.29_NRA_model_for_NEMO2 (EMC Update) v0 30 1" xfId="1173" xr:uid="{00000000-0005-0000-0000-00003F040000}"/>
    <cellStyle name="%_NRA_model_for_NEMO2 (EMC Update) v0.20_NRA_model_for_NEMO2 (EMC Update) v0.29_NRA_model_for_NEMO2 (EMC Update) v0.29.2" xfId="1174" xr:uid="{00000000-0005-0000-0000-000040040000}"/>
    <cellStyle name="%_NRA_model_for_NEMO2 (EMC Update) v0.20_NRA_model_for_NEMO2 (EMC Update) v0.29_NRA_model_for_NEMO2 (EMC Update) v0.29.2_NRA_model_for_NEMO2 (EMC Update) v0 30 1" xfId="1175" xr:uid="{00000000-0005-0000-0000-000041040000}"/>
    <cellStyle name="%_NRA_model_for_NEMO2 (EMC Update) v0.20_NRA_model_for_NEMO2 (EMC Update) v0.29_NRA_model_for_NEMO2 (EMC Update) v0.29.2_NRA_model_for_NEMO2 (EMC Update) v0.29.3" xfId="1176" xr:uid="{00000000-0005-0000-0000-000042040000}"/>
    <cellStyle name="%_NRA_model_for_NEMO2 (EMC Update) v0.20_NRA_model_for_NEMO2 (EMC Update) v0.29_NRA_model_for_NEMO2 (EMC Update) v0.29.2_NRA_model_for_NEMO2 (EMC Update) v0.29.3_NRA_model_for_NEMO2 (EMC Update) v0 30 1" xfId="1177" xr:uid="{00000000-0005-0000-0000-000043040000}"/>
    <cellStyle name="%_NRA_model_for_NEMO2 (EMC Update) v0.20_NRA_model_for_NEMO2 (EMC Update) v0.29_NRA_model_for_NEMO2 (EMC Update) v0.29.2_NRA_model_for_NEMO2 (EMC Update) v0.29.3_NRA_model_for_NEMO2 (EMC Update) v0.29.5" xfId="1178" xr:uid="{00000000-0005-0000-0000-000044040000}"/>
    <cellStyle name="%_NRA_model_for_NEMO2 (EMC Update) v0.20_NRA_model_for_NEMO2 (EMC Update) v0.29_NRA_model_for_NEMO2 (EMC Update) v0.29.2_NRA_model_for_NEMO2 (EMC Update) v0.29.3_NRA_model_for_NEMO2 (EMC Update) v0.29.5_NRA_model_for_NEMO2 (EMC Update) v0 30 1" xfId="1179" xr:uid="{00000000-0005-0000-0000-000045040000}"/>
    <cellStyle name="%_NRA_model_for_NEMO2 (EMC Update) v0.20_NRA_model_for_NEMO2 (EMC Update) v0.29_NRA_model_for_NEMO2 (EMC Update) v0.29.2_NRA_model_for_NEMO2 (EMC Update) v0.29.4" xfId="1180" xr:uid="{00000000-0005-0000-0000-000046040000}"/>
    <cellStyle name="%_NRA_model_for_NEMO2 (EMC Update) v0.20_NRA_model_for_NEMO2 (EMC Update) v0.29_NRA_model_for_NEMO2 (EMC Update) v0.29.2_NRA_model_for_NEMO2 (EMC Update) v0.29.4_NRA_model_for_NEMO2 (EMC Update) v0 30 1" xfId="1181" xr:uid="{00000000-0005-0000-0000-000047040000}"/>
    <cellStyle name="%_NRA_model_for_NEMO2 (EMC Update) v0.20_NRA_model_for_NEMO2 (EMC Update) v0.29_NRA_model_for_NEMO2 (EMC Update) v0.29.2_NRA_model_for_NEMO2 (EMC Update) v0.29.4_NRA_model_for_NEMO2 (EMC Update) v0.29.5" xfId="1182" xr:uid="{00000000-0005-0000-0000-000048040000}"/>
    <cellStyle name="%_NRA_model_for_NEMO2 (EMC Update) v0.20_NRA_model_for_NEMO2 (EMC Update) v0.29_NRA_model_for_NEMO2 (EMC Update) v0.29.2_NRA_model_for_NEMO2 (EMC Update) v0.29.4_NRA_model_for_NEMO2 (EMC Update) v0.29.5_NRA_model_for_NEMO2 (EMC Update) v0 30 1" xfId="1183" xr:uid="{00000000-0005-0000-0000-000049040000}"/>
    <cellStyle name="%_NRA_model_for_NEMO2 (EMC Update) v0.20_NRA_model_for_NEMO2 (EMC Update) v0.29_NRA_model_for_NEMO2 (EMC Update) v0.29.2_NRA_model_for_NEMO2 (EMC Update) v0.29.5" xfId="1184" xr:uid="{00000000-0005-0000-0000-00004A040000}"/>
    <cellStyle name="%_NRA_model_for_NEMO2 (EMC Update) v0.20_NRA_model_for_NEMO2 (EMC Update) v0.29_NRA_model_for_NEMO2 (EMC Update) v0.29.2_NRA_model_for_NEMO2 (EMC Update) v0.29.5_NRA_model_for_NEMO2 (EMC Update) v0 30 1" xfId="1185" xr:uid="{00000000-0005-0000-0000-00004B040000}"/>
    <cellStyle name="%_NRA_model_for_NEMO2 (EMC Update) v0.20_NRA_model_for_NEMO2 (EMC Update) v0.29_NRA_model_for_NEMO2 (EMC Update) v0.29.3" xfId="1186" xr:uid="{00000000-0005-0000-0000-00004C040000}"/>
    <cellStyle name="%_NRA_model_for_NEMO2 (EMC Update) v0.20_NRA_model_for_NEMO2 (EMC Update) v0.29_NRA_model_for_NEMO2 (EMC Update) v0.29.3_NRA_model_for_NEMO2 (EMC Update) v0 30 1" xfId="1187" xr:uid="{00000000-0005-0000-0000-00004D040000}"/>
    <cellStyle name="%_NRA_model_for_NEMO2 (EMC Update) v0.20_NRA_model_for_NEMO2 (EMC Update) v0.29_NRA_model_for_NEMO2 (EMC Update) v0.29.3_NRA_model_for_NEMO2 (EMC Update) v0.29.5" xfId="1188" xr:uid="{00000000-0005-0000-0000-00004E040000}"/>
    <cellStyle name="%_NRA_model_for_NEMO2 (EMC Update) v0.20_NRA_model_for_NEMO2 (EMC Update) v0.29_NRA_model_for_NEMO2 (EMC Update) v0.29.3_NRA_model_for_NEMO2 (EMC Update) v0.29.5_NRA_model_for_NEMO2 (EMC Update) v0 30 1" xfId="1189" xr:uid="{00000000-0005-0000-0000-00004F040000}"/>
    <cellStyle name="%_NRA_model_for_NEMO2 (EMC Update) v0.20_NRA_model_for_NEMO2 (EMC Update) v0.29_NRA_model_for_NEMO2 (EMC Update) v0.29.4" xfId="1190" xr:uid="{00000000-0005-0000-0000-000050040000}"/>
    <cellStyle name="%_NRA_model_for_NEMO2 (EMC Update) v0.20_NRA_model_for_NEMO2 (EMC Update) v0.29_NRA_model_for_NEMO2 (EMC Update) v0.29.4_NRA_model_for_NEMO2 (EMC Update) v0 30 1" xfId="1191" xr:uid="{00000000-0005-0000-0000-000051040000}"/>
    <cellStyle name="%_NRA_model_for_NEMO2 (EMC Update) v0.20_NRA_model_for_NEMO2 (EMC Update) v0.29_NRA_model_for_NEMO2 (EMC Update) v0.29.4_NRA_model_for_NEMO2 (EMC Update) v0.29.5" xfId="1192" xr:uid="{00000000-0005-0000-0000-000052040000}"/>
    <cellStyle name="%_NRA_model_for_NEMO2 (EMC Update) v0.20_NRA_model_for_NEMO2 (EMC Update) v0.29_NRA_model_for_NEMO2 (EMC Update) v0.29.4_NRA_model_for_NEMO2 (EMC Update) v0.29.5_NRA_model_for_NEMO2 (EMC Update) v0 30 1" xfId="1193" xr:uid="{00000000-0005-0000-0000-000053040000}"/>
    <cellStyle name="%_NRA_model_for_NEMO2 (EMC Update) v0.20_NRA_model_for_NEMO2 (EMC Update) v0.29_NRA_model_for_NEMO2 (EMC Update) v0.29.5" xfId="1194" xr:uid="{00000000-0005-0000-0000-000054040000}"/>
    <cellStyle name="%_NRA_model_for_NEMO2 (EMC Update) v0.20_NRA_model_for_NEMO2 (EMC Update) v0.29_NRA_model_for_NEMO2 (EMC Update) v0.29.5_NRA_model_for_NEMO2 (EMC Update) v0 30 1" xfId="1195" xr:uid="{00000000-0005-0000-0000-000055040000}"/>
    <cellStyle name="%_NRA_model_for_NEMO2 (EMC Update) v0.21" xfId="1196" xr:uid="{00000000-0005-0000-0000-000056040000}"/>
    <cellStyle name="%_NRA_model_for_NEMO2 (EMC Update) v0.21_NRA_model_for_NEMO2 (EMC Update) v0 30 1" xfId="1197" xr:uid="{00000000-0005-0000-0000-000057040000}"/>
    <cellStyle name="%_NRA_model_for_NEMO2 (EMC Update) v0.21_NRA_model_for_NEMO2 (EMC Update) v0.22" xfId="1198" xr:uid="{00000000-0005-0000-0000-000058040000}"/>
    <cellStyle name="%_NRA_model_for_NEMO2 (EMC Update) v0.21_NRA_model_for_NEMO2 (EMC Update) v0.22_NRA_model_for_NEMO2 (EMC Update) v0 30 1" xfId="1199" xr:uid="{00000000-0005-0000-0000-000059040000}"/>
    <cellStyle name="%_NRA_model_for_NEMO2 (EMC Update) v0.21_NRA_model_for_NEMO2 (EMC Update) v0.22_NRA_model_for_NEMO2 (EMC Update) v0.25" xfId="1200" xr:uid="{00000000-0005-0000-0000-00005A040000}"/>
    <cellStyle name="%_NRA_model_for_NEMO2 (EMC Update) v0.21_NRA_model_for_NEMO2 (EMC Update) v0.22_NRA_model_for_NEMO2 (EMC Update) v0.25_NRA_model_for_NEMO2 (EMC Update) v0 30 1" xfId="1201" xr:uid="{00000000-0005-0000-0000-00005B040000}"/>
    <cellStyle name="%_NRA_model_for_NEMO2 (EMC Update) v0.21_NRA_model_for_NEMO2 (EMC Update) v0.22_NRA_model_for_NEMO2 (EMC Update) v0.25_NRA_model_for_NEMO2 (EMC Update) v0.26" xfId="1202" xr:uid="{00000000-0005-0000-0000-00005C040000}"/>
    <cellStyle name="%_NRA_model_for_NEMO2 (EMC Update) v0.21_NRA_model_for_NEMO2 (EMC Update) v0.22_NRA_model_for_NEMO2 (EMC Update) v0.25_NRA_model_for_NEMO2 (EMC Update) v0.26_NRA_model_for_NEMO2 (EMC Update) v0 30 1" xfId="1203" xr:uid="{00000000-0005-0000-0000-00005D040000}"/>
    <cellStyle name="%_NRA_model_for_NEMO2 (EMC Update) v0.21_NRA_model_for_NEMO2 (EMC Update) v0.22_NRA_model_for_NEMO2 (EMC Update) v0.25_NRA_model_for_NEMO2 (EMC Update) v0.26_NRA_model_for_NEMO2 (EMC Update) v0.29" xfId="1204" xr:uid="{00000000-0005-0000-0000-00005E040000}"/>
    <cellStyle name="%_NRA_model_for_NEMO2 (EMC Update) v0.21_NRA_model_for_NEMO2 (EMC Update) v0.22_NRA_model_for_NEMO2 (EMC Update) v0.25_NRA_model_for_NEMO2 (EMC Update) v0.26_NRA_model_for_NEMO2 (EMC Update) v0.29.2" xfId="1205" xr:uid="{00000000-0005-0000-0000-00005F040000}"/>
    <cellStyle name="%_NRA_model_for_NEMO2 (EMC Update) v0.21_NRA_model_for_NEMO2 (EMC Update) v0.22_NRA_model_for_NEMO2 (EMC Update) v0.25_NRA_model_for_NEMO2 (EMC Update) v0.26_NRA_model_for_NEMO2 (EMC Update) v0.29.2_NRA_model_for_NEMO2 (EMC Update) v0 30 1" xfId="1206" xr:uid="{00000000-0005-0000-0000-000060040000}"/>
    <cellStyle name="%_NRA_model_for_NEMO2 (EMC Update) v0.21_NRA_model_for_NEMO2 (EMC Update) v0.22_NRA_model_for_NEMO2 (EMC Update) v0.25_NRA_model_for_NEMO2 (EMC Update) v0.26_NRA_model_for_NEMO2 (EMC Update) v0.29.2_NRA_model_for_NEMO2 (EMC Update) v0.29.3" xfId="1207" xr:uid="{00000000-0005-0000-0000-000061040000}"/>
    <cellStyle name="%_NRA_model_for_NEMO2 (EMC Update) v0.21_NRA_model_for_NEMO2 (EMC Update) v0.22_NRA_model_for_NEMO2 (EMC Update) v0.25_NRA_model_for_NEMO2 (EMC Update) v0.26_NRA_model_for_NEMO2 (EMC Update) v0.29.2_NRA_model_for_NEMO2 (EMC Update) v0.29.4" xfId="1208" xr:uid="{00000000-0005-0000-0000-000062040000}"/>
    <cellStyle name="%_NRA_model_for_NEMO2 (EMC Update) v0.21_NRA_model_for_NEMO2 (EMC Update) v0.22_NRA_model_for_NEMO2 (EMC Update) v0.25_NRA_model_for_NEMO2 (EMC Update) v0.26_NRA_model_for_NEMO2 (EMC Update) v0.29.2_NRA_model_for_NEMO2 (EMC Update) v0.29.5" xfId="1209" xr:uid="{00000000-0005-0000-0000-000063040000}"/>
    <cellStyle name="%_NRA_model_for_NEMO2 (EMC Update) v0.21_NRA_model_for_NEMO2 (EMC Update) v0.22_NRA_model_for_NEMO2 (EMC Update) v0.25_NRA_model_for_NEMO2 (EMC Update) v0.26_NRA_model_for_NEMO2 (EMC Update) v0.29.3" xfId="1210" xr:uid="{00000000-0005-0000-0000-000064040000}"/>
    <cellStyle name="%_NRA_model_for_NEMO2 (EMC Update) v0.21_NRA_model_for_NEMO2 (EMC Update) v0.22_NRA_model_for_NEMO2 (EMC Update) v0.25_NRA_model_for_NEMO2 (EMC Update) v0.26_NRA_model_for_NEMO2 (EMC Update) v0.29.3_NRA_model_for_NEMO2 (EMC Update) v0 30 1" xfId="1211" xr:uid="{00000000-0005-0000-0000-000065040000}"/>
    <cellStyle name="%_NRA_model_for_NEMO2 (EMC Update) v0.21_NRA_model_for_NEMO2 (EMC Update) v0.22_NRA_model_for_NEMO2 (EMC Update) v0.25_NRA_model_for_NEMO2 (EMC Update) v0.26_NRA_model_for_NEMO2 (EMC Update) v0.29.3_NRA_model_for_NEMO2 (EMC Update) v0.29.5" xfId="1212" xr:uid="{00000000-0005-0000-0000-000066040000}"/>
    <cellStyle name="%_NRA_model_for_NEMO2 (EMC Update) v0.21_NRA_model_for_NEMO2 (EMC Update) v0.22_NRA_model_for_NEMO2 (EMC Update) v0.25_NRA_model_for_NEMO2 (EMC Update) v0.26_NRA_model_for_NEMO2 (EMC Update) v0.29.4" xfId="1213" xr:uid="{00000000-0005-0000-0000-000067040000}"/>
    <cellStyle name="%_NRA_model_for_NEMO2 (EMC Update) v0.21_NRA_model_for_NEMO2 (EMC Update) v0.22_NRA_model_for_NEMO2 (EMC Update) v0.25_NRA_model_for_NEMO2 (EMC Update) v0.26_NRA_model_for_NEMO2 (EMC Update) v0.29.4_NRA_model_for_NEMO2 (EMC Update) v0 30 1" xfId="1214" xr:uid="{00000000-0005-0000-0000-000068040000}"/>
    <cellStyle name="%_NRA_model_for_NEMO2 (EMC Update) v0.21_NRA_model_for_NEMO2 (EMC Update) v0.22_NRA_model_for_NEMO2 (EMC Update) v0.25_NRA_model_for_NEMO2 (EMC Update) v0.26_NRA_model_for_NEMO2 (EMC Update) v0.29.4_NRA_model_for_NEMO2 (EMC Update) v0.29.5" xfId="1215" xr:uid="{00000000-0005-0000-0000-000069040000}"/>
    <cellStyle name="%_NRA_model_for_NEMO2 (EMC Update) v0.21_NRA_model_for_NEMO2 (EMC Update) v0.22_NRA_model_for_NEMO2 (EMC Update) v0.25_NRA_model_for_NEMO2 (EMC Update) v0.26_NRA_model_for_NEMO2 (EMC Update) v0.29.5" xfId="1216" xr:uid="{00000000-0005-0000-0000-00006A040000}"/>
    <cellStyle name="%_NRA_model_for_NEMO2 (EMC Update) v0.21_NRA_model_for_NEMO2 (EMC Update) v0.22_NRA_model_for_NEMO2 (EMC Update) v0.25_NRA_model_for_NEMO2 (EMC Update) v0.26_NRA_model_for_NEMO2 (EMC Update) v0.29.5_NRA_model_for_NEMO2 (EMC Update) v0 30 1" xfId="1217" xr:uid="{00000000-0005-0000-0000-00006B040000}"/>
    <cellStyle name="%_NRA_model_for_NEMO2 (EMC Update) v0.21_NRA_model_for_NEMO2 (EMC Update) v0.22_NRA_model_for_NEMO2 (EMC Update) v0.25_NRA_model_for_NEMO2 (EMC Update) v0.26_NRA_model_for_NEMO2 (EMC Update) v0.29_NRA_model_for_NEMO2 (EMC Update) v0 30 1" xfId="1218" xr:uid="{00000000-0005-0000-0000-00006C040000}"/>
    <cellStyle name="%_NRA_model_for_NEMO2 (EMC Update) v0.21_NRA_model_for_NEMO2 (EMC Update) v0.22_NRA_model_for_NEMO2 (EMC Update) v0.25_NRA_model_for_NEMO2 (EMC Update) v0.26_NRA_model_for_NEMO2 (EMC Update) v0.29_NRA_model_for_NEMO2 (EMC Update) v0.29.2" xfId="1219" xr:uid="{00000000-0005-0000-0000-00006D040000}"/>
    <cellStyle name="%_NRA_model_for_NEMO2 (EMC Update) v0.21_NRA_model_for_NEMO2 (EMC Update) v0.22_NRA_model_for_NEMO2 (EMC Update) v0.25_NRA_model_for_NEMO2 (EMC Update) v0.26_NRA_model_for_NEMO2 (EMC Update) v0.29_NRA_model_for_NEMO2 (EMC Update) v0.29.3" xfId="1220" xr:uid="{00000000-0005-0000-0000-00006E040000}"/>
    <cellStyle name="%_NRA_model_for_NEMO2 (EMC Update) v0.21_NRA_model_for_NEMO2 (EMC Update) v0.22_NRA_model_for_NEMO2 (EMC Update) v0.25_NRA_model_for_NEMO2 (EMC Update) v0.26_NRA_model_for_NEMO2 (EMC Update) v0.29_NRA_model_for_NEMO2 (EMC Update) v0.29.4" xfId="1221" xr:uid="{00000000-0005-0000-0000-00006F040000}"/>
    <cellStyle name="%_NRA_model_for_NEMO2 (EMC Update) v0.21_NRA_model_for_NEMO2 (EMC Update) v0.22_NRA_model_for_NEMO2 (EMC Update) v0.25_NRA_model_for_NEMO2 (EMC Update) v0.26_NRA_model_for_NEMO2 (EMC Update) v0.29_NRA_model_for_NEMO2 (EMC Update) v0.29.5" xfId="1222" xr:uid="{00000000-0005-0000-0000-000070040000}"/>
    <cellStyle name="%_NRA_model_for_NEMO2 (EMC Update) v0.21_NRA_model_for_NEMO2 (EMC Update) v0.22_NRA_model_for_NEMO2 (EMC Update) v0.25_NRA_model_for_NEMO2 (EMC Update) v0.29" xfId="1223" xr:uid="{00000000-0005-0000-0000-000071040000}"/>
    <cellStyle name="%_NRA_model_for_NEMO2 (EMC Update) v0.21_NRA_model_for_NEMO2 (EMC Update) v0.22_NRA_model_for_NEMO2 (EMC Update) v0.25_NRA_model_for_NEMO2 (EMC Update) v0.29.2" xfId="1224" xr:uid="{00000000-0005-0000-0000-000072040000}"/>
    <cellStyle name="%_NRA_model_for_NEMO2 (EMC Update) v0.21_NRA_model_for_NEMO2 (EMC Update) v0.22_NRA_model_for_NEMO2 (EMC Update) v0.25_NRA_model_for_NEMO2 (EMC Update) v0.29.2_NRA_model_for_NEMO2 (EMC Update) v0 30 1" xfId="1225" xr:uid="{00000000-0005-0000-0000-000073040000}"/>
    <cellStyle name="%_NRA_model_for_NEMO2 (EMC Update) v0.21_NRA_model_for_NEMO2 (EMC Update) v0.22_NRA_model_for_NEMO2 (EMC Update) v0.25_NRA_model_for_NEMO2 (EMC Update) v0.29.2_NRA_model_for_NEMO2 (EMC Update) v0.29.3" xfId="1226" xr:uid="{00000000-0005-0000-0000-000074040000}"/>
    <cellStyle name="%_NRA_model_for_NEMO2 (EMC Update) v0.21_NRA_model_for_NEMO2 (EMC Update) v0.22_NRA_model_for_NEMO2 (EMC Update) v0.25_NRA_model_for_NEMO2 (EMC Update) v0.29.2_NRA_model_for_NEMO2 (EMC Update) v0.29.3_NRA_model_for_NEMO2 (EMC Update) v0 30 1" xfId="1227" xr:uid="{00000000-0005-0000-0000-000075040000}"/>
    <cellStyle name="%_NRA_model_for_NEMO2 (EMC Update) v0.21_NRA_model_for_NEMO2 (EMC Update) v0.22_NRA_model_for_NEMO2 (EMC Update) v0.25_NRA_model_for_NEMO2 (EMC Update) v0.29.2_NRA_model_for_NEMO2 (EMC Update) v0.29.3_NRA_model_for_NEMO2 (EMC Update) v0.29.5" xfId="1228" xr:uid="{00000000-0005-0000-0000-000076040000}"/>
    <cellStyle name="%_NRA_model_for_NEMO2 (EMC Update) v0.21_NRA_model_for_NEMO2 (EMC Update) v0.22_NRA_model_for_NEMO2 (EMC Update) v0.25_NRA_model_for_NEMO2 (EMC Update) v0.29.2_NRA_model_for_NEMO2 (EMC Update) v0.29.4" xfId="1229" xr:uid="{00000000-0005-0000-0000-000077040000}"/>
    <cellStyle name="%_NRA_model_for_NEMO2 (EMC Update) v0.21_NRA_model_for_NEMO2 (EMC Update) v0.22_NRA_model_for_NEMO2 (EMC Update) v0.25_NRA_model_for_NEMO2 (EMC Update) v0.29.2_NRA_model_for_NEMO2 (EMC Update) v0.29.4_NRA_model_for_NEMO2 (EMC Update) v0 30 1" xfId="1230" xr:uid="{00000000-0005-0000-0000-000078040000}"/>
    <cellStyle name="%_NRA_model_for_NEMO2 (EMC Update) v0.21_NRA_model_for_NEMO2 (EMC Update) v0.22_NRA_model_for_NEMO2 (EMC Update) v0.25_NRA_model_for_NEMO2 (EMC Update) v0.29.2_NRA_model_for_NEMO2 (EMC Update) v0.29.4_NRA_model_for_NEMO2 (EMC Update) v0.29.5" xfId="1231" xr:uid="{00000000-0005-0000-0000-000079040000}"/>
    <cellStyle name="%_NRA_model_for_NEMO2 (EMC Update) v0.21_NRA_model_for_NEMO2 (EMC Update) v0.22_NRA_model_for_NEMO2 (EMC Update) v0.25_NRA_model_for_NEMO2 (EMC Update) v0.29.2_NRA_model_for_NEMO2 (EMC Update) v0.29.5" xfId="1232" xr:uid="{00000000-0005-0000-0000-00007A040000}"/>
    <cellStyle name="%_NRA_model_for_NEMO2 (EMC Update) v0.21_NRA_model_for_NEMO2 (EMC Update) v0.22_NRA_model_for_NEMO2 (EMC Update) v0.25_NRA_model_for_NEMO2 (EMC Update) v0.29.2_NRA_model_for_NEMO2 (EMC Update) v0.29.5_NRA_model_for_NEMO2 (EMC Update) v0 30 1" xfId="1233" xr:uid="{00000000-0005-0000-0000-00007B040000}"/>
    <cellStyle name="%_NRA_model_for_NEMO2 (EMC Update) v0.21_NRA_model_for_NEMO2 (EMC Update) v0.22_NRA_model_for_NEMO2 (EMC Update) v0.25_NRA_model_for_NEMO2 (EMC Update) v0.29.3" xfId="1234" xr:uid="{00000000-0005-0000-0000-00007C040000}"/>
    <cellStyle name="%_NRA_model_for_NEMO2 (EMC Update) v0.21_NRA_model_for_NEMO2 (EMC Update) v0.22_NRA_model_for_NEMO2 (EMC Update) v0.25_NRA_model_for_NEMO2 (EMC Update) v0.29.3_NRA_model_for_NEMO2 (EMC Update) v0 30 1" xfId="1235" xr:uid="{00000000-0005-0000-0000-00007D040000}"/>
    <cellStyle name="%_NRA_model_for_NEMO2 (EMC Update) v0.21_NRA_model_for_NEMO2 (EMC Update) v0.22_NRA_model_for_NEMO2 (EMC Update) v0.25_NRA_model_for_NEMO2 (EMC Update) v0.29.3_NRA_model_for_NEMO2 (EMC Update) v0.29.5" xfId="1236" xr:uid="{00000000-0005-0000-0000-00007E040000}"/>
    <cellStyle name="%_NRA_model_for_NEMO2 (EMC Update) v0.21_NRA_model_for_NEMO2 (EMC Update) v0.22_NRA_model_for_NEMO2 (EMC Update) v0.25_NRA_model_for_NEMO2 (EMC Update) v0.29.3_NRA_model_for_NEMO2 (EMC Update) v0.29.5_NRA_model_for_NEMO2 (EMC Update) v0 30 1" xfId="1237" xr:uid="{00000000-0005-0000-0000-00007F040000}"/>
    <cellStyle name="%_NRA_model_for_NEMO2 (EMC Update) v0.21_NRA_model_for_NEMO2 (EMC Update) v0.22_NRA_model_for_NEMO2 (EMC Update) v0.25_NRA_model_for_NEMO2 (EMC Update) v0.29.4" xfId="1238" xr:uid="{00000000-0005-0000-0000-000080040000}"/>
    <cellStyle name="%_NRA_model_for_NEMO2 (EMC Update) v0.21_NRA_model_for_NEMO2 (EMC Update) v0.22_NRA_model_for_NEMO2 (EMC Update) v0.25_NRA_model_for_NEMO2 (EMC Update) v0.29.4_NRA_model_for_NEMO2 (EMC Update) v0 30 1" xfId="1239" xr:uid="{00000000-0005-0000-0000-000081040000}"/>
    <cellStyle name="%_NRA_model_for_NEMO2 (EMC Update) v0.21_NRA_model_for_NEMO2 (EMC Update) v0.22_NRA_model_for_NEMO2 (EMC Update) v0.25_NRA_model_for_NEMO2 (EMC Update) v0.29.4_NRA_model_for_NEMO2 (EMC Update) v0.29.5" xfId="1240" xr:uid="{00000000-0005-0000-0000-000082040000}"/>
    <cellStyle name="%_NRA_model_for_NEMO2 (EMC Update) v0.21_NRA_model_for_NEMO2 (EMC Update) v0.22_NRA_model_for_NEMO2 (EMC Update) v0.25_NRA_model_for_NEMO2 (EMC Update) v0.29.4_NRA_model_for_NEMO2 (EMC Update) v0.29.5_NRA_model_for_NEMO2 (EMC Update) v0 30 1" xfId="1241" xr:uid="{00000000-0005-0000-0000-000083040000}"/>
    <cellStyle name="%_NRA_model_for_NEMO2 (EMC Update) v0.21_NRA_model_for_NEMO2 (EMC Update) v0.22_NRA_model_for_NEMO2 (EMC Update) v0.25_NRA_model_for_NEMO2 (EMC Update) v0.29.5" xfId="1242" xr:uid="{00000000-0005-0000-0000-000084040000}"/>
    <cellStyle name="%_NRA_model_for_NEMO2 (EMC Update) v0.21_NRA_model_for_NEMO2 (EMC Update) v0.22_NRA_model_for_NEMO2 (EMC Update) v0.25_NRA_model_for_NEMO2 (EMC Update) v0.29.5_NRA_model_for_NEMO2 (EMC Update) v0 30 1" xfId="1243" xr:uid="{00000000-0005-0000-0000-000085040000}"/>
    <cellStyle name="%_NRA_model_for_NEMO2 (EMC Update) v0.21_NRA_model_for_NEMO2 (EMC Update) v0.22_NRA_model_for_NEMO2 (EMC Update) v0.25_NRA_model_for_NEMO2 (EMC Update) v0.29_NRA_model_for_NEMO2 (EMC Update) v0 30 1" xfId="1244" xr:uid="{00000000-0005-0000-0000-000086040000}"/>
    <cellStyle name="%_NRA_model_for_NEMO2 (EMC Update) v0.21_NRA_model_for_NEMO2 (EMC Update) v0.22_NRA_model_for_NEMO2 (EMC Update) v0.25_NRA_model_for_NEMO2 (EMC Update) v0.29_NRA_model_for_NEMO2 (EMC Update) v0.29.2" xfId="1245" xr:uid="{00000000-0005-0000-0000-000087040000}"/>
    <cellStyle name="%_NRA_model_for_NEMO2 (EMC Update) v0.21_NRA_model_for_NEMO2 (EMC Update) v0.22_NRA_model_for_NEMO2 (EMC Update) v0.25_NRA_model_for_NEMO2 (EMC Update) v0.29_NRA_model_for_NEMO2 (EMC Update) v0.29.2_NRA_model_for_NEMO2 (EMC Update) v0 30 1" xfId="1246" xr:uid="{00000000-0005-0000-0000-000088040000}"/>
    <cellStyle name="%_NRA_model_for_NEMO2 (EMC Update) v0.21_NRA_model_for_NEMO2 (EMC Update) v0.22_NRA_model_for_NEMO2 (EMC Update) v0.25_NRA_model_for_NEMO2 (EMC Update) v0.29_NRA_model_for_NEMO2 (EMC Update) v0.29.2_NRA_model_for_NEMO2 (EMC Update) v0.29.3" xfId="1247" xr:uid="{00000000-0005-0000-0000-000089040000}"/>
    <cellStyle name="%_NRA_model_for_NEMO2 (EMC Update) v0.21_NRA_model_for_NEMO2 (EMC Update) v0.22_NRA_model_for_NEMO2 (EMC Update) v0.25_NRA_model_for_NEMO2 (EMC Update) v0.29_NRA_model_for_NEMO2 (EMC Update) v0.29.2_NRA_model_for_NEMO2 (EMC Update) v0.29.4" xfId="1248" xr:uid="{00000000-0005-0000-0000-00008A040000}"/>
    <cellStyle name="%_NRA_model_for_NEMO2 (EMC Update) v0.21_NRA_model_for_NEMO2 (EMC Update) v0.22_NRA_model_for_NEMO2 (EMC Update) v0.25_NRA_model_for_NEMO2 (EMC Update) v0.29_NRA_model_for_NEMO2 (EMC Update) v0.29.2_NRA_model_for_NEMO2 (EMC Update) v0.29.5" xfId="1249" xr:uid="{00000000-0005-0000-0000-00008B040000}"/>
    <cellStyle name="%_NRA_model_for_NEMO2 (EMC Update) v0.21_NRA_model_for_NEMO2 (EMC Update) v0.22_NRA_model_for_NEMO2 (EMC Update) v0.25_NRA_model_for_NEMO2 (EMC Update) v0.29_NRA_model_for_NEMO2 (EMC Update) v0.29.3" xfId="1250" xr:uid="{00000000-0005-0000-0000-00008C040000}"/>
    <cellStyle name="%_NRA_model_for_NEMO2 (EMC Update) v0.21_NRA_model_for_NEMO2 (EMC Update) v0.22_NRA_model_for_NEMO2 (EMC Update) v0.25_NRA_model_for_NEMO2 (EMC Update) v0.29_NRA_model_for_NEMO2 (EMC Update) v0.29.3_NRA_model_for_NEMO2 (EMC Update) v0 30 1" xfId="1251" xr:uid="{00000000-0005-0000-0000-00008D040000}"/>
    <cellStyle name="%_NRA_model_for_NEMO2 (EMC Update) v0.21_NRA_model_for_NEMO2 (EMC Update) v0.22_NRA_model_for_NEMO2 (EMC Update) v0.25_NRA_model_for_NEMO2 (EMC Update) v0.29_NRA_model_for_NEMO2 (EMC Update) v0.29.3_NRA_model_for_NEMO2 (EMC Update) v0.29.5" xfId="1252" xr:uid="{00000000-0005-0000-0000-00008E040000}"/>
    <cellStyle name="%_NRA_model_for_NEMO2 (EMC Update) v0.21_NRA_model_for_NEMO2 (EMC Update) v0.22_NRA_model_for_NEMO2 (EMC Update) v0.25_NRA_model_for_NEMO2 (EMC Update) v0.29_NRA_model_for_NEMO2 (EMC Update) v0.29.4" xfId="1253" xr:uid="{00000000-0005-0000-0000-00008F040000}"/>
    <cellStyle name="%_NRA_model_for_NEMO2 (EMC Update) v0.21_NRA_model_for_NEMO2 (EMC Update) v0.22_NRA_model_for_NEMO2 (EMC Update) v0.25_NRA_model_for_NEMO2 (EMC Update) v0.29_NRA_model_for_NEMO2 (EMC Update) v0.29.4_NRA_model_for_NEMO2 (EMC Update) v0 30 1" xfId="1254" xr:uid="{00000000-0005-0000-0000-000090040000}"/>
    <cellStyle name="%_NRA_model_for_NEMO2 (EMC Update) v0.21_NRA_model_for_NEMO2 (EMC Update) v0.22_NRA_model_for_NEMO2 (EMC Update) v0.25_NRA_model_for_NEMO2 (EMC Update) v0.29_NRA_model_for_NEMO2 (EMC Update) v0.29.4_NRA_model_for_NEMO2 (EMC Update) v0.29.5" xfId="1255" xr:uid="{00000000-0005-0000-0000-000091040000}"/>
    <cellStyle name="%_NRA_model_for_NEMO2 (EMC Update) v0.21_NRA_model_for_NEMO2 (EMC Update) v0.22_NRA_model_for_NEMO2 (EMC Update) v0.25_NRA_model_for_NEMO2 (EMC Update) v0.29_NRA_model_for_NEMO2 (EMC Update) v0.29.5" xfId="1256" xr:uid="{00000000-0005-0000-0000-000092040000}"/>
    <cellStyle name="%_NRA_model_for_NEMO2 (EMC Update) v0.21_NRA_model_for_NEMO2 (EMC Update) v0.22_NRA_model_for_NEMO2 (EMC Update) v0.25_NRA_model_for_NEMO2 (EMC Update) v0.29_NRA_model_for_NEMO2 (EMC Update) v0.29.5_NRA_model_for_NEMO2 (EMC Update) v0 30 1" xfId="1257" xr:uid="{00000000-0005-0000-0000-000093040000}"/>
    <cellStyle name="%_NRA_model_for_NEMO2 (EMC Update) v0.21_NRA_model_for_NEMO2 (EMC Update) v0.22_NRA_model_for_NEMO2 (EMC Update) v0.26" xfId="1258" xr:uid="{00000000-0005-0000-0000-000094040000}"/>
    <cellStyle name="%_NRA_model_for_NEMO2 (EMC Update) v0.21_NRA_model_for_NEMO2 (EMC Update) v0.22_NRA_model_for_NEMO2 (EMC Update) v0.26_NRA_model_for_NEMO2 (EMC Update) v0 30 1" xfId="1259" xr:uid="{00000000-0005-0000-0000-000095040000}"/>
    <cellStyle name="%_NRA_model_for_NEMO2 (EMC Update) v0.21_NRA_model_for_NEMO2 (EMC Update) v0.22_NRA_model_for_NEMO2 (EMC Update) v0.26_NRA_model_for_NEMO2 (EMC Update) v0.29" xfId="1260" xr:uid="{00000000-0005-0000-0000-000096040000}"/>
    <cellStyle name="%_NRA_model_for_NEMO2 (EMC Update) v0.21_NRA_model_for_NEMO2 (EMC Update) v0.22_NRA_model_for_NEMO2 (EMC Update) v0.26_NRA_model_for_NEMO2 (EMC Update) v0.29.2" xfId="1261" xr:uid="{00000000-0005-0000-0000-000097040000}"/>
    <cellStyle name="%_NRA_model_for_NEMO2 (EMC Update) v0.21_NRA_model_for_NEMO2 (EMC Update) v0.22_NRA_model_for_NEMO2 (EMC Update) v0.26_NRA_model_for_NEMO2 (EMC Update) v0.29.2_NRA_model_for_NEMO2 (EMC Update) v0 30 1" xfId="1262" xr:uid="{00000000-0005-0000-0000-000098040000}"/>
    <cellStyle name="%_NRA_model_for_NEMO2 (EMC Update) v0.21_NRA_model_for_NEMO2 (EMC Update) v0.22_NRA_model_for_NEMO2 (EMC Update) v0.26_NRA_model_for_NEMO2 (EMC Update) v0.29.2_NRA_model_for_NEMO2 (EMC Update) v0.29.3" xfId="1263" xr:uid="{00000000-0005-0000-0000-000099040000}"/>
    <cellStyle name="%_NRA_model_for_NEMO2 (EMC Update) v0.21_NRA_model_for_NEMO2 (EMC Update) v0.22_NRA_model_for_NEMO2 (EMC Update) v0.26_NRA_model_for_NEMO2 (EMC Update) v0.29.2_NRA_model_for_NEMO2 (EMC Update) v0.29.3_NRA_model_for_NEMO2 (EMC Update) v0 30 1" xfId="1264" xr:uid="{00000000-0005-0000-0000-00009A040000}"/>
    <cellStyle name="%_NRA_model_for_NEMO2 (EMC Update) v0.21_NRA_model_for_NEMO2 (EMC Update) v0.22_NRA_model_for_NEMO2 (EMC Update) v0.26_NRA_model_for_NEMO2 (EMC Update) v0.29.2_NRA_model_for_NEMO2 (EMC Update) v0.29.3_NRA_model_for_NEMO2 (EMC Update) v0.29.5" xfId="1265" xr:uid="{00000000-0005-0000-0000-00009B040000}"/>
    <cellStyle name="%_NRA_model_for_NEMO2 (EMC Update) v0.21_NRA_model_for_NEMO2 (EMC Update) v0.22_NRA_model_for_NEMO2 (EMC Update) v0.26_NRA_model_for_NEMO2 (EMC Update) v0.29.2_NRA_model_for_NEMO2 (EMC Update) v0.29.4" xfId="1266" xr:uid="{00000000-0005-0000-0000-00009C040000}"/>
    <cellStyle name="%_NRA_model_for_NEMO2 (EMC Update) v0.21_NRA_model_for_NEMO2 (EMC Update) v0.22_NRA_model_for_NEMO2 (EMC Update) v0.26_NRA_model_for_NEMO2 (EMC Update) v0.29.2_NRA_model_for_NEMO2 (EMC Update) v0.29.4_NRA_model_for_NEMO2 (EMC Update) v0 30 1" xfId="1267" xr:uid="{00000000-0005-0000-0000-00009D040000}"/>
    <cellStyle name="%_NRA_model_for_NEMO2 (EMC Update) v0.21_NRA_model_for_NEMO2 (EMC Update) v0.22_NRA_model_for_NEMO2 (EMC Update) v0.26_NRA_model_for_NEMO2 (EMC Update) v0.29.2_NRA_model_for_NEMO2 (EMC Update) v0.29.4_NRA_model_for_NEMO2 (EMC Update) v0.29.5" xfId="1268" xr:uid="{00000000-0005-0000-0000-00009E040000}"/>
    <cellStyle name="%_NRA_model_for_NEMO2 (EMC Update) v0.21_NRA_model_for_NEMO2 (EMC Update) v0.22_NRA_model_for_NEMO2 (EMC Update) v0.26_NRA_model_for_NEMO2 (EMC Update) v0.29.2_NRA_model_for_NEMO2 (EMC Update) v0.29.5" xfId="1269" xr:uid="{00000000-0005-0000-0000-00009F040000}"/>
    <cellStyle name="%_NRA_model_for_NEMO2 (EMC Update) v0.21_NRA_model_for_NEMO2 (EMC Update) v0.22_NRA_model_for_NEMO2 (EMC Update) v0.26_NRA_model_for_NEMO2 (EMC Update) v0.29.2_NRA_model_for_NEMO2 (EMC Update) v0.29.5_NRA_model_for_NEMO2 (EMC Update) v0 30 1" xfId="1270" xr:uid="{00000000-0005-0000-0000-0000A0040000}"/>
    <cellStyle name="%_NRA_model_for_NEMO2 (EMC Update) v0.21_NRA_model_for_NEMO2 (EMC Update) v0.22_NRA_model_for_NEMO2 (EMC Update) v0.26_NRA_model_for_NEMO2 (EMC Update) v0.29.3" xfId="1271" xr:uid="{00000000-0005-0000-0000-0000A1040000}"/>
    <cellStyle name="%_NRA_model_for_NEMO2 (EMC Update) v0.21_NRA_model_for_NEMO2 (EMC Update) v0.22_NRA_model_for_NEMO2 (EMC Update) v0.26_NRA_model_for_NEMO2 (EMC Update) v0.29.3_NRA_model_for_NEMO2 (EMC Update) v0 30 1" xfId="1272" xr:uid="{00000000-0005-0000-0000-0000A2040000}"/>
    <cellStyle name="%_NRA_model_for_NEMO2 (EMC Update) v0.21_NRA_model_for_NEMO2 (EMC Update) v0.22_NRA_model_for_NEMO2 (EMC Update) v0.26_NRA_model_for_NEMO2 (EMC Update) v0.29.3_NRA_model_for_NEMO2 (EMC Update) v0.29.5" xfId="1273" xr:uid="{00000000-0005-0000-0000-0000A3040000}"/>
    <cellStyle name="%_NRA_model_for_NEMO2 (EMC Update) v0.21_NRA_model_for_NEMO2 (EMC Update) v0.22_NRA_model_for_NEMO2 (EMC Update) v0.26_NRA_model_for_NEMO2 (EMC Update) v0.29.3_NRA_model_for_NEMO2 (EMC Update) v0.29.5_NRA_model_for_NEMO2 (EMC Update) v0 30 1" xfId="1274" xr:uid="{00000000-0005-0000-0000-0000A4040000}"/>
    <cellStyle name="%_NRA_model_for_NEMO2 (EMC Update) v0.21_NRA_model_for_NEMO2 (EMC Update) v0.22_NRA_model_for_NEMO2 (EMC Update) v0.26_NRA_model_for_NEMO2 (EMC Update) v0.29.4" xfId="1275" xr:uid="{00000000-0005-0000-0000-0000A5040000}"/>
    <cellStyle name="%_NRA_model_for_NEMO2 (EMC Update) v0.21_NRA_model_for_NEMO2 (EMC Update) v0.22_NRA_model_for_NEMO2 (EMC Update) v0.26_NRA_model_for_NEMO2 (EMC Update) v0.29.4_NRA_model_for_NEMO2 (EMC Update) v0 30 1" xfId="1276" xr:uid="{00000000-0005-0000-0000-0000A6040000}"/>
    <cellStyle name="%_NRA_model_for_NEMO2 (EMC Update) v0.21_NRA_model_for_NEMO2 (EMC Update) v0.22_NRA_model_for_NEMO2 (EMC Update) v0.26_NRA_model_for_NEMO2 (EMC Update) v0.29.4_NRA_model_for_NEMO2 (EMC Update) v0.29.5" xfId="1277" xr:uid="{00000000-0005-0000-0000-0000A7040000}"/>
    <cellStyle name="%_NRA_model_for_NEMO2 (EMC Update) v0.21_NRA_model_for_NEMO2 (EMC Update) v0.22_NRA_model_for_NEMO2 (EMC Update) v0.26_NRA_model_for_NEMO2 (EMC Update) v0.29.4_NRA_model_for_NEMO2 (EMC Update) v0.29.5_NRA_model_for_NEMO2 (EMC Update) v0 30 1" xfId="1278" xr:uid="{00000000-0005-0000-0000-0000A8040000}"/>
    <cellStyle name="%_NRA_model_for_NEMO2 (EMC Update) v0.21_NRA_model_for_NEMO2 (EMC Update) v0.22_NRA_model_for_NEMO2 (EMC Update) v0.26_NRA_model_for_NEMO2 (EMC Update) v0.29.5" xfId="1279" xr:uid="{00000000-0005-0000-0000-0000A9040000}"/>
    <cellStyle name="%_NRA_model_for_NEMO2 (EMC Update) v0.21_NRA_model_for_NEMO2 (EMC Update) v0.22_NRA_model_for_NEMO2 (EMC Update) v0.26_NRA_model_for_NEMO2 (EMC Update) v0.29.5_NRA_model_for_NEMO2 (EMC Update) v0 30 1" xfId="1280" xr:uid="{00000000-0005-0000-0000-0000AA040000}"/>
    <cellStyle name="%_NRA_model_for_NEMO2 (EMC Update) v0.21_NRA_model_for_NEMO2 (EMC Update) v0.22_NRA_model_for_NEMO2 (EMC Update) v0.26_NRA_model_for_NEMO2 (EMC Update) v0.29_NRA_model_for_NEMO2 (EMC Update) v0 30 1" xfId="1281" xr:uid="{00000000-0005-0000-0000-0000AB040000}"/>
    <cellStyle name="%_NRA_model_for_NEMO2 (EMC Update) v0.21_NRA_model_for_NEMO2 (EMC Update) v0.22_NRA_model_for_NEMO2 (EMC Update) v0.26_NRA_model_for_NEMO2 (EMC Update) v0.29_NRA_model_for_NEMO2 (EMC Update) v0.29.2" xfId="1282" xr:uid="{00000000-0005-0000-0000-0000AC040000}"/>
    <cellStyle name="%_NRA_model_for_NEMO2 (EMC Update) v0.21_NRA_model_for_NEMO2 (EMC Update) v0.22_NRA_model_for_NEMO2 (EMC Update) v0.26_NRA_model_for_NEMO2 (EMC Update) v0.29_NRA_model_for_NEMO2 (EMC Update) v0.29.2_NRA_model_for_NEMO2 (EMC Update) v0 30 1" xfId="1283" xr:uid="{00000000-0005-0000-0000-0000AD040000}"/>
    <cellStyle name="%_NRA_model_for_NEMO2 (EMC Update) v0.21_NRA_model_for_NEMO2 (EMC Update) v0.22_NRA_model_for_NEMO2 (EMC Update) v0.26_NRA_model_for_NEMO2 (EMC Update) v0.29_NRA_model_for_NEMO2 (EMC Update) v0.29.2_NRA_model_for_NEMO2 (EMC Update) v0.29.3" xfId="1284" xr:uid="{00000000-0005-0000-0000-0000AE040000}"/>
    <cellStyle name="%_NRA_model_for_NEMO2 (EMC Update) v0.21_NRA_model_for_NEMO2 (EMC Update) v0.22_NRA_model_for_NEMO2 (EMC Update) v0.26_NRA_model_for_NEMO2 (EMC Update) v0.29_NRA_model_for_NEMO2 (EMC Update) v0.29.2_NRA_model_for_NEMO2 (EMC Update) v0.29.4" xfId="1285" xr:uid="{00000000-0005-0000-0000-0000AF040000}"/>
    <cellStyle name="%_NRA_model_for_NEMO2 (EMC Update) v0.21_NRA_model_for_NEMO2 (EMC Update) v0.22_NRA_model_for_NEMO2 (EMC Update) v0.26_NRA_model_for_NEMO2 (EMC Update) v0.29_NRA_model_for_NEMO2 (EMC Update) v0.29.2_NRA_model_for_NEMO2 (EMC Update) v0.29.5" xfId="1286" xr:uid="{00000000-0005-0000-0000-0000B0040000}"/>
    <cellStyle name="%_NRA_model_for_NEMO2 (EMC Update) v0.21_NRA_model_for_NEMO2 (EMC Update) v0.22_NRA_model_for_NEMO2 (EMC Update) v0.26_NRA_model_for_NEMO2 (EMC Update) v0.29_NRA_model_for_NEMO2 (EMC Update) v0.29.3" xfId="1287" xr:uid="{00000000-0005-0000-0000-0000B1040000}"/>
    <cellStyle name="%_NRA_model_for_NEMO2 (EMC Update) v0.21_NRA_model_for_NEMO2 (EMC Update) v0.22_NRA_model_for_NEMO2 (EMC Update) v0.26_NRA_model_for_NEMO2 (EMC Update) v0.29_NRA_model_for_NEMO2 (EMC Update) v0.29.3_NRA_model_for_NEMO2 (EMC Update) v0 30 1" xfId="1288" xr:uid="{00000000-0005-0000-0000-0000B2040000}"/>
    <cellStyle name="%_NRA_model_for_NEMO2 (EMC Update) v0.21_NRA_model_for_NEMO2 (EMC Update) v0.22_NRA_model_for_NEMO2 (EMC Update) v0.26_NRA_model_for_NEMO2 (EMC Update) v0.29_NRA_model_for_NEMO2 (EMC Update) v0.29.3_NRA_model_for_NEMO2 (EMC Update) v0.29.5" xfId="1289" xr:uid="{00000000-0005-0000-0000-0000B3040000}"/>
    <cellStyle name="%_NRA_model_for_NEMO2 (EMC Update) v0.21_NRA_model_for_NEMO2 (EMC Update) v0.22_NRA_model_for_NEMO2 (EMC Update) v0.26_NRA_model_for_NEMO2 (EMC Update) v0.29_NRA_model_for_NEMO2 (EMC Update) v0.29.4" xfId="1290" xr:uid="{00000000-0005-0000-0000-0000B4040000}"/>
    <cellStyle name="%_NRA_model_for_NEMO2 (EMC Update) v0.21_NRA_model_for_NEMO2 (EMC Update) v0.22_NRA_model_for_NEMO2 (EMC Update) v0.26_NRA_model_for_NEMO2 (EMC Update) v0.29_NRA_model_for_NEMO2 (EMC Update) v0.29.4_NRA_model_for_NEMO2 (EMC Update) v0 30 1" xfId="1291" xr:uid="{00000000-0005-0000-0000-0000B5040000}"/>
    <cellStyle name="%_NRA_model_for_NEMO2 (EMC Update) v0.21_NRA_model_for_NEMO2 (EMC Update) v0.22_NRA_model_for_NEMO2 (EMC Update) v0.26_NRA_model_for_NEMO2 (EMC Update) v0.29_NRA_model_for_NEMO2 (EMC Update) v0.29.4_NRA_model_for_NEMO2 (EMC Update) v0.29.5" xfId="1292" xr:uid="{00000000-0005-0000-0000-0000B6040000}"/>
    <cellStyle name="%_NRA_model_for_NEMO2 (EMC Update) v0.21_NRA_model_for_NEMO2 (EMC Update) v0.22_NRA_model_for_NEMO2 (EMC Update) v0.26_NRA_model_for_NEMO2 (EMC Update) v0.29_NRA_model_for_NEMO2 (EMC Update) v0.29.5" xfId="1293" xr:uid="{00000000-0005-0000-0000-0000B7040000}"/>
    <cellStyle name="%_NRA_model_for_NEMO2 (EMC Update) v0.21_NRA_model_for_NEMO2 (EMC Update) v0.22_NRA_model_for_NEMO2 (EMC Update) v0.26_NRA_model_for_NEMO2 (EMC Update) v0.29_NRA_model_for_NEMO2 (EMC Update) v0.29.5_NRA_model_for_NEMO2 (EMC Update) v0 30 1" xfId="1294" xr:uid="{00000000-0005-0000-0000-0000B8040000}"/>
    <cellStyle name="%_NRA_model_for_NEMO2 (EMC Update) v0.21_NRA_model_for_NEMO2 (EMC Update) v0.22_NRA_model_for_NEMO2 (EMC Update) v0.29" xfId="1295" xr:uid="{00000000-0005-0000-0000-0000B9040000}"/>
    <cellStyle name="%_NRA_model_for_NEMO2 (EMC Update) v0.21_NRA_model_for_NEMO2 (EMC Update) v0.22_NRA_model_for_NEMO2 (EMC Update) v0.29.2" xfId="1296" xr:uid="{00000000-0005-0000-0000-0000BA040000}"/>
    <cellStyle name="%_NRA_model_for_NEMO2 (EMC Update) v0.21_NRA_model_for_NEMO2 (EMC Update) v0.22_NRA_model_for_NEMO2 (EMC Update) v0.29.2_NRA_model_for_NEMO2 (EMC Update) v0 30 1" xfId="1297" xr:uid="{00000000-0005-0000-0000-0000BB040000}"/>
    <cellStyle name="%_NRA_model_for_NEMO2 (EMC Update) v0.21_NRA_model_for_NEMO2 (EMC Update) v0.22_NRA_model_for_NEMO2 (EMC Update) v0.29.2_NRA_model_for_NEMO2 (EMC Update) v0.29.3" xfId="1298" xr:uid="{00000000-0005-0000-0000-0000BC040000}"/>
    <cellStyle name="%_NRA_model_for_NEMO2 (EMC Update) v0.21_NRA_model_for_NEMO2 (EMC Update) v0.22_NRA_model_for_NEMO2 (EMC Update) v0.29.2_NRA_model_for_NEMO2 (EMC Update) v0.29.3_NRA_model_for_NEMO2 (EMC Update) v0 30 1" xfId="1299" xr:uid="{00000000-0005-0000-0000-0000BD040000}"/>
    <cellStyle name="%_NRA_model_for_NEMO2 (EMC Update) v0.21_NRA_model_for_NEMO2 (EMC Update) v0.22_NRA_model_for_NEMO2 (EMC Update) v0.29.2_NRA_model_for_NEMO2 (EMC Update) v0.29.3_NRA_model_for_NEMO2 (EMC Update) v0.29.5" xfId="1300" xr:uid="{00000000-0005-0000-0000-0000BE040000}"/>
    <cellStyle name="%_NRA_model_for_NEMO2 (EMC Update) v0.21_NRA_model_for_NEMO2 (EMC Update) v0.22_NRA_model_for_NEMO2 (EMC Update) v0.29.2_NRA_model_for_NEMO2 (EMC Update) v0.29.3_NRA_model_for_NEMO2 (EMC Update) v0.29.5_NRA_model_for_NEMO2 (EMC Update) v0 30 1" xfId="1301" xr:uid="{00000000-0005-0000-0000-0000BF040000}"/>
    <cellStyle name="%_NRA_model_for_NEMO2 (EMC Update) v0.21_NRA_model_for_NEMO2 (EMC Update) v0.22_NRA_model_for_NEMO2 (EMC Update) v0.29.2_NRA_model_for_NEMO2 (EMC Update) v0.29.4" xfId="1302" xr:uid="{00000000-0005-0000-0000-0000C0040000}"/>
    <cellStyle name="%_NRA_model_for_NEMO2 (EMC Update) v0.21_NRA_model_for_NEMO2 (EMC Update) v0.22_NRA_model_for_NEMO2 (EMC Update) v0.29.2_NRA_model_for_NEMO2 (EMC Update) v0.29.4_NRA_model_for_NEMO2 (EMC Update) v0 30 1" xfId="1303" xr:uid="{00000000-0005-0000-0000-0000C1040000}"/>
    <cellStyle name="%_NRA_model_for_NEMO2 (EMC Update) v0.21_NRA_model_for_NEMO2 (EMC Update) v0.22_NRA_model_for_NEMO2 (EMC Update) v0.29.2_NRA_model_for_NEMO2 (EMC Update) v0.29.4_NRA_model_for_NEMO2 (EMC Update) v0.29.5" xfId="1304" xr:uid="{00000000-0005-0000-0000-0000C2040000}"/>
    <cellStyle name="%_NRA_model_for_NEMO2 (EMC Update) v0.21_NRA_model_for_NEMO2 (EMC Update) v0.22_NRA_model_for_NEMO2 (EMC Update) v0.29.2_NRA_model_for_NEMO2 (EMC Update) v0.29.4_NRA_model_for_NEMO2 (EMC Update) v0.29.5_NRA_model_for_NEMO2 (EMC Update) v0 30 1" xfId="1305" xr:uid="{00000000-0005-0000-0000-0000C3040000}"/>
    <cellStyle name="%_NRA_model_for_NEMO2 (EMC Update) v0.21_NRA_model_for_NEMO2 (EMC Update) v0.22_NRA_model_for_NEMO2 (EMC Update) v0.29.2_NRA_model_for_NEMO2 (EMC Update) v0.29.5" xfId="1306" xr:uid="{00000000-0005-0000-0000-0000C4040000}"/>
    <cellStyle name="%_NRA_model_for_NEMO2 (EMC Update) v0.21_NRA_model_for_NEMO2 (EMC Update) v0.22_NRA_model_for_NEMO2 (EMC Update) v0.29.2_NRA_model_for_NEMO2 (EMC Update) v0.29.5_NRA_model_for_NEMO2 (EMC Update) v0 30 1" xfId="1307" xr:uid="{00000000-0005-0000-0000-0000C5040000}"/>
    <cellStyle name="%_NRA_model_for_NEMO2 (EMC Update) v0.21_NRA_model_for_NEMO2 (EMC Update) v0.22_NRA_model_for_NEMO2 (EMC Update) v0.29.3" xfId="1308" xr:uid="{00000000-0005-0000-0000-0000C6040000}"/>
    <cellStyle name="%_NRA_model_for_NEMO2 (EMC Update) v0.21_NRA_model_for_NEMO2 (EMC Update) v0.22_NRA_model_for_NEMO2 (EMC Update) v0.29.3_NRA_model_for_NEMO2 (EMC Update) v0 30 1" xfId="1309" xr:uid="{00000000-0005-0000-0000-0000C7040000}"/>
    <cellStyle name="%_NRA_model_for_NEMO2 (EMC Update) v0.21_NRA_model_for_NEMO2 (EMC Update) v0.22_NRA_model_for_NEMO2 (EMC Update) v0.29.3_NRA_model_for_NEMO2 (EMC Update) v0.29.5" xfId="1310" xr:uid="{00000000-0005-0000-0000-0000C8040000}"/>
    <cellStyle name="%_NRA_model_for_NEMO2 (EMC Update) v0.21_NRA_model_for_NEMO2 (EMC Update) v0.22_NRA_model_for_NEMO2 (EMC Update) v0.29.3_NRA_model_for_NEMO2 (EMC Update) v0.29.5_NRA_model_for_NEMO2 (EMC Update) v0 30 1" xfId="1311" xr:uid="{00000000-0005-0000-0000-0000C9040000}"/>
    <cellStyle name="%_NRA_model_for_NEMO2 (EMC Update) v0.21_NRA_model_for_NEMO2 (EMC Update) v0.22_NRA_model_for_NEMO2 (EMC Update) v0.29.4" xfId="1312" xr:uid="{00000000-0005-0000-0000-0000CA040000}"/>
    <cellStyle name="%_NRA_model_for_NEMO2 (EMC Update) v0.21_NRA_model_for_NEMO2 (EMC Update) v0.22_NRA_model_for_NEMO2 (EMC Update) v0.29.4_NRA_model_for_NEMO2 (EMC Update) v0 30 1" xfId="1313" xr:uid="{00000000-0005-0000-0000-0000CB040000}"/>
    <cellStyle name="%_NRA_model_for_NEMO2 (EMC Update) v0.21_NRA_model_for_NEMO2 (EMC Update) v0.22_NRA_model_for_NEMO2 (EMC Update) v0.29.4_NRA_model_for_NEMO2 (EMC Update) v0.29.5" xfId="1314" xr:uid="{00000000-0005-0000-0000-0000CC040000}"/>
    <cellStyle name="%_NRA_model_for_NEMO2 (EMC Update) v0.21_NRA_model_for_NEMO2 (EMC Update) v0.22_NRA_model_for_NEMO2 (EMC Update) v0.29.4_NRA_model_for_NEMO2 (EMC Update) v0.29.5_NRA_model_for_NEMO2 (EMC Update) v0 30 1" xfId="1315" xr:uid="{00000000-0005-0000-0000-0000CD040000}"/>
    <cellStyle name="%_NRA_model_for_NEMO2 (EMC Update) v0.21_NRA_model_for_NEMO2 (EMC Update) v0.22_NRA_model_for_NEMO2 (EMC Update) v0.29.5" xfId="1316" xr:uid="{00000000-0005-0000-0000-0000CE040000}"/>
    <cellStyle name="%_NRA_model_for_NEMO2 (EMC Update) v0.21_NRA_model_for_NEMO2 (EMC Update) v0.22_NRA_model_for_NEMO2 (EMC Update) v0.29.5_NRA_model_for_NEMO2 (EMC Update) v0 30 1" xfId="1317" xr:uid="{00000000-0005-0000-0000-0000CF040000}"/>
    <cellStyle name="%_NRA_model_for_NEMO2 (EMC Update) v0.21_NRA_model_for_NEMO2 (EMC Update) v0.22_NRA_model_for_NEMO2 (EMC Update) v0.29_NRA_model_for_NEMO2 (EMC Update) v0 30 1" xfId="1318" xr:uid="{00000000-0005-0000-0000-0000D0040000}"/>
    <cellStyle name="%_NRA_model_for_NEMO2 (EMC Update) v0.21_NRA_model_for_NEMO2 (EMC Update) v0.22_NRA_model_for_NEMO2 (EMC Update) v0.29_NRA_model_for_NEMO2 (EMC Update) v0.29.2" xfId="1319" xr:uid="{00000000-0005-0000-0000-0000D1040000}"/>
    <cellStyle name="%_NRA_model_for_NEMO2 (EMC Update) v0.21_NRA_model_for_NEMO2 (EMC Update) v0.22_NRA_model_for_NEMO2 (EMC Update) v0.29_NRA_model_for_NEMO2 (EMC Update) v0.29.2_NRA_model_for_NEMO2 (EMC Update) v0 30 1" xfId="1320" xr:uid="{00000000-0005-0000-0000-0000D2040000}"/>
    <cellStyle name="%_NRA_model_for_NEMO2 (EMC Update) v0.21_NRA_model_for_NEMO2 (EMC Update) v0.22_NRA_model_for_NEMO2 (EMC Update) v0.29_NRA_model_for_NEMO2 (EMC Update) v0.29.2_NRA_model_for_NEMO2 (EMC Update) v0.29.3" xfId="1321" xr:uid="{00000000-0005-0000-0000-0000D3040000}"/>
    <cellStyle name="%_NRA_model_for_NEMO2 (EMC Update) v0.21_NRA_model_for_NEMO2 (EMC Update) v0.22_NRA_model_for_NEMO2 (EMC Update) v0.29_NRA_model_for_NEMO2 (EMC Update) v0.29.2_NRA_model_for_NEMO2 (EMC Update) v0.29.3_NRA_model_for_NEMO2 (EMC Update) v0 30 1" xfId="1322" xr:uid="{00000000-0005-0000-0000-0000D4040000}"/>
    <cellStyle name="%_NRA_model_for_NEMO2 (EMC Update) v0.21_NRA_model_for_NEMO2 (EMC Update) v0.22_NRA_model_for_NEMO2 (EMC Update) v0.29_NRA_model_for_NEMO2 (EMC Update) v0.29.2_NRA_model_for_NEMO2 (EMC Update) v0.29.3_NRA_model_for_NEMO2 (EMC Update) v0.29.5" xfId="1323" xr:uid="{00000000-0005-0000-0000-0000D5040000}"/>
    <cellStyle name="%_NRA_model_for_NEMO2 (EMC Update) v0.21_NRA_model_for_NEMO2 (EMC Update) v0.22_NRA_model_for_NEMO2 (EMC Update) v0.29_NRA_model_for_NEMO2 (EMC Update) v0.29.2_NRA_model_for_NEMO2 (EMC Update) v0.29.4" xfId="1324" xr:uid="{00000000-0005-0000-0000-0000D6040000}"/>
    <cellStyle name="%_NRA_model_for_NEMO2 (EMC Update) v0.21_NRA_model_for_NEMO2 (EMC Update) v0.22_NRA_model_for_NEMO2 (EMC Update) v0.29_NRA_model_for_NEMO2 (EMC Update) v0.29.2_NRA_model_for_NEMO2 (EMC Update) v0.29.4_NRA_model_for_NEMO2 (EMC Update) v0 30 1" xfId="1325" xr:uid="{00000000-0005-0000-0000-0000D7040000}"/>
    <cellStyle name="%_NRA_model_for_NEMO2 (EMC Update) v0.21_NRA_model_for_NEMO2 (EMC Update) v0.22_NRA_model_for_NEMO2 (EMC Update) v0.29_NRA_model_for_NEMO2 (EMC Update) v0.29.2_NRA_model_for_NEMO2 (EMC Update) v0.29.4_NRA_model_for_NEMO2 (EMC Update) v0.29.5" xfId="1326" xr:uid="{00000000-0005-0000-0000-0000D8040000}"/>
    <cellStyle name="%_NRA_model_for_NEMO2 (EMC Update) v0.21_NRA_model_for_NEMO2 (EMC Update) v0.22_NRA_model_for_NEMO2 (EMC Update) v0.29_NRA_model_for_NEMO2 (EMC Update) v0.29.2_NRA_model_for_NEMO2 (EMC Update) v0.29.5" xfId="1327" xr:uid="{00000000-0005-0000-0000-0000D9040000}"/>
    <cellStyle name="%_NRA_model_for_NEMO2 (EMC Update) v0.21_NRA_model_for_NEMO2 (EMC Update) v0.22_NRA_model_for_NEMO2 (EMC Update) v0.29_NRA_model_for_NEMO2 (EMC Update) v0.29.2_NRA_model_for_NEMO2 (EMC Update) v0.29.5_NRA_model_for_NEMO2 (EMC Update) v0 30 1" xfId="1328" xr:uid="{00000000-0005-0000-0000-0000DA040000}"/>
    <cellStyle name="%_NRA_model_for_NEMO2 (EMC Update) v0.21_NRA_model_for_NEMO2 (EMC Update) v0.22_NRA_model_for_NEMO2 (EMC Update) v0.29_NRA_model_for_NEMO2 (EMC Update) v0.29.3" xfId="1329" xr:uid="{00000000-0005-0000-0000-0000DB040000}"/>
    <cellStyle name="%_NRA_model_for_NEMO2 (EMC Update) v0.21_NRA_model_for_NEMO2 (EMC Update) v0.22_NRA_model_for_NEMO2 (EMC Update) v0.29_NRA_model_for_NEMO2 (EMC Update) v0.29.3_NRA_model_for_NEMO2 (EMC Update) v0 30 1" xfId="1330" xr:uid="{00000000-0005-0000-0000-0000DC040000}"/>
    <cellStyle name="%_NRA_model_for_NEMO2 (EMC Update) v0.21_NRA_model_for_NEMO2 (EMC Update) v0.22_NRA_model_for_NEMO2 (EMC Update) v0.29_NRA_model_for_NEMO2 (EMC Update) v0.29.3_NRA_model_for_NEMO2 (EMC Update) v0.29.5" xfId="1331" xr:uid="{00000000-0005-0000-0000-0000DD040000}"/>
    <cellStyle name="%_NRA_model_for_NEMO2 (EMC Update) v0.21_NRA_model_for_NEMO2 (EMC Update) v0.22_NRA_model_for_NEMO2 (EMC Update) v0.29_NRA_model_for_NEMO2 (EMC Update) v0.29.3_NRA_model_for_NEMO2 (EMC Update) v0.29.5_NRA_model_for_NEMO2 (EMC Update) v0 30 1" xfId="1332" xr:uid="{00000000-0005-0000-0000-0000DE040000}"/>
    <cellStyle name="%_NRA_model_for_NEMO2 (EMC Update) v0.21_NRA_model_for_NEMO2 (EMC Update) v0.22_NRA_model_for_NEMO2 (EMC Update) v0.29_NRA_model_for_NEMO2 (EMC Update) v0.29.4" xfId="1333" xr:uid="{00000000-0005-0000-0000-0000DF040000}"/>
    <cellStyle name="%_NRA_model_for_NEMO2 (EMC Update) v0.21_NRA_model_for_NEMO2 (EMC Update) v0.22_NRA_model_for_NEMO2 (EMC Update) v0.29_NRA_model_for_NEMO2 (EMC Update) v0.29.4_NRA_model_for_NEMO2 (EMC Update) v0 30 1" xfId="1334" xr:uid="{00000000-0005-0000-0000-0000E0040000}"/>
    <cellStyle name="%_NRA_model_for_NEMO2 (EMC Update) v0.21_NRA_model_for_NEMO2 (EMC Update) v0.22_NRA_model_for_NEMO2 (EMC Update) v0.29_NRA_model_for_NEMO2 (EMC Update) v0.29.4_NRA_model_for_NEMO2 (EMC Update) v0.29.5" xfId="1335" xr:uid="{00000000-0005-0000-0000-0000E1040000}"/>
    <cellStyle name="%_NRA_model_for_NEMO2 (EMC Update) v0.21_NRA_model_for_NEMO2 (EMC Update) v0.22_NRA_model_for_NEMO2 (EMC Update) v0.29_NRA_model_for_NEMO2 (EMC Update) v0.29.4_NRA_model_for_NEMO2 (EMC Update) v0.29.5_NRA_model_for_NEMO2 (EMC Update) v0 30 1" xfId="1336" xr:uid="{00000000-0005-0000-0000-0000E2040000}"/>
    <cellStyle name="%_NRA_model_for_NEMO2 (EMC Update) v0.21_NRA_model_for_NEMO2 (EMC Update) v0.22_NRA_model_for_NEMO2 (EMC Update) v0.29_NRA_model_for_NEMO2 (EMC Update) v0.29.5" xfId="1337" xr:uid="{00000000-0005-0000-0000-0000E3040000}"/>
    <cellStyle name="%_NRA_model_for_NEMO2 (EMC Update) v0.21_NRA_model_for_NEMO2 (EMC Update) v0.22_NRA_model_for_NEMO2 (EMC Update) v0.29_NRA_model_for_NEMO2 (EMC Update) v0.29.5_NRA_model_for_NEMO2 (EMC Update) v0 30 1" xfId="1338" xr:uid="{00000000-0005-0000-0000-0000E4040000}"/>
    <cellStyle name="%_NRA_model_for_NEMO2 (EMC Update) v0.21_NRA_model_for_NEMO2 (EMC Update) v0.25" xfId="1339" xr:uid="{00000000-0005-0000-0000-0000E5040000}"/>
    <cellStyle name="%_NRA_model_for_NEMO2 (EMC Update) v0.21_NRA_model_for_NEMO2 (EMC Update) v0.25_NRA_model_for_NEMO2 (EMC Update) v0 30 1" xfId="1340" xr:uid="{00000000-0005-0000-0000-0000E6040000}"/>
    <cellStyle name="%_NRA_model_for_NEMO2 (EMC Update) v0.21_NRA_model_for_NEMO2 (EMC Update) v0.25_NRA_model_for_NEMO2 (EMC Update) v0.26" xfId="1341" xr:uid="{00000000-0005-0000-0000-0000E7040000}"/>
    <cellStyle name="%_NRA_model_for_NEMO2 (EMC Update) v0.21_NRA_model_for_NEMO2 (EMC Update) v0.25_NRA_model_for_NEMO2 (EMC Update) v0.26_NRA_model_for_NEMO2 (EMC Update) v0 30 1" xfId="1342" xr:uid="{00000000-0005-0000-0000-0000E8040000}"/>
    <cellStyle name="%_NRA_model_for_NEMO2 (EMC Update) v0.21_NRA_model_for_NEMO2 (EMC Update) v0.25_NRA_model_for_NEMO2 (EMC Update) v0.26_NRA_model_for_NEMO2 (EMC Update) v0.29" xfId="1343" xr:uid="{00000000-0005-0000-0000-0000E9040000}"/>
    <cellStyle name="%_NRA_model_for_NEMO2 (EMC Update) v0.21_NRA_model_for_NEMO2 (EMC Update) v0.25_NRA_model_for_NEMO2 (EMC Update) v0.26_NRA_model_for_NEMO2 (EMC Update) v0.29.2" xfId="1344" xr:uid="{00000000-0005-0000-0000-0000EA040000}"/>
    <cellStyle name="%_NRA_model_for_NEMO2 (EMC Update) v0.21_NRA_model_for_NEMO2 (EMC Update) v0.25_NRA_model_for_NEMO2 (EMC Update) v0.26_NRA_model_for_NEMO2 (EMC Update) v0.29.2_NRA_model_for_NEMO2 (EMC Update) v0 30 1" xfId="1345" xr:uid="{00000000-0005-0000-0000-0000EB040000}"/>
    <cellStyle name="%_NRA_model_for_NEMO2 (EMC Update) v0.21_NRA_model_for_NEMO2 (EMC Update) v0.25_NRA_model_for_NEMO2 (EMC Update) v0.26_NRA_model_for_NEMO2 (EMC Update) v0.29.2_NRA_model_for_NEMO2 (EMC Update) v0.29.3" xfId="1346" xr:uid="{00000000-0005-0000-0000-0000EC040000}"/>
    <cellStyle name="%_NRA_model_for_NEMO2 (EMC Update) v0.21_NRA_model_for_NEMO2 (EMC Update) v0.25_NRA_model_for_NEMO2 (EMC Update) v0.26_NRA_model_for_NEMO2 (EMC Update) v0.29.2_NRA_model_for_NEMO2 (EMC Update) v0.29.3_NRA_model_for_NEMO2 (EMC Update) v0 30 1" xfId="1347" xr:uid="{00000000-0005-0000-0000-0000ED040000}"/>
    <cellStyle name="%_NRA_model_for_NEMO2 (EMC Update) v0.21_NRA_model_for_NEMO2 (EMC Update) v0.25_NRA_model_for_NEMO2 (EMC Update) v0.26_NRA_model_for_NEMO2 (EMC Update) v0.29.2_NRA_model_for_NEMO2 (EMC Update) v0.29.3_NRA_model_for_NEMO2 (EMC Update) v0.29.5" xfId="1348" xr:uid="{00000000-0005-0000-0000-0000EE040000}"/>
    <cellStyle name="%_NRA_model_for_NEMO2 (EMC Update) v0.21_NRA_model_for_NEMO2 (EMC Update) v0.25_NRA_model_for_NEMO2 (EMC Update) v0.26_NRA_model_for_NEMO2 (EMC Update) v0.29.2_NRA_model_for_NEMO2 (EMC Update) v0.29.4" xfId="1349" xr:uid="{00000000-0005-0000-0000-0000EF040000}"/>
    <cellStyle name="%_NRA_model_for_NEMO2 (EMC Update) v0.21_NRA_model_for_NEMO2 (EMC Update) v0.25_NRA_model_for_NEMO2 (EMC Update) v0.26_NRA_model_for_NEMO2 (EMC Update) v0.29.2_NRA_model_for_NEMO2 (EMC Update) v0.29.4_NRA_model_for_NEMO2 (EMC Update) v0 30 1" xfId="1350" xr:uid="{00000000-0005-0000-0000-0000F0040000}"/>
    <cellStyle name="%_NRA_model_for_NEMO2 (EMC Update) v0.21_NRA_model_for_NEMO2 (EMC Update) v0.25_NRA_model_for_NEMO2 (EMC Update) v0.26_NRA_model_for_NEMO2 (EMC Update) v0.29.2_NRA_model_for_NEMO2 (EMC Update) v0.29.4_NRA_model_for_NEMO2 (EMC Update) v0.29.5" xfId="1351" xr:uid="{00000000-0005-0000-0000-0000F1040000}"/>
    <cellStyle name="%_NRA_model_for_NEMO2 (EMC Update) v0.21_NRA_model_for_NEMO2 (EMC Update) v0.25_NRA_model_for_NEMO2 (EMC Update) v0.26_NRA_model_for_NEMO2 (EMC Update) v0.29.2_NRA_model_for_NEMO2 (EMC Update) v0.29.5" xfId="1352" xr:uid="{00000000-0005-0000-0000-0000F2040000}"/>
    <cellStyle name="%_NRA_model_for_NEMO2 (EMC Update) v0.21_NRA_model_for_NEMO2 (EMC Update) v0.25_NRA_model_for_NEMO2 (EMC Update) v0.26_NRA_model_for_NEMO2 (EMC Update) v0.29.2_NRA_model_for_NEMO2 (EMC Update) v0.29.5_NRA_model_for_NEMO2 (EMC Update) v0 30 1" xfId="1353" xr:uid="{00000000-0005-0000-0000-0000F3040000}"/>
    <cellStyle name="%_NRA_model_for_NEMO2 (EMC Update) v0.21_NRA_model_for_NEMO2 (EMC Update) v0.25_NRA_model_for_NEMO2 (EMC Update) v0.26_NRA_model_for_NEMO2 (EMC Update) v0.29.3" xfId="1354" xr:uid="{00000000-0005-0000-0000-0000F4040000}"/>
    <cellStyle name="%_NRA_model_for_NEMO2 (EMC Update) v0.21_NRA_model_for_NEMO2 (EMC Update) v0.25_NRA_model_for_NEMO2 (EMC Update) v0.26_NRA_model_for_NEMO2 (EMC Update) v0.29.3_NRA_model_for_NEMO2 (EMC Update) v0 30 1" xfId="1355" xr:uid="{00000000-0005-0000-0000-0000F5040000}"/>
    <cellStyle name="%_NRA_model_for_NEMO2 (EMC Update) v0.21_NRA_model_for_NEMO2 (EMC Update) v0.25_NRA_model_for_NEMO2 (EMC Update) v0.26_NRA_model_for_NEMO2 (EMC Update) v0.29.3_NRA_model_for_NEMO2 (EMC Update) v0.29.5" xfId="1356" xr:uid="{00000000-0005-0000-0000-0000F6040000}"/>
    <cellStyle name="%_NRA_model_for_NEMO2 (EMC Update) v0.21_NRA_model_for_NEMO2 (EMC Update) v0.25_NRA_model_for_NEMO2 (EMC Update) v0.26_NRA_model_for_NEMO2 (EMC Update) v0.29.3_NRA_model_for_NEMO2 (EMC Update) v0.29.5_NRA_model_for_NEMO2 (EMC Update) v0 30 1" xfId="1357" xr:uid="{00000000-0005-0000-0000-0000F7040000}"/>
    <cellStyle name="%_NRA_model_for_NEMO2 (EMC Update) v0.21_NRA_model_for_NEMO2 (EMC Update) v0.25_NRA_model_for_NEMO2 (EMC Update) v0.26_NRA_model_for_NEMO2 (EMC Update) v0.29.4" xfId="1358" xr:uid="{00000000-0005-0000-0000-0000F8040000}"/>
    <cellStyle name="%_NRA_model_for_NEMO2 (EMC Update) v0.21_NRA_model_for_NEMO2 (EMC Update) v0.25_NRA_model_for_NEMO2 (EMC Update) v0.26_NRA_model_for_NEMO2 (EMC Update) v0.29.4_NRA_model_for_NEMO2 (EMC Update) v0 30 1" xfId="1359" xr:uid="{00000000-0005-0000-0000-0000F9040000}"/>
    <cellStyle name="%_NRA_model_for_NEMO2 (EMC Update) v0.21_NRA_model_for_NEMO2 (EMC Update) v0.25_NRA_model_for_NEMO2 (EMC Update) v0.26_NRA_model_for_NEMO2 (EMC Update) v0.29.4_NRA_model_for_NEMO2 (EMC Update) v0.29.5" xfId="1360" xr:uid="{00000000-0005-0000-0000-0000FA040000}"/>
    <cellStyle name="%_NRA_model_for_NEMO2 (EMC Update) v0.21_NRA_model_for_NEMO2 (EMC Update) v0.25_NRA_model_for_NEMO2 (EMC Update) v0.26_NRA_model_for_NEMO2 (EMC Update) v0.29.4_NRA_model_for_NEMO2 (EMC Update) v0.29.5_NRA_model_for_NEMO2 (EMC Update) v0 30 1" xfId="1361" xr:uid="{00000000-0005-0000-0000-0000FB040000}"/>
    <cellStyle name="%_NRA_model_for_NEMO2 (EMC Update) v0.21_NRA_model_for_NEMO2 (EMC Update) v0.25_NRA_model_for_NEMO2 (EMC Update) v0.26_NRA_model_for_NEMO2 (EMC Update) v0.29.5" xfId="1362" xr:uid="{00000000-0005-0000-0000-0000FC040000}"/>
    <cellStyle name="%_NRA_model_for_NEMO2 (EMC Update) v0.21_NRA_model_for_NEMO2 (EMC Update) v0.25_NRA_model_for_NEMO2 (EMC Update) v0.26_NRA_model_for_NEMO2 (EMC Update) v0.29.5_NRA_model_for_NEMO2 (EMC Update) v0 30 1" xfId="1363" xr:uid="{00000000-0005-0000-0000-0000FD040000}"/>
    <cellStyle name="%_NRA_model_for_NEMO2 (EMC Update) v0.21_NRA_model_for_NEMO2 (EMC Update) v0.25_NRA_model_for_NEMO2 (EMC Update) v0.26_NRA_model_for_NEMO2 (EMC Update) v0.29_NRA_model_for_NEMO2 (EMC Update) v0 30 1" xfId="1364" xr:uid="{00000000-0005-0000-0000-0000FE040000}"/>
    <cellStyle name="%_NRA_model_for_NEMO2 (EMC Update) v0.21_NRA_model_for_NEMO2 (EMC Update) v0.25_NRA_model_for_NEMO2 (EMC Update) v0.26_NRA_model_for_NEMO2 (EMC Update) v0.29_NRA_model_for_NEMO2 (EMC Update) v0.29.2" xfId="1365" xr:uid="{00000000-0005-0000-0000-0000FF040000}"/>
    <cellStyle name="%_NRA_model_for_NEMO2 (EMC Update) v0.21_NRA_model_for_NEMO2 (EMC Update) v0.25_NRA_model_for_NEMO2 (EMC Update) v0.26_NRA_model_for_NEMO2 (EMC Update) v0.29_NRA_model_for_NEMO2 (EMC Update) v0.29.2_NRA_model_for_NEMO2 (EMC Update) v0 30 1" xfId="1366" xr:uid="{00000000-0005-0000-0000-000000050000}"/>
    <cellStyle name="%_NRA_model_for_NEMO2 (EMC Update) v0.21_NRA_model_for_NEMO2 (EMC Update) v0.25_NRA_model_for_NEMO2 (EMC Update) v0.26_NRA_model_for_NEMO2 (EMC Update) v0.29_NRA_model_for_NEMO2 (EMC Update) v0.29.2_NRA_model_for_NEMO2 (EMC Update) v0.29.3" xfId="1367" xr:uid="{00000000-0005-0000-0000-000001050000}"/>
    <cellStyle name="%_NRA_model_for_NEMO2 (EMC Update) v0.21_NRA_model_for_NEMO2 (EMC Update) v0.25_NRA_model_for_NEMO2 (EMC Update) v0.26_NRA_model_for_NEMO2 (EMC Update) v0.29_NRA_model_for_NEMO2 (EMC Update) v0.29.2_NRA_model_for_NEMO2 (EMC Update) v0.29.4" xfId="1368" xr:uid="{00000000-0005-0000-0000-000002050000}"/>
    <cellStyle name="%_NRA_model_for_NEMO2 (EMC Update) v0.21_NRA_model_for_NEMO2 (EMC Update) v0.25_NRA_model_for_NEMO2 (EMC Update) v0.26_NRA_model_for_NEMO2 (EMC Update) v0.29_NRA_model_for_NEMO2 (EMC Update) v0.29.2_NRA_model_for_NEMO2 (EMC Update) v0.29.5" xfId="1369" xr:uid="{00000000-0005-0000-0000-000003050000}"/>
    <cellStyle name="%_NRA_model_for_NEMO2 (EMC Update) v0.21_NRA_model_for_NEMO2 (EMC Update) v0.25_NRA_model_for_NEMO2 (EMC Update) v0.26_NRA_model_for_NEMO2 (EMC Update) v0.29_NRA_model_for_NEMO2 (EMC Update) v0.29.3" xfId="1370" xr:uid="{00000000-0005-0000-0000-000004050000}"/>
    <cellStyle name="%_NRA_model_for_NEMO2 (EMC Update) v0.21_NRA_model_for_NEMO2 (EMC Update) v0.25_NRA_model_for_NEMO2 (EMC Update) v0.26_NRA_model_for_NEMO2 (EMC Update) v0.29_NRA_model_for_NEMO2 (EMC Update) v0.29.3_NRA_model_for_NEMO2 (EMC Update) v0 30 1" xfId="1371" xr:uid="{00000000-0005-0000-0000-000005050000}"/>
    <cellStyle name="%_NRA_model_for_NEMO2 (EMC Update) v0.21_NRA_model_for_NEMO2 (EMC Update) v0.25_NRA_model_for_NEMO2 (EMC Update) v0.26_NRA_model_for_NEMO2 (EMC Update) v0.29_NRA_model_for_NEMO2 (EMC Update) v0.29.3_NRA_model_for_NEMO2 (EMC Update) v0.29.5" xfId="1372" xr:uid="{00000000-0005-0000-0000-000006050000}"/>
    <cellStyle name="%_NRA_model_for_NEMO2 (EMC Update) v0.21_NRA_model_for_NEMO2 (EMC Update) v0.25_NRA_model_for_NEMO2 (EMC Update) v0.26_NRA_model_for_NEMO2 (EMC Update) v0.29_NRA_model_for_NEMO2 (EMC Update) v0.29.4" xfId="1373" xr:uid="{00000000-0005-0000-0000-000007050000}"/>
    <cellStyle name="%_NRA_model_for_NEMO2 (EMC Update) v0.21_NRA_model_for_NEMO2 (EMC Update) v0.25_NRA_model_for_NEMO2 (EMC Update) v0.26_NRA_model_for_NEMO2 (EMC Update) v0.29_NRA_model_for_NEMO2 (EMC Update) v0.29.4_NRA_model_for_NEMO2 (EMC Update) v0 30 1" xfId="1374" xr:uid="{00000000-0005-0000-0000-000008050000}"/>
    <cellStyle name="%_NRA_model_for_NEMO2 (EMC Update) v0.21_NRA_model_for_NEMO2 (EMC Update) v0.25_NRA_model_for_NEMO2 (EMC Update) v0.26_NRA_model_for_NEMO2 (EMC Update) v0.29_NRA_model_for_NEMO2 (EMC Update) v0.29.4_NRA_model_for_NEMO2 (EMC Update) v0.29.5" xfId="1375" xr:uid="{00000000-0005-0000-0000-000009050000}"/>
    <cellStyle name="%_NRA_model_for_NEMO2 (EMC Update) v0.21_NRA_model_for_NEMO2 (EMC Update) v0.25_NRA_model_for_NEMO2 (EMC Update) v0.26_NRA_model_for_NEMO2 (EMC Update) v0.29_NRA_model_for_NEMO2 (EMC Update) v0.29.5" xfId="1376" xr:uid="{00000000-0005-0000-0000-00000A050000}"/>
    <cellStyle name="%_NRA_model_for_NEMO2 (EMC Update) v0.21_NRA_model_for_NEMO2 (EMC Update) v0.25_NRA_model_for_NEMO2 (EMC Update) v0.26_NRA_model_for_NEMO2 (EMC Update) v0.29_NRA_model_for_NEMO2 (EMC Update) v0.29.5_NRA_model_for_NEMO2 (EMC Update) v0 30 1" xfId="1377" xr:uid="{00000000-0005-0000-0000-00000B050000}"/>
    <cellStyle name="%_NRA_model_for_NEMO2 (EMC Update) v0.21_NRA_model_for_NEMO2 (EMC Update) v0.25_NRA_model_for_NEMO2 (EMC Update) v0.29" xfId="1378" xr:uid="{00000000-0005-0000-0000-00000C050000}"/>
    <cellStyle name="%_NRA_model_for_NEMO2 (EMC Update) v0.21_NRA_model_for_NEMO2 (EMC Update) v0.25_NRA_model_for_NEMO2 (EMC Update) v0.29.2" xfId="1379" xr:uid="{00000000-0005-0000-0000-00000D050000}"/>
    <cellStyle name="%_NRA_model_for_NEMO2 (EMC Update) v0.21_NRA_model_for_NEMO2 (EMC Update) v0.25_NRA_model_for_NEMO2 (EMC Update) v0.29.2_NRA_model_for_NEMO2 (EMC Update) v0 30 1" xfId="1380" xr:uid="{00000000-0005-0000-0000-00000E050000}"/>
    <cellStyle name="%_NRA_model_for_NEMO2 (EMC Update) v0.21_NRA_model_for_NEMO2 (EMC Update) v0.25_NRA_model_for_NEMO2 (EMC Update) v0.29.2_NRA_model_for_NEMO2 (EMC Update) v0.29.3" xfId="1381" xr:uid="{00000000-0005-0000-0000-00000F050000}"/>
    <cellStyle name="%_NRA_model_for_NEMO2 (EMC Update) v0.21_NRA_model_for_NEMO2 (EMC Update) v0.25_NRA_model_for_NEMO2 (EMC Update) v0.29.2_NRA_model_for_NEMO2 (EMC Update) v0.29.3_NRA_model_for_NEMO2 (EMC Update) v0 30 1" xfId="1382" xr:uid="{00000000-0005-0000-0000-000010050000}"/>
    <cellStyle name="%_NRA_model_for_NEMO2 (EMC Update) v0.21_NRA_model_for_NEMO2 (EMC Update) v0.25_NRA_model_for_NEMO2 (EMC Update) v0.29.2_NRA_model_for_NEMO2 (EMC Update) v0.29.3_NRA_model_for_NEMO2 (EMC Update) v0.29.5" xfId="1383" xr:uid="{00000000-0005-0000-0000-000011050000}"/>
    <cellStyle name="%_NRA_model_for_NEMO2 (EMC Update) v0.21_NRA_model_for_NEMO2 (EMC Update) v0.25_NRA_model_for_NEMO2 (EMC Update) v0.29.2_NRA_model_for_NEMO2 (EMC Update) v0.29.3_NRA_model_for_NEMO2 (EMC Update) v0.29.5_NRA_model_for_NEMO2 (EMC Update) v0 30 1" xfId="1384" xr:uid="{00000000-0005-0000-0000-000012050000}"/>
    <cellStyle name="%_NRA_model_for_NEMO2 (EMC Update) v0.21_NRA_model_for_NEMO2 (EMC Update) v0.25_NRA_model_for_NEMO2 (EMC Update) v0.29.2_NRA_model_for_NEMO2 (EMC Update) v0.29.4" xfId="1385" xr:uid="{00000000-0005-0000-0000-000013050000}"/>
    <cellStyle name="%_NRA_model_for_NEMO2 (EMC Update) v0.21_NRA_model_for_NEMO2 (EMC Update) v0.25_NRA_model_for_NEMO2 (EMC Update) v0.29.2_NRA_model_for_NEMO2 (EMC Update) v0.29.4_NRA_model_for_NEMO2 (EMC Update) v0 30 1" xfId="1386" xr:uid="{00000000-0005-0000-0000-000014050000}"/>
    <cellStyle name="%_NRA_model_for_NEMO2 (EMC Update) v0.21_NRA_model_for_NEMO2 (EMC Update) v0.25_NRA_model_for_NEMO2 (EMC Update) v0.29.2_NRA_model_for_NEMO2 (EMC Update) v0.29.4_NRA_model_for_NEMO2 (EMC Update) v0.29.5" xfId="1387" xr:uid="{00000000-0005-0000-0000-000015050000}"/>
    <cellStyle name="%_NRA_model_for_NEMO2 (EMC Update) v0.21_NRA_model_for_NEMO2 (EMC Update) v0.25_NRA_model_for_NEMO2 (EMC Update) v0.29.2_NRA_model_for_NEMO2 (EMC Update) v0.29.4_NRA_model_for_NEMO2 (EMC Update) v0.29.5_NRA_model_for_NEMO2 (EMC Update) v0 30 1" xfId="1388" xr:uid="{00000000-0005-0000-0000-000016050000}"/>
    <cellStyle name="%_NRA_model_for_NEMO2 (EMC Update) v0.21_NRA_model_for_NEMO2 (EMC Update) v0.25_NRA_model_for_NEMO2 (EMC Update) v0.29.2_NRA_model_for_NEMO2 (EMC Update) v0.29.5" xfId="1389" xr:uid="{00000000-0005-0000-0000-000017050000}"/>
    <cellStyle name="%_NRA_model_for_NEMO2 (EMC Update) v0.21_NRA_model_for_NEMO2 (EMC Update) v0.25_NRA_model_for_NEMO2 (EMC Update) v0.29.2_NRA_model_for_NEMO2 (EMC Update) v0.29.5_NRA_model_for_NEMO2 (EMC Update) v0 30 1" xfId="1390" xr:uid="{00000000-0005-0000-0000-000018050000}"/>
    <cellStyle name="%_NRA_model_for_NEMO2 (EMC Update) v0.21_NRA_model_for_NEMO2 (EMC Update) v0.25_NRA_model_for_NEMO2 (EMC Update) v0.29.3" xfId="1391" xr:uid="{00000000-0005-0000-0000-000019050000}"/>
    <cellStyle name="%_NRA_model_for_NEMO2 (EMC Update) v0.21_NRA_model_for_NEMO2 (EMC Update) v0.25_NRA_model_for_NEMO2 (EMC Update) v0.29.3_NRA_model_for_NEMO2 (EMC Update) v0 30 1" xfId="1392" xr:uid="{00000000-0005-0000-0000-00001A050000}"/>
    <cellStyle name="%_NRA_model_for_NEMO2 (EMC Update) v0.21_NRA_model_for_NEMO2 (EMC Update) v0.25_NRA_model_for_NEMO2 (EMC Update) v0.29.3_NRA_model_for_NEMO2 (EMC Update) v0.29.5" xfId="1393" xr:uid="{00000000-0005-0000-0000-00001B050000}"/>
    <cellStyle name="%_NRA_model_for_NEMO2 (EMC Update) v0.21_NRA_model_for_NEMO2 (EMC Update) v0.25_NRA_model_for_NEMO2 (EMC Update) v0.29.3_NRA_model_for_NEMO2 (EMC Update) v0.29.5_NRA_model_for_NEMO2 (EMC Update) v0 30 1" xfId="1394" xr:uid="{00000000-0005-0000-0000-00001C050000}"/>
    <cellStyle name="%_NRA_model_for_NEMO2 (EMC Update) v0.21_NRA_model_for_NEMO2 (EMC Update) v0.25_NRA_model_for_NEMO2 (EMC Update) v0.29.4" xfId="1395" xr:uid="{00000000-0005-0000-0000-00001D050000}"/>
    <cellStyle name="%_NRA_model_for_NEMO2 (EMC Update) v0.21_NRA_model_for_NEMO2 (EMC Update) v0.25_NRA_model_for_NEMO2 (EMC Update) v0.29.4_NRA_model_for_NEMO2 (EMC Update) v0 30 1" xfId="1396" xr:uid="{00000000-0005-0000-0000-00001E050000}"/>
    <cellStyle name="%_NRA_model_for_NEMO2 (EMC Update) v0.21_NRA_model_for_NEMO2 (EMC Update) v0.25_NRA_model_for_NEMO2 (EMC Update) v0.29.4_NRA_model_for_NEMO2 (EMC Update) v0.29.5" xfId="1397" xr:uid="{00000000-0005-0000-0000-00001F050000}"/>
    <cellStyle name="%_NRA_model_for_NEMO2 (EMC Update) v0.21_NRA_model_for_NEMO2 (EMC Update) v0.25_NRA_model_for_NEMO2 (EMC Update) v0.29.4_NRA_model_for_NEMO2 (EMC Update) v0.29.5_NRA_model_for_NEMO2 (EMC Update) v0 30 1" xfId="1398" xr:uid="{00000000-0005-0000-0000-000020050000}"/>
    <cellStyle name="%_NRA_model_for_NEMO2 (EMC Update) v0.21_NRA_model_for_NEMO2 (EMC Update) v0.25_NRA_model_for_NEMO2 (EMC Update) v0.29.5" xfId="1399" xr:uid="{00000000-0005-0000-0000-000021050000}"/>
    <cellStyle name="%_NRA_model_for_NEMO2 (EMC Update) v0.21_NRA_model_for_NEMO2 (EMC Update) v0.25_NRA_model_for_NEMO2 (EMC Update) v0.29.5_NRA_model_for_NEMO2 (EMC Update) v0 30 1" xfId="1400" xr:uid="{00000000-0005-0000-0000-000022050000}"/>
    <cellStyle name="%_NRA_model_for_NEMO2 (EMC Update) v0.21_NRA_model_for_NEMO2 (EMC Update) v0.25_NRA_model_for_NEMO2 (EMC Update) v0.29_NRA_model_for_NEMO2 (EMC Update) v0 30 1" xfId="1401" xr:uid="{00000000-0005-0000-0000-000023050000}"/>
    <cellStyle name="%_NRA_model_for_NEMO2 (EMC Update) v0.21_NRA_model_for_NEMO2 (EMC Update) v0.25_NRA_model_for_NEMO2 (EMC Update) v0.29_NRA_model_for_NEMO2 (EMC Update) v0.29.2" xfId="1402" xr:uid="{00000000-0005-0000-0000-000024050000}"/>
    <cellStyle name="%_NRA_model_for_NEMO2 (EMC Update) v0.21_NRA_model_for_NEMO2 (EMC Update) v0.25_NRA_model_for_NEMO2 (EMC Update) v0.29_NRA_model_for_NEMO2 (EMC Update) v0.29.2_NRA_model_for_NEMO2 (EMC Update) v0 30 1" xfId="1403" xr:uid="{00000000-0005-0000-0000-000025050000}"/>
    <cellStyle name="%_NRA_model_for_NEMO2 (EMC Update) v0.21_NRA_model_for_NEMO2 (EMC Update) v0.25_NRA_model_for_NEMO2 (EMC Update) v0.29_NRA_model_for_NEMO2 (EMC Update) v0.29.2_NRA_model_for_NEMO2 (EMC Update) v0.29.3" xfId="1404" xr:uid="{00000000-0005-0000-0000-000026050000}"/>
    <cellStyle name="%_NRA_model_for_NEMO2 (EMC Update) v0.21_NRA_model_for_NEMO2 (EMC Update) v0.25_NRA_model_for_NEMO2 (EMC Update) v0.29_NRA_model_for_NEMO2 (EMC Update) v0.29.2_NRA_model_for_NEMO2 (EMC Update) v0.29.3_NRA_model_for_NEMO2 (EMC Update) v0 30 1" xfId="1405" xr:uid="{00000000-0005-0000-0000-000027050000}"/>
    <cellStyle name="%_NRA_model_for_NEMO2 (EMC Update) v0.21_NRA_model_for_NEMO2 (EMC Update) v0.25_NRA_model_for_NEMO2 (EMC Update) v0.29_NRA_model_for_NEMO2 (EMC Update) v0.29.2_NRA_model_for_NEMO2 (EMC Update) v0.29.3_NRA_model_for_NEMO2 (EMC Update) v0.29.5" xfId="1406" xr:uid="{00000000-0005-0000-0000-000028050000}"/>
    <cellStyle name="%_NRA_model_for_NEMO2 (EMC Update) v0.21_NRA_model_for_NEMO2 (EMC Update) v0.25_NRA_model_for_NEMO2 (EMC Update) v0.29_NRA_model_for_NEMO2 (EMC Update) v0.29.2_NRA_model_for_NEMO2 (EMC Update) v0.29.4" xfId="1407" xr:uid="{00000000-0005-0000-0000-000029050000}"/>
    <cellStyle name="%_NRA_model_for_NEMO2 (EMC Update) v0.21_NRA_model_for_NEMO2 (EMC Update) v0.25_NRA_model_for_NEMO2 (EMC Update) v0.29_NRA_model_for_NEMO2 (EMC Update) v0.29.2_NRA_model_for_NEMO2 (EMC Update) v0.29.4_NRA_model_for_NEMO2 (EMC Update) v0 30 1" xfId="1408" xr:uid="{00000000-0005-0000-0000-00002A050000}"/>
    <cellStyle name="%_NRA_model_for_NEMO2 (EMC Update) v0.21_NRA_model_for_NEMO2 (EMC Update) v0.25_NRA_model_for_NEMO2 (EMC Update) v0.29_NRA_model_for_NEMO2 (EMC Update) v0.29.2_NRA_model_for_NEMO2 (EMC Update) v0.29.4_NRA_model_for_NEMO2 (EMC Update) v0.29.5" xfId="1409" xr:uid="{00000000-0005-0000-0000-00002B050000}"/>
    <cellStyle name="%_NRA_model_for_NEMO2 (EMC Update) v0.21_NRA_model_for_NEMO2 (EMC Update) v0.25_NRA_model_for_NEMO2 (EMC Update) v0.29_NRA_model_for_NEMO2 (EMC Update) v0.29.2_NRA_model_for_NEMO2 (EMC Update) v0.29.5" xfId="1410" xr:uid="{00000000-0005-0000-0000-00002C050000}"/>
    <cellStyle name="%_NRA_model_for_NEMO2 (EMC Update) v0.21_NRA_model_for_NEMO2 (EMC Update) v0.25_NRA_model_for_NEMO2 (EMC Update) v0.29_NRA_model_for_NEMO2 (EMC Update) v0.29.2_NRA_model_for_NEMO2 (EMC Update) v0.29.5_NRA_model_for_NEMO2 (EMC Update) v0 30 1" xfId="1411" xr:uid="{00000000-0005-0000-0000-00002D050000}"/>
    <cellStyle name="%_NRA_model_for_NEMO2 (EMC Update) v0.21_NRA_model_for_NEMO2 (EMC Update) v0.25_NRA_model_for_NEMO2 (EMC Update) v0.29_NRA_model_for_NEMO2 (EMC Update) v0.29.3" xfId="1412" xr:uid="{00000000-0005-0000-0000-00002E050000}"/>
    <cellStyle name="%_NRA_model_for_NEMO2 (EMC Update) v0.21_NRA_model_for_NEMO2 (EMC Update) v0.25_NRA_model_for_NEMO2 (EMC Update) v0.29_NRA_model_for_NEMO2 (EMC Update) v0.29.3_NRA_model_for_NEMO2 (EMC Update) v0 30 1" xfId="1413" xr:uid="{00000000-0005-0000-0000-00002F050000}"/>
    <cellStyle name="%_NRA_model_for_NEMO2 (EMC Update) v0.21_NRA_model_for_NEMO2 (EMC Update) v0.25_NRA_model_for_NEMO2 (EMC Update) v0.29_NRA_model_for_NEMO2 (EMC Update) v0.29.3_NRA_model_for_NEMO2 (EMC Update) v0.29.5" xfId="1414" xr:uid="{00000000-0005-0000-0000-000030050000}"/>
    <cellStyle name="%_NRA_model_for_NEMO2 (EMC Update) v0.21_NRA_model_for_NEMO2 (EMC Update) v0.25_NRA_model_for_NEMO2 (EMC Update) v0.29_NRA_model_for_NEMO2 (EMC Update) v0.29.3_NRA_model_for_NEMO2 (EMC Update) v0.29.5_NRA_model_for_NEMO2 (EMC Update) v0 30 1" xfId="1415" xr:uid="{00000000-0005-0000-0000-000031050000}"/>
    <cellStyle name="%_NRA_model_for_NEMO2 (EMC Update) v0.21_NRA_model_for_NEMO2 (EMC Update) v0.25_NRA_model_for_NEMO2 (EMC Update) v0.29_NRA_model_for_NEMO2 (EMC Update) v0.29.4" xfId="1416" xr:uid="{00000000-0005-0000-0000-000032050000}"/>
    <cellStyle name="%_NRA_model_for_NEMO2 (EMC Update) v0.21_NRA_model_for_NEMO2 (EMC Update) v0.25_NRA_model_for_NEMO2 (EMC Update) v0.29_NRA_model_for_NEMO2 (EMC Update) v0.29.4_NRA_model_for_NEMO2 (EMC Update) v0 30 1" xfId="1417" xr:uid="{00000000-0005-0000-0000-000033050000}"/>
    <cellStyle name="%_NRA_model_for_NEMO2 (EMC Update) v0.21_NRA_model_for_NEMO2 (EMC Update) v0.25_NRA_model_for_NEMO2 (EMC Update) v0.29_NRA_model_for_NEMO2 (EMC Update) v0.29.4_NRA_model_for_NEMO2 (EMC Update) v0.29.5" xfId="1418" xr:uid="{00000000-0005-0000-0000-000034050000}"/>
    <cellStyle name="%_NRA_model_for_NEMO2 (EMC Update) v0.21_NRA_model_for_NEMO2 (EMC Update) v0.25_NRA_model_for_NEMO2 (EMC Update) v0.29_NRA_model_for_NEMO2 (EMC Update) v0.29.4_NRA_model_for_NEMO2 (EMC Update) v0.29.5_NRA_model_for_NEMO2 (EMC Update) v0 30 1" xfId="1419" xr:uid="{00000000-0005-0000-0000-000035050000}"/>
    <cellStyle name="%_NRA_model_for_NEMO2 (EMC Update) v0.21_NRA_model_for_NEMO2 (EMC Update) v0.25_NRA_model_for_NEMO2 (EMC Update) v0.29_NRA_model_for_NEMO2 (EMC Update) v0.29.5" xfId="1420" xr:uid="{00000000-0005-0000-0000-000036050000}"/>
    <cellStyle name="%_NRA_model_for_NEMO2 (EMC Update) v0.21_NRA_model_for_NEMO2 (EMC Update) v0.25_NRA_model_for_NEMO2 (EMC Update) v0.29_NRA_model_for_NEMO2 (EMC Update) v0.29.5_NRA_model_for_NEMO2 (EMC Update) v0 30 1" xfId="1421" xr:uid="{00000000-0005-0000-0000-000037050000}"/>
    <cellStyle name="%_NRA_model_for_NEMO2 (EMC Update) v0.21_NRA_model_for_NEMO2 (EMC Update) v0.26" xfId="1422" xr:uid="{00000000-0005-0000-0000-000038050000}"/>
    <cellStyle name="%_NRA_model_for_NEMO2 (EMC Update) v0.21_NRA_model_for_NEMO2 (EMC Update) v0.26_NRA_model_for_NEMO2 (EMC Update) v0 30 1" xfId="1423" xr:uid="{00000000-0005-0000-0000-000039050000}"/>
    <cellStyle name="%_NRA_model_for_NEMO2 (EMC Update) v0.21_NRA_model_for_NEMO2 (EMC Update) v0.26_NRA_model_for_NEMO2 (EMC Update) v0.29" xfId="1424" xr:uid="{00000000-0005-0000-0000-00003A050000}"/>
    <cellStyle name="%_NRA_model_for_NEMO2 (EMC Update) v0.21_NRA_model_for_NEMO2 (EMC Update) v0.26_NRA_model_for_NEMO2 (EMC Update) v0.29.2" xfId="1425" xr:uid="{00000000-0005-0000-0000-00003B050000}"/>
    <cellStyle name="%_NRA_model_for_NEMO2 (EMC Update) v0.21_NRA_model_for_NEMO2 (EMC Update) v0.26_NRA_model_for_NEMO2 (EMC Update) v0.29.2_NRA_model_for_NEMO2 (EMC Update) v0 30 1" xfId="1426" xr:uid="{00000000-0005-0000-0000-00003C050000}"/>
    <cellStyle name="%_NRA_model_for_NEMO2 (EMC Update) v0.21_NRA_model_for_NEMO2 (EMC Update) v0.26_NRA_model_for_NEMO2 (EMC Update) v0.29.2_NRA_model_for_NEMO2 (EMC Update) v0.29.3" xfId="1427" xr:uid="{00000000-0005-0000-0000-00003D050000}"/>
    <cellStyle name="%_NRA_model_for_NEMO2 (EMC Update) v0.21_NRA_model_for_NEMO2 (EMC Update) v0.26_NRA_model_for_NEMO2 (EMC Update) v0.29.2_NRA_model_for_NEMO2 (EMC Update) v0.29.3_NRA_model_for_NEMO2 (EMC Update) v0 30 1" xfId="1428" xr:uid="{00000000-0005-0000-0000-00003E050000}"/>
    <cellStyle name="%_NRA_model_for_NEMO2 (EMC Update) v0.21_NRA_model_for_NEMO2 (EMC Update) v0.26_NRA_model_for_NEMO2 (EMC Update) v0.29.2_NRA_model_for_NEMO2 (EMC Update) v0.29.3_NRA_model_for_NEMO2 (EMC Update) v0.29.5" xfId="1429" xr:uid="{00000000-0005-0000-0000-00003F050000}"/>
    <cellStyle name="%_NRA_model_for_NEMO2 (EMC Update) v0.21_NRA_model_for_NEMO2 (EMC Update) v0.26_NRA_model_for_NEMO2 (EMC Update) v0.29.2_NRA_model_for_NEMO2 (EMC Update) v0.29.3_NRA_model_for_NEMO2 (EMC Update) v0.29.5_NRA_model_for_NEMO2 (EMC Update) v0 30 1" xfId="1430" xr:uid="{00000000-0005-0000-0000-000040050000}"/>
    <cellStyle name="%_NRA_model_for_NEMO2 (EMC Update) v0.21_NRA_model_for_NEMO2 (EMC Update) v0.26_NRA_model_for_NEMO2 (EMC Update) v0.29.2_NRA_model_for_NEMO2 (EMC Update) v0.29.4" xfId="1431" xr:uid="{00000000-0005-0000-0000-000041050000}"/>
    <cellStyle name="%_NRA_model_for_NEMO2 (EMC Update) v0.21_NRA_model_for_NEMO2 (EMC Update) v0.26_NRA_model_for_NEMO2 (EMC Update) v0.29.2_NRA_model_for_NEMO2 (EMC Update) v0.29.4_NRA_model_for_NEMO2 (EMC Update) v0 30 1" xfId="1432" xr:uid="{00000000-0005-0000-0000-000042050000}"/>
    <cellStyle name="%_NRA_model_for_NEMO2 (EMC Update) v0.21_NRA_model_for_NEMO2 (EMC Update) v0.26_NRA_model_for_NEMO2 (EMC Update) v0.29.2_NRA_model_for_NEMO2 (EMC Update) v0.29.4_NRA_model_for_NEMO2 (EMC Update) v0.29.5" xfId="1433" xr:uid="{00000000-0005-0000-0000-000043050000}"/>
    <cellStyle name="%_NRA_model_for_NEMO2 (EMC Update) v0.21_NRA_model_for_NEMO2 (EMC Update) v0.26_NRA_model_for_NEMO2 (EMC Update) v0.29.2_NRA_model_for_NEMO2 (EMC Update) v0.29.4_NRA_model_for_NEMO2 (EMC Update) v0.29.5_NRA_model_for_NEMO2 (EMC Update) v0 30 1" xfId="1434" xr:uid="{00000000-0005-0000-0000-000044050000}"/>
    <cellStyle name="%_NRA_model_for_NEMO2 (EMC Update) v0.21_NRA_model_for_NEMO2 (EMC Update) v0.26_NRA_model_for_NEMO2 (EMC Update) v0.29.2_NRA_model_for_NEMO2 (EMC Update) v0.29.5" xfId="1435" xr:uid="{00000000-0005-0000-0000-000045050000}"/>
    <cellStyle name="%_NRA_model_for_NEMO2 (EMC Update) v0.21_NRA_model_for_NEMO2 (EMC Update) v0.26_NRA_model_for_NEMO2 (EMC Update) v0.29.2_NRA_model_for_NEMO2 (EMC Update) v0.29.5_NRA_model_for_NEMO2 (EMC Update) v0 30 1" xfId="1436" xr:uid="{00000000-0005-0000-0000-000046050000}"/>
    <cellStyle name="%_NRA_model_for_NEMO2 (EMC Update) v0.21_NRA_model_for_NEMO2 (EMC Update) v0.26_NRA_model_for_NEMO2 (EMC Update) v0.29.3" xfId="1437" xr:uid="{00000000-0005-0000-0000-000047050000}"/>
    <cellStyle name="%_NRA_model_for_NEMO2 (EMC Update) v0.21_NRA_model_for_NEMO2 (EMC Update) v0.26_NRA_model_for_NEMO2 (EMC Update) v0.29.3_NRA_model_for_NEMO2 (EMC Update) v0 30 1" xfId="1438" xr:uid="{00000000-0005-0000-0000-000048050000}"/>
    <cellStyle name="%_NRA_model_for_NEMO2 (EMC Update) v0.21_NRA_model_for_NEMO2 (EMC Update) v0.26_NRA_model_for_NEMO2 (EMC Update) v0.29.3_NRA_model_for_NEMO2 (EMC Update) v0.29.5" xfId="1439" xr:uid="{00000000-0005-0000-0000-000049050000}"/>
    <cellStyle name="%_NRA_model_for_NEMO2 (EMC Update) v0.21_NRA_model_for_NEMO2 (EMC Update) v0.26_NRA_model_for_NEMO2 (EMC Update) v0.29.3_NRA_model_for_NEMO2 (EMC Update) v0.29.5_NRA_model_for_NEMO2 (EMC Update) v0 30 1" xfId="1440" xr:uid="{00000000-0005-0000-0000-00004A050000}"/>
    <cellStyle name="%_NRA_model_for_NEMO2 (EMC Update) v0.21_NRA_model_for_NEMO2 (EMC Update) v0.26_NRA_model_for_NEMO2 (EMC Update) v0.29.4" xfId="1441" xr:uid="{00000000-0005-0000-0000-00004B050000}"/>
    <cellStyle name="%_NRA_model_for_NEMO2 (EMC Update) v0.21_NRA_model_for_NEMO2 (EMC Update) v0.26_NRA_model_for_NEMO2 (EMC Update) v0.29.4_NRA_model_for_NEMO2 (EMC Update) v0 30 1" xfId="1442" xr:uid="{00000000-0005-0000-0000-00004C050000}"/>
    <cellStyle name="%_NRA_model_for_NEMO2 (EMC Update) v0.21_NRA_model_for_NEMO2 (EMC Update) v0.26_NRA_model_for_NEMO2 (EMC Update) v0.29.4_NRA_model_for_NEMO2 (EMC Update) v0.29.5" xfId="1443" xr:uid="{00000000-0005-0000-0000-00004D050000}"/>
    <cellStyle name="%_NRA_model_for_NEMO2 (EMC Update) v0.21_NRA_model_for_NEMO2 (EMC Update) v0.26_NRA_model_for_NEMO2 (EMC Update) v0.29.4_NRA_model_for_NEMO2 (EMC Update) v0.29.5_NRA_model_for_NEMO2 (EMC Update) v0 30 1" xfId="1444" xr:uid="{00000000-0005-0000-0000-00004E050000}"/>
    <cellStyle name="%_NRA_model_for_NEMO2 (EMC Update) v0.21_NRA_model_for_NEMO2 (EMC Update) v0.26_NRA_model_for_NEMO2 (EMC Update) v0.29.5" xfId="1445" xr:uid="{00000000-0005-0000-0000-00004F050000}"/>
    <cellStyle name="%_NRA_model_for_NEMO2 (EMC Update) v0.21_NRA_model_for_NEMO2 (EMC Update) v0.26_NRA_model_for_NEMO2 (EMC Update) v0.29.5_NRA_model_for_NEMO2 (EMC Update) v0 30 1" xfId="1446" xr:uid="{00000000-0005-0000-0000-000050050000}"/>
    <cellStyle name="%_NRA_model_for_NEMO2 (EMC Update) v0.21_NRA_model_for_NEMO2 (EMC Update) v0.26_NRA_model_for_NEMO2 (EMC Update) v0.29_NRA_model_for_NEMO2 (EMC Update) v0 30 1" xfId="1447" xr:uid="{00000000-0005-0000-0000-000051050000}"/>
    <cellStyle name="%_NRA_model_for_NEMO2 (EMC Update) v0.21_NRA_model_for_NEMO2 (EMC Update) v0.26_NRA_model_for_NEMO2 (EMC Update) v0.29_NRA_model_for_NEMO2 (EMC Update) v0.29.2" xfId="1448" xr:uid="{00000000-0005-0000-0000-000052050000}"/>
    <cellStyle name="%_NRA_model_for_NEMO2 (EMC Update) v0.21_NRA_model_for_NEMO2 (EMC Update) v0.26_NRA_model_for_NEMO2 (EMC Update) v0.29_NRA_model_for_NEMO2 (EMC Update) v0.29.2_NRA_model_for_NEMO2 (EMC Update) v0 30 1" xfId="1449" xr:uid="{00000000-0005-0000-0000-000053050000}"/>
    <cellStyle name="%_NRA_model_for_NEMO2 (EMC Update) v0.21_NRA_model_for_NEMO2 (EMC Update) v0.26_NRA_model_for_NEMO2 (EMC Update) v0.29_NRA_model_for_NEMO2 (EMC Update) v0.29.2_NRA_model_for_NEMO2 (EMC Update) v0.29.3" xfId="1450" xr:uid="{00000000-0005-0000-0000-000054050000}"/>
    <cellStyle name="%_NRA_model_for_NEMO2 (EMC Update) v0.21_NRA_model_for_NEMO2 (EMC Update) v0.26_NRA_model_for_NEMO2 (EMC Update) v0.29_NRA_model_for_NEMO2 (EMC Update) v0.29.2_NRA_model_for_NEMO2 (EMC Update) v0.29.3_NRA_model_for_NEMO2 (EMC Update) v0 30 1" xfId="1451" xr:uid="{00000000-0005-0000-0000-000055050000}"/>
    <cellStyle name="%_NRA_model_for_NEMO2 (EMC Update) v0.21_NRA_model_for_NEMO2 (EMC Update) v0.26_NRA_model_for_NEMO2 (EMC Update) v0.29_NRA_model_for_NEMO2 (EMC Update) v0.29.2_NRA_model_for_NEMO2 (EMC Update) v0.29.3_NRA_model_for_NEMO2 (EMC Update) v0.29.5" xfId="1452" xr:uid="{00000000-0005-0000-0000-000056050000}"/>
    <cellStyle name="%_NRA_model_for_NEMO2 (EMC Update) v0.21_NRA_model_for_NEMO2 (EMC Update) v0.26_NRA_model_for_NEMO2 (EMC Update) v0.29_NRA_model_for_NEMO2 (EMC Update) v0.29.2_NRA_model_for_NEMO2 (EMC Update) v0.29.4" xfId="1453" xr:uid="{00000000-0005-0000-0000-000057050000}"/>
    <cellStyle name="%_NRA_model_for_NEMO2 (EMC Update) v0.21_NRA_model_for_NEMO2 (EMC Update) v0.26_NRA_model_for_NEMO2 (EMC Update) v0.29_NRA_model_for_NEMO2 (EMC Update) v0.29.2_NRA_model_for_NEMO2 (EMC Update) v0.29.4_NRA_model_for_NEMO2 (EMC Update) v0 30 1" xfId="1454" xr:uid="{00000000-0005-0000-0000-000058050000}"/>
    <cellStyle name="%_NRA_model_for_NEMO2 (EMC Update) v0.21_NRA_model_for_NEMO2 (EMC Update) v0.26_NRA_model_for_NEMO2 (EMC Update) v0.29_NRA_model_for_NEMO2 (EMC Update) v0.29.2_NRA_model_for_NEMO2 (EMC Update) v0.29.4_NRA_model_for_NEMO2 (EMC Update) v0.29.5" xfId="1455" xr:uid="{00000000-0005-0000-0000-000059050000}"/>
    <cellStyle name="%_NRA_model_for_NEMO2 (EMC Update) v0.21_NRA_model_for_NEMO2 (EMC Update) v0.26_NRA_model_for_NEMO2 (EMC Update) v0.29_NRA_model_for_NEMO2 (EMC Update) v0.29.2_NRA_model_for_NEMO2 (EMC Update) v0.29.5" xfId="1456" xr:uid="{00000000-0005-0000-0000-00005A050000}"/>
    <cellStyle name="%_NRA_model_for_NEMO2 (EMC Update) v0.21_NRA_model_for_NEMO2 (EMC Update) v0.26_NRA_model_for_NEMO2 (EMC Update) v0.29_NRA_model_for_NEMO2 (EMC Update) v0.29.2_NRA_model_for_NEMO2 (EMC Update) v0.29.5_NRA_model_for_NEMO2 (EMC Update) v0 30 1" xfId="1457" xr:uid="{00000000-0005-0000-0000-00005B050000}"/>
    <cellStyle name="%_NRA_model_for_NEMO2 (EMC Update) v0.21_NRA_model_for_NEMO2 (EMC Update) v0.26_NRA_model_for_NEMO2 (EMC Update) v0.29_NRA_model_for_NEMO2 (EMC Update) v0.29.3" xfId="1458" xr:uid="{00000000-0005-0000-0000-00005C050000}"/>
    <cellStyle name="%_NRA_model_for_NEMO2 (EMC Update) v0.21_NRA_model_for_NEMO2 (EMC Update) v0.26_NRA_model_for_NEMO2 (EMC Update) v0.29_NRA_model_for_NEMO2 (EMC Update) v0.29.3_NRA_model_for_NEMO2 (EMC Update) v0 30 1" xfId="1459" xr:uid="{00000000-0005-0000-0000-00005D050000}"/>
    <cellStyle name="%_NRA_model_for_NEMO2 (EMC Update) v0.21_NRA_model_for_NEMO2 (EMC Update) v0.26_NRA_model_for_NEMO2 (EMC Update) v0.29_NRA_model_for_NEMO2 (EMC Update) v0.29.3_NRA_model_for_NEMO2 (EMC Update) v0.29.5" xfId="1460" xr:uid="{00000000-0005-0000-0000-00005E050000}"/>
    <cellStyle name="%_NRA_model_for_NEMO2 (EMC Update) v0.21_NRA_model_for_NEMO2 (EMC Update) v0.26_NRA_model_for_NEMO2 (EMC Update) v0.29_NRA_model_for_NEMO2 (EMC Update) v0.29.3_NRA_model_for_NEMO2 (EMC Update) v0.29.5_NRA_model_for_NEMO2 (EMC Update) v0 30 1" xfId="1461" xr:uid="{00000000-0005-0000-0000-00005F050000}"/>
    <cellStyle name="%_NRA_model_for_NEMO2 (EMC Update) v0.21_NRA_model_for_NEMO2 (EMC Update) v0.26_NRA_model_for_NEMO2 (EMC Update) v0.29_NRA_model_for_NEMO2 (EMC Update) v0.29.4" xfId="1462" xr:uid="{00000000-0005-0000-0000-000060050000}"/>
    <cellStyle name="%_NRA_model_for_NEMO2 (EMC Update) v0.21_NRA_model_for_NEMO2 (EMC Update) v0.26_NRA_model_for_NEMO2 (EMC Update) v0.29_NRA_model_for_NEMO2 (EMC Update) v0.29.4_NRA_model_for_NEMO2 (EMC Update) v0 30 1" xfId="1463" xr:uid="{00000000-0005-0000-0000-000061050000}"/>
    <cellStyle name="%_NRA_model_for_NEMO2 (EMC Update) v0.21_NRA_model_for_NEMO2 (EMC Update) v0.26_NRA_model_for_NEMO2 (EMC Update) v0.29_NRA_model_for_NEMO2 (EMC Update) v0.29.4_NRA_model_for_NEMO2 (EMC Update) v0.29.5" xfId="1464" xr:uid="{00000000-0005-0000-0000-000062050000}"/>
    <cellStyle name="%_NRA_model_for_NEMO2 (EMC Update) v0.21_NRA_model_for_NEMO2 (EMC Update) v0.26_NRA_model_for_NEMO2 (EMC Update) v0.29_NRA_model_for_NEMO2 (EMC Update) v0.29.4_NRA_model_for_NEMO2 (EMC Update) v0.29.5_NRA_model_for_NEMO2 (EMC Update) v0 30 1" xfId="1465" xr:uid="{00000000-0005-0000-0000-000063050000}"/>
    <cellStyle name="%_NRA_model_for_NEMO2 (EMC Update) v0.21_NRA_model_for_NEMO2 (EMC Update) v0.26_NRA_model_for_NEMO2 (EMC Update) v0.29_NRA_model_for_NEMO2 (EMC Update) v0.29.5" xfId="1466" xr:uid="{00000000-0005-0000-0000-000064050000}"/>
    <cellStyle name="%_NRA_model_for_NEMO2 (EMC Update) v0.21_NRA_model_for_NEMO2 (EMC Update) v0.26_NRA_model_for_NEMO2 (EMC Update) v0.29_NRA_model_for_NEMO2 (EMC Update) v0.29.5_NRA_model_for_NEMO2 (EMC Update) v0 30 1" xfId="1467" xr:uid="{00000000-0005-0000-0000-000065050000}"/>
    <cellStyle name="%_NRA_model_for_NEMO2 (EMC Update) v0.21_NRA_model_for_NEMO2 (EMC Update) v0.29" xfId="1468" xr:uid="{00000000-0005-0000-0000-000066050000}"/>
    <cellStyle name="%_NRA_model_for_NEMO2 (EMC Update) v0.21_NRA_model_for_NEMO2 (EMC Update) v0.29.2" xfId="1469" xr:uid="{00000000-0005-0000-0000-000067050000}"/>
    <cellStyle name="%_NRA_model_for_NEMO2 (EMC Update) v0.21_NRA_model_for_NEMO2 (EMC Update) v0.29.2_NRA_model_for_NEMO2 (EMC Update) v0 30 1" xfId="1470" xr:uid="{00000000-0005-0000-0000-000068050000}"/>
    <cellStyle name="%_NRA_model_for_NEMO2 (EMC Update) v0.21_NRA_model_for_NEMO2 (EMC Update) v0.29.2_NRA_model_for_NEMO2 (EMC Update) v0.29.3" xfId="1471" xr:uid="{00000000-0005-0000-0000-000069050000}"/>
    <cellStyle name="%_NRA_model_for_NEMO2 (EMC Update) v0.21_NRA_model_for_NEMO2 (EMC Update) v0.29.2_NRA_model_for_NEMO2 (EMC Update) v0.29.3_NRA_model_for_NEMO2 (EMC Update) v0 30 1" xfId="1472" xr:uid="{00000000-0005-0000-0000-00006A050000}"/>
    <cellStyle name="%_NRA_model_for_NEMO2 (EMC Update) v0.21_NRA_model_for_NEMO2 (EMC Update) v0.29.2_NRA_model_for_NEMO2 (EMC Update) v0.29.3_NRA_model_for_NEMO2 (EMC Update) v0.29.5" xfId="1473" xr:uid="{00000000-0005-0000-0000-00006B050000}"/>
    <cellStyle name="%_NRA_model_for_NEMO2 (EMC Update) v0.21_NRA_model_for_NEMO2 (EMC Update) v0.29.2_NRA_model_for_NEMO2 (EMC Update) v0.29.3_NRA_model_for_NEMO2 (EMC Update) v0.29.5_NRA_model_for_NEMO2 (EMC Update) v0 30 1" xfId="1474" xr:uid="{00000000-0005-0000-0000-00006C050000}"/>
    <cellStyle name="%_NRA_model_for_NEMO2 (EMC Update) v0.21_NRA_model_for_NEMO2 (EMC Update) v0.29.2_NRA_model_for_NEMO2 (EMC Update) v0.29.4" xfId="1475" xr:uid="{00000000-0005-0000-0000-00006D050000}"/>
    <cellStyle name="%_NRA_model_for_NEMO2 (EMC Update) v0.21_NRA_model_for_NEMO2 (EMC Update) v0.29.2_NRA_model_for_NEMO2 (EMC Update) v0.29.4_NRA_model_for_NEMO2 (EMC Update) v0 30 1" xfId="1476" xr:uid="{00000000-0005-0000-0000-00006E050000}"/>
    <cellStyle name="%_NRA_model_for_NEMO2 (EMC Update) v0.21_NRA_model_for_NEMO2 (EMC Update) v0.29.2_NRA_model_for_NEMO2 (EMC Update) v0.29.4_NRA_model_for_NEMO2 (EMC Update) v0.29.5" xfId="1477" xr:uid="{00000000-0005-0000-0000-00006F050000}"/>
    <cellStyle name="%_NRA_model_for_NEMO2 (EMC Update) v0.21_NRA_model_for_NEMO2 (EMC Update) v0.29.2_NRA_model_for_NEMO2 (EMC Update) v0.29.4_NRA_model_for_NEMO2 (EMC Update) v0.29.5_NRA_model_for_NEMO2 (EMC Update) v0 30 1" xfId="1478" xr:uid="{00000000-0005-0000-0000-000070050000}"/>
    <cellStyle name="%_NRA_model_for_NEMO2 (EMC Update) v0.21_NRA_model_for_NEMO2 (EMC Update) v0.29.2_NRA_model_for_NEMO2 (EMC Update) v0.29.5" xfId="1479" xr:uid="{00000000-0005-0000-0000-000071050000}"/>
    <cellStyle name="%_NRA_model_for_NEMO2 (EMC Update) v0.21_NRA_model_for_NEMO2 (EMC Update) v0.29.2_NRA_model_for_NEMO2 (EMC Update) v0.29.5_NRA_model_for_NEMO2 (EMC Update) v0 30 1" xfId="1480" xr:uid="{00000000-0005-0000-0000-000072050000}"/>
    <cellStyle name="%_NRA_model_for_NEMO2 (EMC Update) v0.21_NRA_model_for_NEMO2 (EMC Update) v0.29.3" xfId="1481" xr:uid="{00000000-0005-0000-0000-000073050000}"/>
    <cellStyle name="%_NRA_model_for_NEMO2 (EMC Update) v0.21_NRA_model_for_NEMO2 (EMC Update) v0.29.3_NRA_model_for_NEMO2 (EMC Update) v0 30 1" xfId="1482" xr:uid="{00000000-0005-0000-0000-000074050000}"/>
    <cellStyle name="%_NRA_model_for_NEMO2 (EMC Update) v0.21_NRA_model_for_NEMO2 (EMC Update) v0.29.3_NRA_model_for_NEMO2 (EMC Update) v0.29.5" xfId="1483" xr:uid="{00000000-0005-0000-0000-000075050000}"/>
    <cellStyle name="%_NRA_model_for_NEMO2 (EMC Update) v0.21_NRA_model_for_NEMO2 (EMC Update) v0.29.3_NRA_model_for_NEMO2 (EMC Update) v0.29.5_NRA_model_for_NEMO2 (EMC Update) v0 30 1" xfId="1484" xr:uid="{00000000-0005-0000-0000-000076050000}"/>
    <cellStyle name="%_NRA_model_for_NEMO2 (EMC Update) v0.21_NRA_model_for_NEMO2 (EMC Update) v0.29.4" xfId="1485" xr:uid="{00000000-0005-0000-0000-000077050000}"/>
    <cellStyle name="%_NRA_model_for_NEMO2 (EMC Update) v0.21_NRA_model_for_NEMO2 (EMC Update) v0.29.4_NRA_model_for_NEMO2 (EMC Update) v0 30 1" xfId="1486" xr:uid="{00000000-0005-0000-0000-000078050000}"/>
    <cellStyle name="%_NRA_model_for_NEMO2 (EMC Update) v0.21_NRA_model_for_NEMO2 (EMC Update) v0.29.4_NRA_model_for_NEMO2 (EMC Update) v0.29.5" xfId="1487" xr:uid="{00000000-0005-0000-0000-000079050000}"/>
    <cellStyle name="%_NRA_model_for_NEMO2 (EMC Update) v0.21_NRA_model_for_NEMO2 (EMC Update) v0.29.4_NRA_model_for_NEMO2 (EMC Update) v0.29.5_NRA_model_for_NEMO2 (EMC Update) v0 30 1" xfId="1488" xr:uid="{00000000-0005-0000-0000-00007A050000}"/>
    <cellStyle name="%_NRA_model_for_NEMO2 (EMC Update) v0.21_NRA_model_for_NEMO2 (EMC Update) v0.29.5" xfId="1489" xr:uid="{00000000-0005-0000-0000-00007B050000}"/>
    <cellStyle name="%_NRA_model_for_NEMO2 (EMC Update) v0.21_NRA_model_for_NEMO2 (EMC Update) v0.29.5_NRA_model_for_NEMO2 (EMC Update) v0 30 1" xfId="1490" xr:uid="{00000000-0005-0000-0000-00007C050000}"/>
    <cellStyle name="%_NRA_model_for_NEMO2 (EMC Update) v0.21_NRA_model_for_NEMO2 (EMC Update) v0.29_NRA_model_for_NEMO2 (EMC Update) v0 30 1" xfId="1491" xr:uid="{00000000-0005-0000-0000-00007D050000}"/>
    <cellStyle name="%_NRA_model_for_NEMO2 (EMC Update) v0.21_NRA_model_for_NEMO2 (EMC Update) v0.29_NRA_model_for_NEMO2 (EMC Update) v0.29.2" xfId="1492" xr:uid="{00000000-0005-0000-0000-00007E050000}"/>
    <cellStyle name="%_NRA_model_for_NEMO2 (EMC Update) v0.21_NRA_model_for_NEMO2 (EMC Update) v0.29_NRA_model_for_NEMO2 (EMC Update) v0.29.2_NRA_model_for_NEMO2 (EMC Update) v0 30 1" xfId="1493" xr:uid="{00000000-0005-0000-0000-00007F050000}"/>
    <cellStyle name="%_NRA_model_for_NEMO2 (EMC Update) v0.21_NRA_model_for_NEMO2 (EMC Update) v0.29_NRA_model_for_NEMO2 (EMC Update) v0.29.2_NRA_model_for_NEMO2 (EMC Update) v0.29.3" xfId="1494" xr:uid="{00000000-0005-0000-0000-000080050000}"/>
    <cellStyle name="%_NRA_model_for_NEMO2 (EMC Update) v0.21_NRA_model_for_NEMO2 (EMC Update) v0.29_NRA_model_for_NEMO2 (EMC Update) v0.29.2_NRA_model_for_NEMO2 (EMC Update) v0.29.3_NRA_model_for_NEMO2 (EMC Update) v0 30 1" xfId="1495" xr:uid="{00000000-0005-0000-0000-000081050000}"/>
    <cellStyle name="%_NRA_model_for_NEMO2 (EMC Update) v0.21_NRA_model_for_NEMO2 (EMC Update) v0.29_NRA_model_for_NEMO2 (EMC Update) v0.29.2_NRA_model_for_NEMO2 (EMC Update) v0.29.3_NRA_model_for_NEMO2 (EMC Update) v0.29.5" xfId="1496" xr:uid="{00000000-0005-0000-0000-000082050000}"/>
    <cellStyle name="%_NRA_model_for_NEMO2 (EMC Update) v0.21_NRA_model_for_NEMO2 (EMC Update) v0.29_NRA_model_for_NEMO2 (EMC Update) v0.29.2_NRA_model_for_NEMO2 (EMC Update) v0.29.3_NRA_model_for_NEMO2 (EMC Update) v0.29.5_NRA_model_for_NEMO2 (EMC Update) v0 30 1" xfId="1497" xr:uid="{00000000-0005-0000-0000-000083050000}"/>
    <cellStyle name="%_NRA_model_for_NEMO2 (EMC Update) v0.21_NRA_model_for_NEMO2 (EMC Update) v0.29_NRA_model_for_NEMO2 (EMC Update) v0.29.2_NRA_model_for_NEMO2 (EMC Update) v0.29.4" xfId="1498" xr:uid="{00000000-0005-0000-0000-000084050000}"/>
    <cellStyle name="%_NRA_model_for_NEMO2 (EMC Update) v0.21_NRA_model_for_NEMO2 (EMC Update) v0.29_NRA_model_for_NEMO2 (EMC Update) v0.29.2_NRA_model_for_NEMO2 (EMC Update) v0.29.4_NRA_model_for_NEMO2 (EMC Update) v0 30 1" xfId="1499" xr:uid="{00000000-0005-0000-0000-000085050000}"/>
    <cellStyle name="%_NRA_model_for_NEMO2 (EMC Update) v0.21_NRA_model_for_NEMO2 (EMC Update) v0.29_NRA_model_for_NEMO2 (EMC Update) v0.29.2_NRA_model_for_NEMO2 (EMC Update) v0.29.4_NRA_model_for_NEMO2 (EMC Update) v0.29.5" xfId="1500" xr:uid="{00000000-0005-0000-0000-000086050000}"/>
    <cellStyle name="%_NRA_model_for_NEMO2 (EMC Update) v0.21_NRA_model_for_NEMO2 (EMC Update) v0.29_NRA_model_for_NEMO2 (EMC Update) v0.29.2_NRA_model_for_NEMO2 (EMC Update) v0.29.4_NRA_model_for_NEMO2 (EMC Update) v0.29.5_NRA_model_for_NEMO2 (EMC Update) v0 30 1" xfId="1501" xr:uid="{00000000-0005-0000-0000-000087050000}"/>
    <cellStyle name="%_NRA_model_for_NEMO2 (EMC Update) v0.21_NRA_model_for_NEMO2 (EMC Update) v0.29_NRA_model_for_NEMO2 (EMC Update) v0.29.2_NRA_model_for_NEMO2 (EMC Update) v0.29.5" xfId="1502" xr:uid="{00000000-0005-0000-0000-000088050000}"/>
    <cellStyle name="%_NRA_model_for_NEMO2 (EMC Update) v0.21_NRA_model_for_NEMO2 (EMC Update) v0.29_NRA_model_for_NEMO2 (EMC Update) v0.29.2_NRA_model_for_NEMO2 (EMC Update) v0.29.5_NRA_model_for_NEMO2 (EMC Update) v0 30 1" xfId="1503" xr:uid="{00000000-0005-0000-0000-000089050000}"/>
    <cellStyle name="%_NRA_model_for_NEMO2 (EMC Update) v0.21_NRA_model_for_NEMO2 (EMC Update) v0.29_NRA_model_for_NEMO2 (EMC Update) v0.29.3" xfId="1504" xr:uid="{00000000-0005-0000-0000-00008A050000}"/>
    <cellStyle name="%_NRA_model_for_NEMO2 (EMC Update) v0.21_NRA_model_for_NEMO2 (EMC Update) v0.29_NRA_model_for_NEMO2 (EMC Update) v0.29.3_NRA_model_for_NEMO2 (EMC Update) v0 30 1" xfId="1505" xr:uid="{00000000-0005-0000-0000-00008B050000}"/>
    <cellStyle name="%_NRA_model_for_NEMO2 (EMC Update) v0.21_NRA_model_for_NEMO2 (EMC Update) v0.29_NRA_model_for_NEMO2 (EMC Update) v0.29.3_NRA_model_for_NEMO2 (EMC Update) v0.29.5" xfId="1506" xr:uid="{00000000-0005-0000-0000-00008C050000}"/>
    <cellStyle name="%_NRA_model_for_NEMO2 (EMC Update) v0.21_NRA_model_for_NEMO2 (EMC Update) v0.29_NRA_model_for_NEMO2 (EMC Update) v0.29.3_NRA_model_for_NEMO2 (EMC Update) v0.29.5_NRA_model_for_NEMO2 (EMC Update) v0 30 1" xfId="1507" xr:uid="{00000000-0005-0000-0000-00008D050000}"/>
    <cellStyle name="%_NRA_model_for_NEMO2 (EMC Update) v0.21_NRA_model_for_NEMO2 (EMC Update) v0.29_NRA_model_for_NEMO2 (EMC Update) v0.29.4" xfId="1508" xr:uid="{00000000-0005-0000-0000-00008E050000}"/>
    <cellStyle name="%_NRA_model_for_NEMO2 (EMC Update) v0.21_NRA_model_for_NEMO2 (EMC Update) v0.29_NRA_model_for_NEMO2 (EMC Update) v0.29.4_NRA_model_for_NEMO2 (EMC Update) v0 30 1" xfId="1509" xr:uid="{00000000-0005-0000-0000-00008F050000}"/>
    <cellStyle name="%_NRA_model_for_NEMO2 (EMC Update) v0.21_NRA_model_for_NEMO2 (EMC Update) v0.29_NRA_model_for_NEMO2 (EMC Update) v0.29.4_NRA_model_for_NEMO2 (EMC Update) v0.29.5" xfId="1510" xr:uid="{00000000-0005-0000-0000-000090050000}"/>
    <cellStyle name="%_NRA_model_for_NEMO2 (EMC Update) v0.21_NRA_model_for_NEMO2 (EMC Update) v0.29_NRA_model_for_NEMO2 (EMC Update) v0.29.4_NRA_model_for_NEMO2 (EMC Update) v0.29.5_NRA_model_for_NEMO2 (EMC Update) v0 30 1" xfId="1511" xr:uid="{00000000-0005-0000-0000-000091050000}"/>
    <cellStyle name="%_NRA_model_for_NEMO2 (EMC Update) v0.21_NRA_model_for_NEMO2 (EMC Update) v0.29_NRA_model_for_NEMO2 (EMC Update) v0.29.5" xfId="1512" xr:uid="{00000000-0005-0000-0000-000092050000}"/>
    <cellStyle name="%_NRA_model_for_NEMO2 (EMC Update) v0.21_NRA_model_for_NEMO2 (EMC Update) v0.29_NRA_model_for_NEMO2 (EMC Update) v0.29.5_NRA_model_for_NEMO2 (EMC Update) v0 30 1" xfId="1513" xr:uid="{00000000-0005-0000-0000-000093050000}"/>
    <cellStyle name="%_NRA_model_for_NEMO2 (EMC Update) v0.22" xfId="1514" xr:uid="{00000000-0005-0000-0000-000094050000}"/>
    <cellStyle name="%_NRA_model_for_NEMO2 (EMC Update) v0.22_NRA_model_for_NEMO2 (EMC Update) v0 30 1" xfId="1515" xr:uid="{00000000-0005-0000-0000-000095050000}"/>
    <cellStyle name="%_NRA_model_for_NEMO2 (EMC Update) v0.22_NRA_model_for_NEMO2 (EMC Update) v0.25" xfId="1516" xr:uid="{00000000-0005-0000-0000-000096050000}"/>
    <cellStyle name="%_NRA_model_for_NEMO2 (EMC Update) v0.22_NRA_model_for_NEMO2 (EMC Update) v0.25_NRA_model_for_NEMO2 (EMC Update) v0 30 1" xfId="1517" xr:uid="{00000000-0005-0000-0000-000097050000}"/>
    <cellStyle name="%_NRA_model_for_NEMO2 (EMC Update) v0.22_NRA_model_for_NEMO2 (EMC Update) v0.25_NRA_model_for_NEMO2 (EMC Update) v0.26" xfId="1518" xr:uid="{00000000-0005-0000-0000-000098050000}"/>
    <cellStyle name="%_NRA_model_for_NEMO2 (EMC Update) v0.22_NRA_model_for_NEMO2 (EMC Update) v0.25_NRA_model_for_NEMO2 (EMC Update) v0.26_NRA_model_for_NEMO2 (EMC Update) v0 30 1" xfId="1519" xr:uid="{00000000-0005-0000-0000-000099050000}"/>
    <cellStyle name="%_NRA_model_for_NEMO2 (EMC Update) v0.22_NRA_model_for_NEMO2 (EMC Update) v0.25_NRA_model_for_NEMO2 (EMC Update) v0.26_NRA_model_for_NEMO2 (EMC Update) v0.29" xfId="1520" xr:uid="{00000000-0005-0000-0000-00009A050000}"/>
    <cellStyle name="%_NRA_model_for_NEMO2 (EMC Update) v0.22_NRA_model_for_NEMO2 (EMC Update) v0.25_NRA_model_for_NEMO2 (EMC Update) v0.26_NRA_model_for_NEMO2 (EMC Update) v0.29.2" xfId="1521" xr:uid="{00000000-0005-0000-0000-00009B050000}"/>
    <cellStyle name="%_NRA_model_for_NEMO2 (EMC Update) v0.22_NRA_model_for_NEMO2 (EMC Update) v0.25_NRA_model_for_NEMO2 (EMC Update) v0.26_NRA_model_for_NEMO2 (EMC Update) v0.29.2_NRA_model_for_NEMO2 (EMC Update) v0 30 1" xfId="1522" xr:uid="{00000000-0005-0000-0000-00009C050000}"/>
    <cellStyle name="%_NRA_model_for_NEMO2 (EMC Update) v0.22_NRA_model_for_NEMO2 (EMC Update) v0.25_NRA_model_for_NEMO2 (EMC Update) v0.26_NRA_model_for_NEMO2 (EMC Update) v0.29.2_NRA_model_for_NEMO2 (EMC Update) v0.29.3" xfId="1523" xr:uid="{00000000-0005-0000-0000-00009D050000}"/>
    <cellStyle name="%_NRA_model_for_NEMO2 (EMC Update) v0.22_NRA_model_for_NEMO2 (EMC Update) v0.25_NRA_model_for_NEMO2 (EMC Update) v0.26_NRA_model_for_NEMO2 (EMC Update) v0.29.2_NRA_model_for_NEMO2 (EMC Update) v0.29.3_NRA_model_for_NEMO2 (EMC Update) v0 30 1" xfId="1524" xr:uid="{00000000-0005-0000-0000-00009E050000}"/>
    <cellStyle name="%_NRA_model_for_NEMO2 (EMC Update) v0.22_NRA_model_for_NEMO2 (EMC Update) v0.25_NRA_model_for_NEMO2 (EMC Update) v0.26_NRA_model_for_NEMO2 (EMC Update) v0.29.2_NRA_model_for_NEMO2 (EMC Update) v0.29.3_NRA_model_for_NEMO2 (EMC Update) v0.29.5" xfId="1525" xr:uid="{00000000-0005-0000-0000-00009F050000}"/>
    <cellStyle name="%_NRA_model_for_NEMO2 (EMC Update) v0.22_NRA_model_for_NEMO2 (EMC Update) v0.25_NRA_model_for_NEMO2 (EMC Update) v0.26_NRA_model_for_NEMO2 (EMC Update) v0.29.2_NRA_model_for_NEMO2 (EMC Update) v0.29.4" xfId="1526" xr:uid="{00000000-0005-0000-0000-0000A0050000}"/>
    <cellStyle name="%_NRA_model_for_NEMO2 (EMC Update) v0.22_NRA_model_for_NEMO2 (EMC Update) v0.25_NRA_model_for_NEMO2 (EMC Update) v0.26_NRA_model_for_NEMO2 (EMC Update) v0.29.2_NRA_model_for_NEMO2 (EMC Update) v0.29.4_NRA_model_for_NEMO2 (EMC Update) v0 30 1" xfId="1527" xr:uid="{00000000-0005-0000-0000-0000A1050000}"/>
    <cellStyle name="%_NRA_model_for_NEMO2 (EMC Update) v0.22_NRA_model_for_NEMO2 (EMC Update) v0.25_NRA_model_for_NEMO2 (EMC Update) v0.26_NRA_model_for_NEMO2 (EMC Update) v0.29.2_NRA_model_for_NEMO2 (EMC Update) v0.29.4_NRA_model_for_NEMO2 (EMC Update) v0.29.5" xfId="1528" xr:uid="{00000000-0005-0000-0000-0000A2050000}"/>
    <cellStyle name="%_NRA_model_for_NEMO2 (EMC Update) v0.22_NRA_model_for_NEMO2 (EMC Update) v0.25_NRA_model_for_NEMO2 (EMC Update) v0.26_NRA_model_for_NEMO2 (EMC Update) v0.29.2_NRA_model_for_NEMO2 (EMC Update) v0.29.5" xfId="1529" xr:uid="{00000000-0005-0000-0000-0000A3050000}"/>
    <cellStyle name="%_NRA_model_for_NEMO2 (EMC Update) v0.22_NRA_model_for_NEMO2 (EMC Update) v0.25_NRA_model_for_NEMO2 (EMC Update) v0.26_NRA_model_for_NEMO2 (EMC Update) v0.29.2_NRA_model_for_NEMO2 (EMC Update) v0.29.5_NRA_model_for_NEMO2 (EMC Update) v0 30 1" xfId="1530" xr:uid="{00000000-0005-0000-0000-0000A4050000}"/>
    <cellStyle name="%_NRA_model_for_NEMO2 (EMC Update) v0.22_NRA_model_for_NEMO2 (EMC Update) v0.25_NRA_model_for_NEMO2 (EMC Update) v0.26_NRA_model_for_NEMO2 (EMC Update) v0.29.3" xfId="1531" xr:uid="{00000000-0005-0000-0000-0000A5050000}"/>
    <cellStyle name="%_NRA_model_for_NEMO2 (EMC Update) v0.22_NRA_model_for_NEMO2 (EMC Update) v0.25_NRA_model_for_NEMO2 (EMC Update) v0.26_NRA_model_for_NEMO2 (EMC Update) v0.29.3_NRA_model_for_NEMO2 (EMC Update) v0 30 1" xfId="1532" xr:uid="{00000000-0005-0000-0000-0000A6050000}"/>
    <cellStyle name="%_NRA_model_for_NEMO2 (EMC Update) v0.22_NRA_model_for_NEMO2 (EMC Update) v0.25_NRA_model_for_NEMO2 (EMC Update) v0.26_NRA_model_for_NEMO2 (EMC Update) v0.29.3_NRA_model_for_NEMO2 (EMC Update) v0.29.5" xfId="1533" xr:uid="{00000000-0005-0000-0000-0000A7050000}"/>
    <cellStyle name="%_NRA_model_for_NEMO2 (EMC Update) v0.22_NRA_model_for_NEMO2 (EMC Update) v0.25_NRA_model_for_NEMO2 (EMC Update) v0.26_NRA_model_for_NEMO2 (EMC Update) v0.29.3_NRA_model_for_NEMO2 (EMC Update) v0.29.5_NRA_model_for_NEMO2 (EMC Update) v0 30 1" xfId="1534" xr:uid="{00000000-0005-0000-0000-0000A8050000}"/>
    <cellStyle name="%_NRA_model_for_NEMO2 (EMC Update) v0.22_NRA_model_for_NEMO2 (EMC Update) v0.25_NRA_model_for_NEMO2 (EMC Update) v0.26_NRA_model_for_NEMO2 (EMC Update) v0.29.4" xfId="1535" xr:uid="{00000000-0005-0000-0000-0000A9050000}"/>
    <cellStyle name="%_NRA_model_for_NEMO2 (EMC Update) v0.22_NRA_model_for_NEMO2 (EMC Update) v0.25_NRA_model_for_NEMO2 (EMC Update) v0.26_NRA_model_for_NEMO2 (EMC Update) v0.29.4_NRA_model_for_NEMO2 (EMC Update) v0 30 1" xfId="1536" xr:uid="{00000000-0005-0000-0000-0000AA050000}"/>
    <cellStyle name="%_NRA_model_for_NEMO2 (EMC Update) v0.22_NRA_model_for_NEMO2 (EMC Update) v0.25_NRA_model_for_NEMO2 (EMC Update) v0.26_NRA_model_for_NEMO2 (EMC Update) v0.29.4_NRA_model_for_NEMO2 (EMC Update) v0.29.5" xfId="1537" xr:uid="{00000000-0005-0000-0000-0000AB050000}"/>
    <cellStyle name="%_NRA_model_for_NEMO2 (EMC Update) v0.22_NRA_model_for_NEMO2 (EMC Update) v0.25_NRA_model_for_NEMO2 (EMC Update) v0.26_NRA_model_for_NEMO2 (EMC Update) v0.29.4_NRA_model_for_NEMO2 (EMC Update) v0.29.5_NRA_model_for_NEMO2 (EMC Update) v0 30 1" xfId="1538" xr:uid="{00000000-0005-0000-0000-0000AC050000}"/>
    <cellStyle name="%_NRA_model_for_NEMO2 (EMC Update) v0.22_NRA_model_for_NEMO2 (EMC Update) v0.25_NRA_model_for_NEMO2 (EMC Update) v0.26_NRA_model_for_NEMO2 (EMC Update) v0.29.5" xfId="1539" xr:uid="{00000000-0005-0000-0000-0000AD050000}"/>
    <cellStyle name="%_NRA_model_for_NEMO2 (EMC Update) v0.22_NRA_model_for_NEMO2 (EMC Update) v0.25_NRA_model_for_NEMO2 (EMC Update) v0.26_NRA_model_for_NEMO2 (EMC Update) v0.29.5_NRA_model_for_NEMO2 (EMC Update) v0 30 1" xfId="1540" xr:uid="{00000000-0005-0000-0000-0000AE050000}"/>
    <cellStyle name="%_NRA_model_for_NEMO2 (EMC Update) v0.22_NRA_model_for_NEMO2 (EMC Update) v0.25_NRA_model_for_NEMO2 (EMC Update) v0.26_NRA_model_for_NEMO2 (EMC Update) v0.29_NRA_model_for_NEMO2 (EMC Update) v0 30 1" xfId="1541" xr:uid="{00000000-0005-0000-0000-0000AF050000}"/>
    <cellStyle name="%_NRA_model_for_NEMO2 (EMC Update) v0.22_NRA_model_for_NEMO2 (EMC Update) v0.25_NRA_model_for_NEMO2 (EMC Update) v0.26_NRA_model_for_NEMO2 (EMC Update) v0.29_NRA_model_for_NEMO2 (EMC Update) v0.29.2" xfId="1542" xr:uid="{00000000-0005-0000-0000-0000B0050000}"/>
    <cellStyle name="%_NRA_model_for_NEMO2 (EMC Update) v0.22_NRA_model_for_NEMO2 (EMC Update) v0.25_NRA_model_for_NEMO2 (EMC Update) v0.26_NRA_model_for_NEMO2 (EMC Update) v0.29_NRA_model_for_NEMO2 (EMC Update) v0.29.2_NRA_model_for_NEMO2 (EMC Update) v0 30 1" xfId="1543" xr:uid="{00000000-0005-0000-0000-0000B1050000}"/>
    <cellStyle name="%_NRA_model_for_NEMO2 (EMC Update) v0.22_NRA_model_for_NEMO2 (EMC Update) v0.25_NRA_model_for_NEMO2 (EMC Update) v0.26_NRA_model_for_NEMO2 (EMC Update) v0.29_NRA_model_for_NEMO2 (EMC Update) v0.29.2_NRA_model_for_NEMO2 (EMC Update) v0.29.3" xfId="1544" xr:uid="{00000000-0005-0000-0000-0000B2050000}"/>
    <cellStyle name="%_NRA_model_for_NEMO2 (EMC Update) v0.22_NRA_model_for_NEMO2 (EMC Update) v0.25_NRA_model_for_NEMO2 (EMC Update) v0.26_NRA_model_for_NEMO2 (EMC Update) v0.29_NRA_model_for_NEMO2 (EMC Update) v0.29.2_NRA_model_for_NEMO2 (EMC Update) v0.29.4" xfId="1545" xr:uid="{00000000-0005-0000-0000-0000B3050000}"/>
    <cellStyle name="%_NRA_model_for_NEMO2 (EMC Update) v0.22_NRA_model_for_NEMO2 (EMC Update) v0.25_NRA_model_for_NEMO2 (EMC Update) v0.26_NRA_model_for_NEMO2 (EMC Update) v0.29_NRA_model_for_NEMO2 (EMC Update) v0.29.2_NRA_model_for_NEMO2 (EMC Update) v0.29.5" xfId="1546" xr:uid="{00000000-0005-0000-0000-0000B4050000}"/>
    <cellStyle name="%_NRA_model_for_NEMO2 (EMC Update) v0.22_NRA_model_for_NEMO2 (EMC Update) v0.25_NRA_model_for_NEMO2 (EMC Update) v0.26_NRA_model_for_NEMO2 (EMC Update) v0.29_NRA_model_for_NEMO2 (EMC Update) v0.29.3" xfId="1547" xr:uid="{00000000-0005-0000-0000-0000B5050000}"/>
    <cellStyle name="%_NRA_model_for_NEMO2 (EMC Update) v0.22_NRA_model_for_NEMO2 (EMC Update) v0.25_NRA_model_for_NEMO2 (EMC Update) v0.26_NRA_model_for_NEMO2 (EMC Update) v0.29_NRA_model_for_NEMO2 (EMC Update) v0.29.3_NRA_model_for_NEMO2 (EMC Update) v0 30 1" xfId="1548" xr:uid="{00000000-0005-0000-0000-0000B6050000}"/>
    <cellStyle name="%_NRA_model_for_NEMO2 (EMC Update) v0.22_NRA_model_for_NEMO2 (EMC Update) v0.25_NRA_model_for_NEMO2 (EMC Update) v0.26_NRA_model_for_NEMO2 (EMC Update) v0.29_NRA_model_for_NEMO2 (EMC Update) v0.29.3_NRA_model_for_NEMO2 (EMC Update) v0.29.5" xfId="1549" xr:uid="{00000000-0005-0000-0000-0000B7050000}"/>
    <cellStyle name="%_NRA_model_for_NEMO2 (EMC Update) v0.22_NRA_model_for_NEMO2 (EMC Update) v0.25_NRA_model_for_NEMO2 (EMC Update) v0.26_NRA_model_for_NEMO2 (EMC Update) v0.29_NRA_model_for_NEMO2 (EMC Update) v0.29.4" xfId="1550" xr:uid="{00000000-0005-0000-0000-0000B8050000}"/>
    <cellStyle name="%_NRA_model_for_NEMO2 (EMC Update) v0.22_NRA_model_for_NEMO2 (EMC Update) v0.25_NRA_model_for_NEMO2 (EMC Update) v0.26_NRA_model_for_NEMO2 (EMC Update) v0.29_NRA_model_for_NEMO2 (EMC Update) v0.29.4_NRA_model_for_NEMO2 (EMC Update) v0 30 1" xfId="1551" xr:uid="{00000000-0005-0000-0000-0000B9050000}"/>
    <cellStyle name="%_NRA_model_for_NEMO2 (EMC Update) v0.22_NRA_model_for_NEMO2 (EMC Update) v0.25_NRA_model_for_NEMO2 (EMC Update) v0.26_NRA_model_for_NEMO2 (EMC Update) v0.29_NRA_model_for_NEMO2 (EMC Update) v0.29.4_NRA_model_for_NEMO2 (EMC Update) v0.29.5" xfId="1552" xr:uid="{00000000-0005-0000-0000-0000BA050000}"/>
    <cellStyle name="%_NRA_model_for_NEMO2 (EMC Update) v0.22_NRA_model_for_NEMO2 (EMC Update) v0.25_NRA_model_for_NEMO2 (EMC Update) v0.26_NRA_model_for_NEMO2 (EMC Update) v0.29_NRA_model_for_NEMO2 (EMC Update) v0.29.5" xfId="1553" xr:uid="{00000000-0005-0000-0000-0000BB050000}"/>
    <cellStyle name="%_NRA_model_for_NEMO2 (EMC Update) v0.22_NRA_model_for_NEMO2 (EMC Update) v0.25_NRA_model_for_NEMO2 (EMC Update) v0.26_NRA_model_for_NEMO2 (EMC Update) v0.29_NRA_model_for_NEMO2 (EMC Update) v0.29.5_NRA_model_for_NEMO2 (EMC Update) v0 30 1" xfId="1554" xr:uid="{00000000-0005-0000-0000-0000BC050000}"/>
    <cellStyle name="%_NRA_model_for_NEMO2 (EMC Update) v0.22_NRA_model_for_NEMO2 (EMC Update) v0.25_NRA_model_for_NEMO2 (EMC Update) v0.29" xfId="1555" xr:uid="{00000000-0005-0000-0000-0000BD050000}"/>
    <cellStyle name="%_NRA_model_for_NEMO2 (EMC Update) v0.22_NRA_model_for_NEMO2 (EMC Update) v0.25_NRA_model_for_NEMO2 (EMC Update) v0.29.2" xfId="1556" xr:uid="{00000000-0005-0000-0000-0000BE050000}"/>
    <cellStyle name="%_NRA_model_for_NEMO2 (EMC Update) v0.22_NRA_model_for_NEMO2 (EMC Update) v0.25_NRA_model_for_NEMO2 (EMC Update) v0.29.2_NRA_model_for_NEMO2 (EMC Update) v0 30 1" xfId="1557" xr:uid="{00000000-0005-0000-0000-0000BF050000}"/>
    <cellStyle name="%_NRA_model_for_NEMO2 (EMC Update) v0.22_NRA_model_for_NEMO2 (EMC Update) v0.25_NRA_model_for_NEMO2 (EMC Update) v0.29.2_NRA_model_for_NEMO2 (EMC Update) v0.29.3" xfId="1558" xr:uid="{00000000-0005-0000-0000-0000C0050000}"/>
    <cellStyle name="%_NRA_model_for_NEMO2 (EMC Update) v0.22_NRA_model_for_NEMO2 (EMC Update) v0.25_NRA_model_for_NEMO2 (EMC Update) v0.29.2_NRA_model_for_NEMO2 (EMC Update) v0.29.3_NRA_model_for_NEMO2 (EMC Update) v0 30 1" xfId="1559" xr:uid="{00000000-0005-0000-0000-0000C1050000}"/>
    <cellStyle name="%_NRA_model_for_NEMO2 (EMC Update) v0.22_NRA_model_for_NEMO2 (EMC Update) v0.25_NRA_model_for_NEMO2 (EMC Update) v0.29.2_NRA_model_for_NEMO2 (EMC Update) v0.29.3_NRA_model_for_NEMO2 (EMC Update) v0.29.5" xfId="1560" xr:uid="{00000000-0005-0000-0000-0000C2050000}"/>
    <cellStyle name="%_NRA_model_for_NEMO2 (EMC Update) v0.22_NRA_model_for_NEMO2 (EMC Update) v0.25_NRA_model_for_NEMO2 (EMC Update) v0.29.2_NRA_model_for_NEMO2 (EMC Update) v0.29.3_NRA_model_for_NEMO2 (EMC Update) v0.29.5_NRA_model_for_NEMO2 (EMC Update) v0 30 1" xfId="1561" xr:uid="{00000000-0005-0000-0000-0000C3050000}"/>
    <cellStyle name="%_NRA_model_for_NEMO2 (EMC Update) v0.22_NRA_model_for_NEMO2 (EMC Update) v0.25_NRA_model_for_NEMO2 (EMC Update) v0.29.2_NRA_model_for_NEMO2 (EMC Update) v0.29.4" xfId="1562" xr:uid="{00000000-0005-0000-0000-0000C4050000}"/>
    <cellStyle name="%_NRA_model_for_NEMO2 (EMC Update) v0.22_NRA_model_for_NEMO2 (EMC Update) v0.25_NRA_model_for_NEMO2 (EMC Update) v0.29.2_NRA_model_for_NEMO2 (EMC Update) v0.29.4_NRA_model_for_NEMO2 (EMC Update) v0 30 1" xfId="1563" xr:uid="{00000000-0005-0000-0000-0000C5050000}"/>
    <cellStyle name="%_NRA_model_for_NEMO2 (EMC Update) v0.22_NRA_model_for_NEMO2 (EMC Update) v0.25_NRA_model_for_NEMO2 (EMC Update) v0.29.2_NRA_model_for_NEMO2 (EMC Update) v0.29.4_NRA_model_for_NEMO2 (EMC Update) v0.29.5" xfId="1564" xr:uid="{00000000-0005-0000-0000-0000C6050000}"/>
    <cellStyle name="%_NRA_model_for_NEMO2 (EMC Update) v0.22_NRA_model_for_NEMO2 (EMC Update) v0.25_NRA_model_for_NEMO2 (EMC Update) v0.29.2_NRA_model_for_NEMO2 (EMC Update) v0.29.4_NRA_model_for_NEMO2 (EMC Update) v0.29.5_NRA_model_for_NEMO2 (EMC Update) v0 30 1" xfId="1565" xr:uid="{00000000-0005-0000-0000-0000C7050000}"/>
    <cellStyle name="%_NRA_model_for_NEMO2 (EMC Update) v0.22_NRA_model_for_NEMO2 (EMC Update) v0.25_NRA_model_for_NEMO2 (EMC Update) v0.29.2_NRA_model_for_NEMO2 (EMC Update) v0.29.5" xfId="1566" xr:uid="{00000000-0005-0000-0000-0000C8050000}"/>
    <cellStyle name="%_NRA_model_for_NEMO2 (EMC Update) v0.22_NRA_model_for_NEMO2 (EMC Update) v0.25_NRA_model_for_NEMO2 (EMC Update) v0.29.2_NRA_model_for_NEMO2 (EMC Update) v0.29.5_NRA_model_for_NEMO2 (EMC Update) v0 30 1" xfId="1567" xr:uid="{00000000-0005-0000-0000-0000C9050000}"/>
    <cellStyle name="%_NRA_model_for_NEMO2 (EMC Update) v0.22_NRA_model_for_NEMO2 (EMC Update) v0.25_NRA_model_for_NEMO2 (EMC Update) v0.29.3" xfId="1568" xr:uid="{00000000-0005-0000-0000-0000CA050000}"/>
    <cellStyle name="%_NRA_model_for_NEMO2 (EMC Update) v0.22_NRA_model_for_NEMO2 (EMC Update) v0.25_NRA_model_for_NEMO2 (EMC Update) v0.29.3_NRA_model_for_NEMO2 (EMC Update) v0 30 1" xfId="1569" xr:uid="{00000000-0005-0000-0000-0000CB050000}"/>
    <cellStyle name="%_NRA_model_for_NEMO2 (EMC Update) v0.22_NRA_model_for_NEMO2 (EMC Update) v0.25_NRA_model_for_NEMO2 (EMC Update) v0.29.3_NRA_model_for_NEMO2 (EMC Update) v0.29.5" xfId="1570" xr:uid="{00000000-0005-0000-0000-0000CC050000}"/>
    <cellStyle name="%_NRA_model_for_NEMO2 (EMC Update) v0.22_NRA_model_for_NEMO2 (EMC Update) v0.25_NRA_model_for_NEMO2 (EMC Update) v0.29.3_NRA_model_for_NEMO2 (EMC Update) v0.29.5_NRA_model_for_NEMO2 (EMC Update) v0 30 1" xfId="1571" xr:uid="{00000000-0005-0000-0000-0000CD050000}"/>
    <cellStyle name="%_NRA_model_for_NEMO2 (EMC Update) v0.22_NRA_model_for_NEMO2 (EMC Update) v0.25_NRA_model_for_NEMO2 (EMC Update) v0.29.4" xfId="1572" xr:uid="{00000000-0005-0000-0000-0000CE050000}"/>
    <cellStyle name="%_NRA_model_for_NEMO2 (EMC Update) v0.22_NRA_model_for_NEMO2 (EMC Update) v0.25_NRA_model_for_NEMO2 (EMC Update) v0.29.4_NRA_model_for_NEMO2 (EMC Update) v0 30 1" xfId="1573" xr:uid="{00000000-0005-0000-0000-0000CF050000}"/>
    <cellStyle name="%_NRA_model_for_NEMO2 (EMC Update) v0.22_NRA_model_for_NEMO2 (EMC Update) v0.25_NRA_model_for_NEMO2 (EMC Update) v0.29.4_NRA_model_for_NEMO2 (EMC Update) v0.29.5" xfId="1574" xr:uid="{00000000-0005-0000-0000-0000D0050000}"/>
    <cellStyle name="%_NRA_model_for_NEMO2 (EMC Update) v0.22_NRA_model_for_NEMO2 (EMC Update) v0.25_NRA_model_for_NEMO2 (EMC Update) v0.29.4_NRA_model_for_NEMO2 (EMC Update) v0.29.5_NRA_model_for_NEMO2 (EMC Update) v0 30 1" xfId="1575" xr:uid="{00000000-0005-0000-0000-0000D1050000}"/>
    <cellStyle name="%_NRA_model_for_NEMO2 (EMC Update) v0.22_NRA_model_for_NEMO2 (EMC Update) v0.25_NRA_model_for_NEMO2 (EMC Update) v0.29.5" xfId="1576" xr:uid="{00000000-0005-0000-0000-0000D2050000}"/>
    <cellStyle name="%_NRA_model_for_NEMO2 (EMC Update) v0.22_NRA_model_for_NEMO2 (EMC Update) v0.25_NRA_model_for_NEMO2 (EMC Update) v0.29.5_NRA_model_for_NEMO2 (EMC Update) v0 30 1" xfId="1577" xr:uid="{00000000-0005-0000-0000-0000D3050000}"/>
    <cellStyle name="%_NRA_model_for_NEMO2 (EMC Update) v0.22_NRA_model_for_NEMO2 (EMC Update) v0.25_NRA_model_for_NEMO2 (EMC Update) v0.29_NRA_model_for_NEMO2 (EMC Update) v0 30 1" xfId="1578" xr:uid="{00000000-0005-0000-0000-0000D4050000}"/>
    <cellStyle name="%_NRA_model_for_NEMO2 (EMC Update) v0.22_NRA_model_for_NEMO2 (EMC Update) v0.25_NRA_model_for_NEMO2 (EMC Update) v0.29_NRA_model_for_NEMO2 (EMC Update) v0.29.2" xfId="1579" xr:uid="{00000000-0005-0000-0000-0000D5050000}"/>
    <cellStyle name="%_NRA_model_for_NEMO2 (EMC Update) v0.22_NRA_model_for_NEMO2 (EMC Update) v0.25_NRA_model_for_NEMO2 (EMC Update) v0.29_NRA_model_for_NEMO2 (EMC Update) v0.29.2_NRA_model_for_NEMO2 (EMC Update) v0 30 1" xfId="1580" xr:uid="{00000000-0005-0000-0000-0000D6050000}"/>
    <cellStyle name="%_NRA_model_for_NEMO2 (EMC Update) v0.22_NRA_model_for_NEMO2 (EMC Update) v0.25_NRA_model_for_NEMO2 (EMC Update) v0.29_NRA_model_for_NEMO2 (EMC Update) v0.29.2_NRA_model_for_NEMO2 (EMC Update) v0.29.3" xfId="1581" xr:uid="{00000000-0005-0000-0000-0000D7050000}"/>
    <cellStyle name="%_NRA_model_for_NEMO2 (EMC Update) v0.22_NRA_model_for_NEMO2 (EMC Update) v0.25_NRA_model_for_NEMO2 (EMC Update) v0.29_NRA_model_for_NEMO2 (EMC Update) v0.29.2_NRA_model_for_NEMO2 (EMC Update) v0.29.3_NRA_model_for_NEMO2 (EMC Update) v0 30 1" xfId="1582" xr:uid="{00000000-0005-0000-0000-0000D8050000}"/>
    <cellStyle name="%_NRA_model_for_NEMO2 (EMC Update) v0.22_NRA_model_for_NEMO2 (EMC Update) v0.25_NRA_model_for_NEMO2 (EMC Update) v0.29_NRA_model_for_NEMO2 (EMC Update) v0.29.2_NRA_model_for_NEMO2 (EMC Update) v0.29.3_NRA_model_for_NEMO2 (EMC Update) v0.29.5" xfId="1583" xr:uid="{00000000-0005-0000-0000-0000D9050000}"/>
    <cellStyle name="%_NRA_model_for_NEMO2 (EMC Update) v0.22_NRA_model_for_NEMO2 (EMC Update) v0.25_NRA_model_for_NEMO2 (EMC Update) v0.29_NRA_model_for_NEMO2 (EMC Update) v0.29.2_NRA_model_for_NEMO2 (EMC Update) v0.29.4" xfId="1584" xr:uid="{00000000-0005-0000-0000-0000DA050000}"/>
    <cellStyle name="%_NRA_model_for_NEMO2 (EMC Update) v0.22_NRA_model_for_NEMO2 (EMC Update) v0.25_NRA_model_for_NEMO2 (EMC Update) v0.29_NRA_model_for_NEMO2 (EMC Update) v0.29.2_NRA_model_for_NEMO2 (EMC Update) v0.29.4_NRA_model_for_NEMO2 (EMC Update) v0 30 1" xfId="1585" xr:uid="{00000000-0005-0000-0000-0000DB050000}"/>
    <cellStyle name="%_NRA_model_for_NEMO2 (EMC Update) v0.22_NRA_model_for_NEMO2 (EMC Update) v0.25_NRA_model_for_NEMO2 (EMC Update) v0.29_NRA_model_for_NEMO2 (EMC Update) v0.29.2_NRA_model_for_NEMO2 (EMC Update) v0.29.4_NRA_model_for_NEMO2 (EMC Update) v0.29.5" xfId="1586" xr:uid="{00000000-0005-0000-0000-0000DC050000}"/>
    <cellStyle name="%_NRA_model_for_NEMO2 (EMC Update) v0.22_NRA_model_for_NEMO2 (EMC Update) v0.25_NRA_model_for_NEMO2 (EMC Update) v0.29_NRA_model_for_NEMO2 (EMC Update) v0.29.2_NRA_model_for_NEMO2 (EMC Update) v0.29.5" xfId="1587" xr:uid="{00000000-0005-0000-0000-0000DD050000}"/>
    <cellStyle name="%_NRA_model_for_NEMO2 (EMC Update) v0.22_NRA_model_for_NEMO2 (EMC Update) v0.25_NRA_model_for_NEMO2 (EMC Update) v0.29_NRA_model_for_NEMO2 (EMC Update) v0.29.2_NRA_model_for_NEMO2 (EMC Update) v0.29.5_NRA_model_for_NEMO2 (EMC Update) v0 30 1" xfId="1588" xr:uid="{00000000-0005-0000-0000-0000DE050000}"/>
    <cellStyle name="%_NRA_model_for_NEMO2 (EMC Update) v0.22_NRA_model_for_NEMO2 (EMC Update) v0.25_NRA_model_for_NEMO2 (EMC Update) v0.29_NRA_model_for_NEMO2 (EMC Update) v0.29.3" xfId="1589" xr:uid="{00000000-0005-0000-0000-0000DF050000}"/>
    <cellStyle name="%_NRA_model_for_NEMO2 (EMC Update) v0.22_NRA_model_for_NEMO2 (EMC Update) v0.25_NRA_model_for_NEMO2 (EMC Update) v0.29_NRA_model_for_NEMO2 (EMC Update) v0.29.3_NRA_model_for_NEMO2 (EMC Update) v0 30 1" xfId="1590" xr:uid="{00000000-0005-0000-0000-0000E0050000}"/>
    <cellStyle name="%_NRA_model_for_NEMO2 (EMC Update) v0.22_NRA_model_for_NEMO2 (EMC Update) v0.25_NRA_model_for_NEMO2 (EMC Update) v0.29_NRA_model_for_NEMO2 (EMC Update) v0.29.3_NRA_model_for_NEMO2 (EMC Update) v0.29.5" xfId="1591" xr:uid="{00000000-0005-0000-0000-0000E1050000}"/>
    <cellStyle name="%_NRA_model_for_NEMO2 (EMC Update) v0.22_NRA_model_for_NEMO2 (EMC Update) v0.25_NRA_model_for_NEMO2 (EMC Update) v0.29_NRA_model_for_NEMO2 (EMC Update) v0.29.3_NRA_model_for_NEMO2 (EMC Update) v0.29.5_NRA_model_for_NEMO2 (EMC Update) v0 30 1" xfId="1592" xr:uid="{00000000-0005-0000-0000-0000E2050000}"/>
    <cellStyle name="%_NRA_model_for_NEMO2 (EMC Update) v0.22_NRA_model_for_NEMO2 (EMC Update) v0.25_NRA_model_for_NEMO2 (EMC Update) v0.29_NRA_model_for_NEMO2 (EMC Update) v0.29.4" xfId="1593" xr:uid="{00000000-0005-0000-0000-0000E3050000}"/>
    <cellStyle name="%_NRA_model_for_NEMO2 (EMC Update) v0.22_NRA_model_for_NEMO2 (EMC Update) v0.25_NRA_model_for_NEMO2 (EMC Update) v0.29_NRA_model_for_NEMO2 (EMC Update) v0.29.4_NRA_model_for_NEMO2 (EMC Update) v0 30 1" xfId="1594" xr:uid="{00000000-0005-0000-0000-0000E4050000}"/>
    <cellStyle name="%_NRA_model_for_NEMO2 (EMC Update) v0.22_NRA_model_for_NEMO2 (EMC Update) v0.25_NRA_model_for_NEMO2 (EMC Update) v0.29_NRA_model_for_NEMO2 (EMC Update) v0.29.4_NRA_model_for_NEMO2 (EMC Update) v0.29.5" xfId="1595" xr:uid="{00000000-0005-0000-0000-0000E5050000}"/>
    <cellStyle name="%_NRA_model_for_NEMO2 (EMC Update) v0.22_NRA_model_for_NEMO2 (EMC Update) v0.25_NRA_model_for_NEMO2 (EMC Update) v0.29_NRA_model_for_NEMO2 (EMC Update) v0.29.4_NRA_model_for_NEMO2 (EMC Update) v0.29.5_NRA_model_for_NEMO2 (EMC Update) v0 30 1" xfId="1596" xr:uid="{00000000-0005-0000-0000-0000E6050000}"/>
    <cellStyle name="%_NRA_model_for_NEMO2 (EMC Update) v0.22_NRA_model_for_NEMO2 (EMC Update) v0.25_NRA_model_for_NEMO2 (EMC Update) v0.29_NRA_model_for_NEMO2 (EMC Update) v0.29.5" xfId="1597" xr:uid="{00000000-0005-0000-0000-0000E7050000}"/>
    <cellStyle name="%_NRA_model_for_NEMO2 (EMC Update) v0.22_NRA_model_for_NEMO2 (EMC Update) v0.25_NRA_model_for_NEMO2 (EMC Update) v0.29_NRA_model_for_NEMO2 (EMC Update) v0.29.5_NRA_model_for_NEMO2 (EMC Update) v0 30 1" xfId="1598" xr:uid="{00000000-0005-0000-0000-0000E8050000}"/>
    <cellStyle name="%_NRA_model_for_NEMO2 (EMC Update) v0.22_NRA_model_for_NEMO2 (EMC Update) v0.26" xfId="1599" xr:uid="{00000000-0005-0000-0000-0000E9050000}"/>
    <cellStyle name="%_NRA_model_for_NEMO2 (EMC Update) v0.22_NRA_model_for_NEMO2 (EMC Update) v0.26_NRA_model_for_NEMO2 (EMC Update) v0 30 1" xfId="1600" xr:uid="{00000000-0005-0000-0000-0000EA050000}"/>
    <cellStyle name="%_NRA_model_for_NEMO2 (EMC Update) v0.22_NRA_model_for_NEMO2 (EMC Update) v0.26_NRA_model_for_NEMO2 (EMC Update) v0.29" xfId="1601" xr:uid="{00000000-0005-0000-0000-0000EB050000}"/>
    <cellStyle name="%_NRA_model_for_NEMO2 (EMC Update) v0.22_NRA_model_for_NEMO2 (EMC Update) v0.26_NRA_model_for_NEMO2 (EMC Update) v0.29.2" xfId="1602" xr:uid="{00000000-0005-0000-0000-0000EC050000}"/>
    <cellStyle name="%_NRA_model_for_NEMO2 (EMC Update) v0.22_NRA_model_for_NEMO2 (EMC Update) v0.26_NRA_model_for_NEMO2 (EMC Update) v0.29.2_NRA_model_for_NEMO2 (EMC Update) v0 30 1" xfId="1603" xr:uid="{00000000-0005-0000-0000-0000ED050000}"/>
    <cellStyle name="%_NRA_model_for_NEMO2 (EMC Update) v0.22_NRA_model_for_NEMO2 (EMC Update) v0.26_NRA_model_for_NEMO2 (EMC Update) v0.29.2_NRA_model_for_NEMO2 (EMC Update) v0.29.3" xfId="1604" xr:uid="{00000000-0005-0000-0000-0000EE050000}"/>
    <cellStyle name="%_NRA_model_for_NEMO2 (EMC Update) v0.22_NRA_model_for_NEMO2 (EMC Update) v0.26_NRA_model_for_NEMO2 (EMC Update) v0.29.2_NRA_model_for_NEMO2 (EMC Update) v0.29.3_NRA_model_for_NEMO2 (EMC Update) v0 30 1" xfId="1605" xr:uid="{00000000-0005-0000-0000-0000EF050000}"/>
    <cellStyle name="%_NRA_model_for_NEMO2 (EMC Update) v0.22_NRA_model_for_NEMO2 (EMC Update) v0.26_NRA_model_for_NEMO2 (EMC Update) v0.29.2_NRA_model_for_NEMO2 (EMC Update) v0.29.3_NRA_model_for_NEMO2 (EMC Update) v0.29.5" xfId="1606" xr:uid="{00000000-0005-0000-0000-0000F0050000}"/>
    <cellStyle name="%_NRA_model_for_NEMO2 (EMC Update) v0.22_NRA_model_for_NEMO2 (EMC Update) v0.26_NRA_model_for_NEMO2 (EMC Update) v0.29.2_NRA_model_for_NEMO2 (EMC Update) v0.29.3_NRA_model_for_NEMO2 (EMC Update) v0.29.5_NRA_model_for_NEMO2 (EMC Update) v0 30 1" xfId="1607" xr:uid="{00000000-0005-0000-0000-0000F1050000}"/>
    <cellStyle name="%_NRA_model_for_NEMO2 (EMC Update) v0.22_NRA_model_for_NEMO2 (EMC Update) v0.26_NRA_model_for_NEMO2 (EMC Update) v0.29.2_NRA_model_for_NEMO2 (EMC Update) v0.29.4" xfId="1608" xr:uid="{00000000-0005-0000-0000-0000F2050000}"/>
    <cellStyle name="%_NRA_model_for_NEMO2 (EMC Update) v0.22_NRA_model_for_NEMO2 (EMC Update) v0.26_NRA_model_for_NEMO2 (EMC Update) v0.29.2_NRA_model_for_NEMO2 (EMC Update) v0.29.4_NRA_model_for_NEMO2 (EMC Update) v0 30 1" xfId="1609" xr:uid="{00000000-0005-0000-0000-0000F3050000}"/>
    <cellStyle name="%_NRA_model_for_NEMO2 (EMC Update) v0.22_NRA_model_for_NEMO2 (EMC Update) v0.26_NRA_model_for_NEMO2 (EMC Update) v0.29.2_NRA_model_for_NEMO2 (EMC Update) v0.29.4_NRA_model_for_NEMO2 (EMC Update) v0.29.5" xfId="1610" xr:uid="{00000000-0005-0000-0000-0000F4050000}"/>
    <cellStyle name="%_NRA_model_for_NEMO2 (EMC Update) v0.22_NRA_model_for_NEMO2 (EMC Update) v0.26_NRA_model_for_NEMO2 (EMC Update) v0.29.2_NRA_model_for_NEMO2 (EMC Update) v0.29.4_NRA_model_for_NEMO2 (EMC Update) v0.29.5_NRA_model_for_NEMO2 (EMC Update) v0 30 1" xfId="1611" xr:uid="{00000000-0005-0000-0000-0000F5050000}"/>
    <cellStyle name="%_NRA_model_for_NEMO2 (EMC Update) v0.22_NRA_model_for_NEMO2 (EMC Update) v0.26_NRA_model_for_NEMO2 (EMC Update) v0.29.2_NRA_model_for_NEMO2 (EMC Update) v0.29.5" xfId="1612" xr:uid="{00000000-0005-0000-0000-0000F6050000}"/>
    <cellStyle name="%_NRA_model_for_NEMO2 (EMC Update) v0.22_NRA_model_for_NEMO2 (EMC Update) v0.26_NRA_model_for_NEMO2 (EMC Update) v0.29.2_NRA_model_for_NEMO2 (EMC Update) v0.29.5_NRA_model_for_NEMO2 (EMC Update) v0 30 1" xfId="1613" xr:uid="{00000000-0005-0000-0000-0000F7050000}"/>
    <cellStyle name="%_NRA_model_for_NEMO2 (EMC Update) v0.22_NRA_model_for_NEMO2 (EMC Update) v0.26_NRA_model_for_NEMO2 (EMC Update) v0.29.3" xfId="1614" xr:uid="{00000000-0005-0000-0000-0000F8050000}"/>
    <cellStyle name="%_NRA_model_for_NEMO2 (EMC Update) v0.22_NRA_model_for_NEMO2 (EMC Update) v0.26_NRA_model_for_NEMO2 (EMC Update) v0.29.3_NRA_model_for_NEMO2 (EMC Update) v0 30 1" xfId="1615" xr:uid="{00000000-0005-0000-0000-0000F9050000}"/>
    <cellStyle name="%_NRA_model_for_NEMO2 (EMC Update) v0.22_NRA_model_for_NEMO2 (EMC Update) v0.26_NRA_model_for_NEMO2 (EMC Update) v0.29.3_NRA_model_for_NEMO2 (EMC Update) v0.29.5" xfId="1616" xr:uid="{00000000-0005-0000-0000-0000FA050000}"/>
    <cellStyle name="%_NRA_model_for_NEMO2 (EMC Update) v0.22_NRA_model_for_NEMO2 (EMC Update) v0.26_NRA_model_for_NEMO2 (EMC Update) v0.29.3_NRA_model_for_NEMO2 (EMC Update) v0.29.5_NRA_model_for_NEMO2 (EMC Update) v0 30 1" xfId="1617" xr:uid="{00000000-0005-0000-0000-0000FB050000}"/>
    <cellStyle name="%_NRA_model_for_NEMO2 (EMC Update) v0.22_NRA_model_for_NEMO2 (EMC Update) v0.26_NRA_model_for_NEMO2 (EMC Update) v0.29.4" xfId="1618" xr:uid="{00000000-0005-0000-0000-0000FC050000}"/>
    <cellStyle name="%_NRA_model_for_NEMO2 (EMC Update) v0.22_NRA_model_for_NEMO2 (EMC Update) v0.26_NRA_model_for_NEMO2 (EMC Update) v0.29.4_NRA_model_for_NEMO2 (EMC Update) v0 30 1" xfId="1619" xr:uid="{00000000-0005-0000-0000-0000FD050000}"/>
    <cellStyle name="%_NRA_model_for_NEMO2 (EMC Update) v0.22_NRA_model_for_NEMO2 (EMC Update) v0.26_NRA_model_for_NEMO2 (EMC Update) v0.29.4_NRA_model_for_NEMO2 (EMC Update) v0.29.5" xfId="1620" xr:uid="{00000000-0005-0000-0000-0000FE050000}"/>
    <cellStyle name="%_NRA_model_for_NEMO2 (EMC Update) v0.22_NRA_model_for_NEMO2 (EMC Update) v0.26_NRA_model_for_NEMO2 (EMC Update) v0.29.4_NRA_model_for_NEMO2 (EMC Update) v0.29.5_NRA_model_for_NEMO2 (EMC Update) v0 30 1" xfId="1621" xr:uid="{00000000-0005-0000-0000-0000FF050000}"/>
    <cellStyle name="%_NRA_model_for_NEMO2 (EMC Update) v0.22_NRA_model_for_NEMO2 (EMC Update) v0.26_NRA_model_for_NEMO2 (EMC Update) v0.29.5" xfId="1622" xr:uid="{00000000-0005-0000-0000-000000060000}"/>
    <cellStyle name="%_NRA_model_for_NEMO2 (EMC Update) v0.22_NRA_model_for_NEMO2 (EMC Update) v0.26_NRA_model_for_NEMO2 (EMC Update) v0.29.5_NRA_model_for_NEMO2 (EMC Update) v0 30 1" xfId="1623" xr:uid="{00000000-0005-0000-0000-000001060000}"/>
    <cellStyle name="%_NRA_model_for_NEMO2 (EMC Update) v0.22_NRA_model_for_NEMO2 (EMC Update) v0.26_NRA_model_for_NEMO2 (EMC Update) v0.29_NRA_model_for_NEMO2 (EMC Update) v0 30 1" xfId="1624" xr:uid="{00000000-0005-0000-0000-000002060000}"/>
    <cellStyle name="%_NRA_model_for_NEMO2 (EMC Update) v0.22_NRA_model_for_NEMO2 (EMC Update) v0.26_NRA_model_for_NEMO2 (EMC Update) v0.29_NRA_model_for_NEMO2 (EMC Update) v0.29.2" xfId="1625" xr:uid="{00000000-0005-0000-0000-000003060000}"/>
    <cellStyle name="%_NRA_model_for_NEMO2 (EMC Update) v0.22_NRA_model_for_NEMO2 (EMC Update) v0.26_NRA_model_for_NEMO2 (EMC Update) v0.29_NRA_model_for_NEMO2 (EMC Update) v0.29.2_NRA_model_for_NEMO2 (EMC Update) v0 30 1" xfId="1626" xr:uid="{00000000-0005-0000-0000-000004060000}"/>
    <cellStyle name="%_NRA_model_for_NEMO2 (EMC Update) v0.22_NRA_model_for_NEMO2 (EMC Update) v0.26_NRA_model_for_NEMO2 (EMC Update) v0.29_NRA_model_for_NEMO2 (EMC Update) v0.29.2_NRA_model_for_NEMO2 (EMC Update) v0.29.3" xfId="1627" xr:uid="{00000000-0005-0000-0000-000005060000}"/>
    <cellStyle name="%_NRA_model_for_NEMO2 (EMC Update) v0.22_NRA_model_for_NEMO2 (EMC Update) v0.26_NRA_model_for_NEMO2 (EMC Update) v0.29_NRA_model_for_NEMO2 (EMC Update) v0.29.2_NRA_model_for_NEMO2 (EMC Update) v0.29.3_NRA_model_for_NEMO2 (EMC Update) v0 30 1" xfId="1628" xr:uid="{00000000-0005-0000-0000-000006060000}"/>
    <cellStyle name="%_NRA_model_for_NEMO2 (EMC Update) v0.22_NRA_model_for_NEMO2 (EMC Update) v0.26_NRA_model_for_NEMO2 (EMC Update) v0.29_NRA_model_for_NEMO2 (EMC Update) v0.29.2_NRA_model_for_NEMO2 (EMC Update) v0.29.3_NRA_model_for_NEMO2 (EMC Update) v0.29.5" xfId="1629" xr:uid="{00000000-0005-0000-0000-000007060000}"/>
    <cellStyle name="%_NRA_model_for_NEMO2 (EMC Update) v0.22_NRA_model_for_NEMO2 (EMC Update) v0.26_NRA_model_for_NEMO2 (EMC Update) v0.29_NRA_model_for_NEMO2 (EMC Update) v0.29.2_NRA_model_for_NEMO2 (EMC Update) v0.29.4" xfId="1630" xr:uid="{00000000-0005-0000-0000-000008060000}"/>
    <cellStyle name="%_NRA_model_for_NEMO2 (EMC Update) v0.22_NRA_model_for_NEMO2 (EMC Update) v0.26_NRA_model_for_NEMO2 (EMC Update) v0.29_NRA_model_for_NEMO2 (EMC Update) v0.29.2_NRA_model_for_NEMO2 (EMC Update) v0.29.4_NRA_model_for_NEMO2 (EMC Update) v0 30 1" xfId="1631" xr:uid="{00000000-0005-0000-0000-000009060000}"/>
    <cellStyle name="%_NRA_model_for_NEMO2 (EMC Update) v0.22_NRA_model_for_NEMO2 (EMC Update) v0.26_NRA_model_for_NEMO2 (EMC Update) v0.29_NRA_model_for_NEMO2 (EMC Update) v0.29.2_NRA_model_for_NEMO2 (EMC Update) v0.29.4_NRA_model_for_NEMO2 (EMC Update) v0.29.5" xfId="1632" xr:uid="{00000000-0005-0000-0000-00000A060000}"/>
    <cellStyle name="%_NRA_model_for_NEMO2 (EMC Update) v0.22_NRA_model_for_NEMO2 (EMC Update) v0.26_NRA_model_for_NEMO2 (EMC Update) v0.29_NRA_model_for_NEMO2 (EMC Update) v0.29.2_NRA_model_for_NEMO2 (EMC Update) v0.29.5" xfId="1633" xr:uid="{00000000-0005-0000-0000-00000B060000}"/>
    <cellStyle name="%_NRA_model_for_NEMO2 (EMC Update) v0.22_NRA_model_for_NEMO2 (EMC Update) v0.26_NRA_model_for_NEMO2 (EMC Update) v0.29_NRA_model_for_NEMO2 (EMC Update) v0.29.2_NRA_model_for_NEMO2 (EMC Update) v0.29.5_NRA_model_for_NEMO2 (EMC Update) v0 30 1" xfId="1634" xr:uid="{00000000-0005-0000-0000-00000C060000}"/>
    <cellStyle name="%_NRA_model_for_NEMO2 (EMC Update) v0.22_NRA_model_for_NEMO2 (EMC Update) v0.26_NRA_model_for_NEMO2 (EMC Update) v0.29_NRA_model_for_NEMO2 (EMC Update) v0.29.3" xfId="1635" xr:uid="{00000000-0005-0000-0000-00000D060000}"/>
    <cellStyle name="%_NRA_model_for_NEMO2 (EMC Update) v0.22_NRA_model_for_NEMO2 (EMC Update) v0.26_NRA_model_for_NEMO2 (EMC Update) v0.29_NRA_model_for_NEMO2 (EMC Update) v0.29.3_NRA_model_for_NEMO2 (EMC Update) v0 30 1" xfId="1636" xr:uid="{00000000-0005-0000-0000-00000E060000}"/>
    <cellStyle name="%_NRA_model_for_NEMO2 (EMC Update) v0.22_NRA_model_for_NEMO2 (EMC Update) v0.26_NRA_model_for_NEMO2 (EMC Update) v0.29_NRA_model_for_NEMO2 (EMC Update) v0.29.3_NRA_model_for_NEMO2 (EMC Update) v0.29.5" xfId="1637" xr:uid="{00000000-0005-0000-0000-00000F060000}"/>
    <cellStyle name="%_NRA_model_for_NEMO2 (EMC Update) v0.22_NRA_model_for_NEMO2 (EMC Update) v0.26_NRA_model_for_NEMO2 (EMC Update) v0.29_NRA_model_for_NEMO2 (EMC Update) v0.29.3_NRA_model_for_NEMO2 (EMC Update) v0.29.5_NRA_model_for_NEMO2 (EMC Update) v0 30 1" xfId="1638" xr:uid="{00000000-0005-0000-0000-000010060000}"/>
    <cellStyle name="%_NRA_model_for_NEMO2 (EMC Update) v0.22_NRA_model_for_NEMO2 (EMC Update) v0.26_NRA_model_for_NEMO2 (EMC Update) v0.29_NRA_model_for_NEMO2 (EMC Update) v0.29.4" xfId="1639" xr:uid="{00000000-0005-0000-0000-000011060000}"/>
    <cellStyle name="%_NRA_model_for_NEMO2 (EMC Update) v0.22_NRA_model_for_NEMO2 (EMC Update) v0.26_NRA_model_for_NEMO2 (EMC Update) v0.29_NRA_model_for_NEMO2 (EMC Update) v0.29.4_NRA_model_for_NEMO2 (EMC Update) v0 30 1" xfId="1640" xr:uid="{00000000-0005-0000-0000-000012060000}"/>
    <cellStyle name="%_NRA_model_for_NEMO2 (EMC Update) v0.22_NRA_model_for_NEMO2 (EMC Update) v0.26_NRA_model_for_NEMO2 (EMC Update) v0.29_NRA_model_for_NEMO2 (EMC Update) v0.29.4_NRA_model_for_NEMO2 (EMC Update) v0.29.5" xfId="1641" xr:uid="{00000000-0005-0000-0000-000013060000}"/>
    <cellStyle name="%_NRA_model_for_NEMO2 (EMC Update) v0.22_NRA_model_for_NEMO2 (EMC Update) v0.26_NRA_model_for_NEMO2 (EMC Update) v0.29_NRA_model_for_NEMO2 (EMC Update) v0.29.4_NRA_model_for_NEMO2 (EMC Update) v0.29.5_NRA_model_for_NEMO2 (EMC Update) v0 30 1" xfId="1642" xr:uid="{00000000-0005-0000-0000-000014060000}"/>
    <cellStyle name="%_NRA_model_for_NEMO2 (EMC Update) v0.22_NRA_model_for_NEMO2 (EMC Update) v0.26_NRA_model_for_NEMO2 (EMC Update) v0.29_NRA_model_for_NEMO2 (EMC Update) v0.29.5" xfId="1643" xr:uid="{00000000-0005-0000-0000-000015060000}"/>
    <cellStyle name="%_NRA_model_for_NEMO2 (EMC Update) v0.22_NRA_model_for_NEMO2 (EMC Update) v0.26_NRA_model_for_NEMO2 (EMC Update) v0.29_NRA_model_for_NEMO2 (EMC Update) v0.29.5_NRA_model_for_NEMO2 (EMC Update) v0 30 1" xfId="1644" xr:uid="{00000000-0005-0000-0000-000016060000}"/>
    <cellStyle name="%_NRA_model_for_NEMO2 (EMC Update) v0.22_NRA_model_for_NEMO2 (EMC Update) v0.29" xfId="1645" xr:uid="{00000000-0005-0000-0000-000017060000}"/>
    <cellStyle name="%_NRA_model_for_NEMO2 (EMC Update) v0.22_NRA_model_for_NEMO2 (EMC Update) v0.29.2" xfId="1646" xr:uid="{00000000-0005-0000-0000-000018060000}"/>
    <cellStyle name="%_NRA_model_for_NEMO2 (EMC Update) v0.22_NRA_model_for_NEMO2 (EMC Update) v0.29.2_NRA_model_for_NEMO2 (EMC Update) v0 30 1" xfId="1647" xr:uid="{00000000-0005-0000-0000-000019060000}"/>
    <cellStyle name="%_NRA_model_for_NEMO2 (EMC Update) v0.22_NRA_model_for_NEMO2 (EMC Update) v0.29.2_NRA_model_for_NEMO2 (EMC Update) v0.29.3" xfId="1648" xr:uid="{00000000-0005-0000-0000-00001A060000}"/>
    <cellStyle name="%_NRA_model_for_NEMO2 (EMC Update) v0.22_NRA_model_for_NEMO2 (EMC Update) v0.29.2_NRA_model_for_NEMO2 (EMC Update) v0.29.3_NRA_model_for_NEMO2 (EMC Update) v0 30 1" xfId="1649" xr:uid="{00000000-0005-0000-0000-00001B060000}"/>
    <cellStyle name="%_NRA_model_for_NEMO2 (EMC Update) v0.22_NRA_model_for_NEMO2 (EMC Update) v0.29.2_NRA_model_for_NEMO2 (EMC Update) v0.29.3_NRA_model_for_NEMO2 (EMC Update) v0.29.5" xfId="1650" xr:uid="{00000000-0005-0000-0000-00001C060000}"/>
    <cellStyle name="%_NRA_model_for_NEMO2 (EMC Update) v0.22_NRA_model_for_NEMO2 (EMC Update) v0.29.2_NRA_model_for_NEMO2 (EMC Update) v0.29.3_NRA_model_for_NEMO2 (EMC Update) v0.29.5_NRA_model_for_NEMO2 (EMC Update) v0 30 1" xfId="1651" xr:uid="{00000000-0005-0000-0000-00001D060000}"/>
    <cellStyle name="%_NRA_model_for_NEMO2 (EMC Update) v0.22_NRA_model_for_NEMO2 (EMC Update) v0.29.2_NRA_model_for_NEMO2 (EMC Update) v0.29.4" xfId="1652" xr:uid="{00000000-0005-0000-0000-00001E060000}"/>
    <cellStyle name="%_NRA_model_for_NEMO2 (EMC Update) v0.22_NRA_model_for_NEMO2 (EMC Update) v0.29.2_NRA_model_for_NEMO2 (EMC Update) v0.29.4_NRA_model_for_NEMO2 (EMC Update) v0 30 1" xfId="1653" xr:uid="{00000000-0005-0000-0000-00001F060000}"/>
    <cellStyle name="%_NRA_model_for_NEMO2 (EMC Update) v0.22_NRA_model_for_NEMO2 (EMC Update) v0.29.2_NRA_model_for_NEMO2 (EMC Update) v0.29.4_NRA_model_for_NEMO2 (EMC Update) v0.29.5" xfId="1654" xr:uid="{00000000-0005-0000-0000-000020060000}"/>
    <cellStyle name="%_NRA_model_for_NEMO2 (EMC Update) v0.22_NRA_model_for_NEMO2 (EMC Update) v0.29.2_NRA_model_for_NEMO2 (EMC Update) v0.29.4_NRA_model_for_NEMO2 (EMC Update) v0.29.5_NRA_model_for_NEMO2 (EMC Update) v0 30 1" xfId="1655" xr:uid="{00000000-0005-0000-0000-000021060000}"/>
    <cellStyle name="%_NRA_model_for_NEMO2 (EMC Update) v0.22_NRA_model_for_NEMO2 (EMC Update) v0.29.2_NRA_model_for_NEMO2 (EMC Update) v0.29.5" xfId="1656" xr:uid="{00000000-0005-0000-0000-000022060000}"/>
    <cellStyle name="%_NRA_model_for_NEMO2 (EMC Update) v0.22_NRA_model_for_NEMO2 (EMC Update) v0.29.2_NRA_model_for_NEMO2 (EMC Update) v0.29.5_NRA_model_for_NEMO2 (EMC Update) v0 30 1" xfId="1657" xr:uid="{00000000-0005-0000-0000-000023060000}"/>
    <cellStyle name="%_NRA_model_for_NEMO2 (EMC Update) v0.22_NRA_model_for_NEMO2 (EMC Update) v0.29.3" xfId="1658" xr:uid="{00000000-0005-0000-0000-000024060000}"/>
    <cellStyle name="%_NRA_model_for_NEMO2 (EMC Update) v0.22_NRA_model_for_NEMO2 (EMC Update) v0.29.3_NRA_model_for_NEMO2 (EMC Update) v0 30 1" xfId="1659" xr:uid="{00000000-0005-0000-0000-000025060000}"/>
    <cellStyle name="%_NRA_model_for_NEMO2 (EMC Update) v0.22_NRA_model_for_NEMO2 (EMC Update) v0.29.3_NRA_model_for_NEMO2 (EMC Update) v0.29.5" xfId="1660" xr:uid="{00000000-0005-0000-0000-000026060000}"/>
    <cellStyle name="%_NRA_model_for_NEMO2 (EMC Update) v0.22_NRA_model_for_NEMO2 (EMC Update) v0.29.3_NRA_model_for_NEMO2 (EMC Update) v0.29.5_NRA_model_for_NEMO2 (EMC Update) v0 30 1" xfId="1661" xr:uid="{00000000-0005-0000-0000-000027060000}"/>
    <cellStyle name="%_NRA_model_for_NEMO2 (EMC Update) v0.22_NRA_model_for_NEMO2 (EMC Update) v0.29.4" xfId="1662" xr:uid="{00000000-0005-0000-0000-000028060000}"/>
    <cellStyle name="%_NRA_model_for_NEMO2 (EMC Update) v0.22_NRA_model_for_NEMO2 (EMC Update) v0.29.4_NRA_model_for_NEMO2 (EMC Update) v0 30 1" xfId="1663" xr:uid="{00000000-0005-0000-0000-000029060000}"/>
    <cellStyle name="%_NRA_model_for_NEMO2 (EMC Update) v0.22_NRA_model_for_NEMO2 (EMC Update) v0.29.4_NRA_model_for_NEMO2 (EMC Update) v0.29.5" xfId="1664" xr:uid="{00000000-0005-0000-0000-00002A060000}"/>
    <cellStyle name="%_NRA_model_for_NEMO2 (EMC Update) v0.22_NRA_model_for_NEMO2 (EMC Update) v0.29.4_NRA_model_for_NEMO2 (EMC Update) v0.29.5_NRA_model_for_NEMO2 (EMC Update) v0 30 1" xfId="1665" xr:uid="{00000000-0005-0000-0000-00002B060000}"/>
    <cellStyle name="%_NRA_model_for_NEMO2 (EMC Update) v0.22_NRA_model_for_NEMO2 (EMC Update) v0.29.5" xfId="1666" xr:uid="{00000000-0005-0000-0000-00002C060000}"/>
    <cellStyle name="%_NRA_model_for_NEMO2 (EMC Update) v0.22_NRA_model_for_NEMO2 (EMC Update) v0.29.5_NRA_model_for_NEMO2 (EMC Update) v0 30 1" xfId="1667" xr:uid="{00000000-0005-0000-0000-00002D060000}"/>
    <cellStyle name="%_NRA_model_for_NEMO2 (EMC Update) v0.22_NRA_model_for_NEMO2 (EMC Update) v0.29_NRA_model_for_NEMO2 (EMC Update) v0 30 1" xfId="1668" xr:uid="{00000000-0005-0000-0000-00002E060000}"/>
    <cellStyle name="%_NRA_model_for_NEMO2 (EMC Update) v0.22_NRA_model_for_NEMO2 (EMC Update) v0.29_NRA_model_for_NEMO2 (EMC Update) v0.29.2" xfId="1669" xr:uid="{00000000-0005-0000-0000-00002F060000}"/>
    <cellStyle name="%_NRA_model_for_NEMO2 (EMC Update) v0.22_NRA_model_for_NEMO2 (EMC Update) v0.29_NRA_model_for_NEMO2 (EMC Update) v0.29.2_NRA_model_for_NEMO2 (EMC Update) v0 30 1" xfId="1670" xr:uid="{00000000-0005-0000-0000-000030060000}"/>
    <cellStyle name="%_NRA_model_for_NEMO2 (EMC Update) v0.22_NRA_model_for_NEMO2 (EMC Update) v0.29_NRA_model_for_NEMO2 (EMC Update) v0.29.2_NRA_model_for_NEMO2 (EMC Update) v0.29.3" xfId="1671" xr:uid="{00000000-0005-0000-0000-000031060000}"/>
    <cellStyle name="%_NRA_model_for_NEMO2 (EMC Update) v0.22_NRA_model_for_NEMO2 (EMC Update) v0.29_NRA_model_for_NEMO2 (EMC Update) v0.29.2_NRA_model_for_NEMO2 (EMC Update) v0.29.3_NRA_model_for_NEMO2 (EMC Update) v0 30 1" xfId="1672" xr:uid="{00000000-0005-0000-0000-000032060000}"/>
    <cellStyle name="%_NRA_model_for_NEMO2 (EMC Update) v0.22_NRA_model_for_NEMO2 (EMC Update) v0.29_NRA_model_for_NEMO2 (EMC Update) v0.29.2_NRA_model_for_NEMO2 (EMC Update) v0.29.3_NRA_model_for_NEMO2 (EMC Update) v0.29.5" xfId="1673" xr:uid="{00000000-0005-0000-0000-000033060000}"/>
    <cellStyle name="%_NRA_model_for_NEMO2 (EMC Update) v0.22_NRA_model_for_NEMO2 (EMC Update) v0.29_NRA_model_for_NEMO2 (EMC Update) v0.29.2_NRA_model_for_NEMO2 (EMC Update) v0.29.3_NRA_model_for_NEMO2 (EMC Update) v0.29.5_NRA_model_for_NEMO2 (EMC Update) v0 30 1" xfId="1674" xr:uid="{00000000-0005-0000-0000-000034060000}"/>
    <cellStyle name="%_NRA_model_for_NEMO2 (EMC Update) v0.22_NRA_model_for_NEMO2 (EMC Update) v0.29_NRA_model_for_NEMO2 (EMC Update) v0.29.2_NRA_model_for_NEMO2 (EMC Update) v0.29.4" xfId="1675" xr:uid="{00000000-0005-0000-0000-000035060000}"/>
    <cellStyle name="%_NRA_model_for_NEMO2 (EMC Update) v0.22_NRA_model_for_NEMO2 (EMC Update) v0.29_NRA_model_for_NEMO2 (EMC Update) v0.29.2_NRA_model_for_NEMO2 (EMC Update) v0.29.4_NRA_model_for_NEMO2 (EMC Update) v0 30 1" xfId="1676" xr:uid="{00000000-0005-0000-0000-000036060000}"/>
    <cellStyle name="%_NRA_model_for_NEMO2 (EMC Update) v0.22_NRA_model_for_NEMO2 (EMC Update) v0.29_NRA_model_for_NEMO2 (EMC Update) v0.29.2_NRA_model_for_NEMO2 (EMC Update) v0.29.4_NRA_model_for_NEMO2 (EMC Update) v0.29.5" xfId="1677" xr:uid="{00000000-0005-0000-0000-000037060000}"/>
    <cellStyle name="%_NRA_model_for_NEMO2 (EMC Update) v0.22_NRA_model_for_NEMO2 (EMC Update) v0.29_NRA_model_for_NEMO2 (EMC Update) v0.29.2_NRA_model_for_NEMO2 (EMC Update) v0.29.4_NRA_model_for_NEMO2 (EMC Update) v0.29.5_NRA_model_for_NEMO2 (EMC Update) v0 30 1" xfId="1678" xr:uid="{00000000-0005-0000-0000-000038060000}"/>
    <cellStyle name="%_NRA_model_for_NEMO2 (EMC Update) v0.22_NRA_model_for_NEMO2 (EMC Update) v0.29_NRA_model_for_NEMO2 (EMC Update) v0.29.2_NRA_model_for_NEMO2 (EMC Update) v0.29.5" xfId="1679" xr:uid="{00000000-0005-0000-0000-000039060000}"/>
    <cellStyle name="%_NRA_model_for_NEMO2 (EMC Update) v0.22_NRA_model_for_NEMO2 (EMC Update) v0.29_NRA_model_for_NEMO2 (EMC Update) v0.29.2_NRA_model_for_NEMO2 (EMC Update) v0.29.5_NRA_model_for_NEMO2 (EMC Update) v0 30 1" xfId="1680" xr:uid="{00000000-0005-0000-0000-00003A060000}"/>
    <cellStyle name="%_NRA_model_for_NEMO2 (EMC Update) v0.22_NRA_model_for_NEMO2 (EMC Update) v0.29_NRA_model_for_NEMO2 (EMC Update) v0.29.3" xfId="1681" xr:uid="{00000000-0005-0000-0000-00003B060000}"/>
    <cellStyle name="%_NRA_model_for_NEMO2 (EMC Update) v0.22_NRA_model_for_NEMO2 (EMC Update) v0.29_NRA_model_for_NEMO2 (EMC Update) v0.29.3_NRA_model_for_NEMO2 (EMC Update) v0 30 1" xfId="1682" xr:uid="{00000000-0005-0000-0000-00003C060000}"/>
    <cellStyle name="%_NRA_model_for_NEMO2 (EMC Update) v0.22_NRA_model_for_NEMO2 (EMC Update) v0.29_NRA_model_for_NEMO2 (EMC Update) v0.29.3_NRA_model_for_NEMO2 (EMC Update) v0.29.5" xfId="1683" xr:uid="{00000000-0005-0000-0000-00003D060000}"/>
    <cellStyle name="%_NRA_model_for_NEMO2 (EMC Update) v0.22_NRA_model_for_NEMO2 (EMC Update) v0.29_NRA_model_for_NEMO2 (EMC Update) v0.29.3_NRA_model_for_NEMO2 (EMC Update) v0.29.5_NRA_model_for_NEMO2 (EMC Update) v0 30 1" xfId="1684" xr:uid="{00000000-0005-0000-0000-00003E060000}"/>
    <cellStyle name="%_NRA_model_for_NEMO2 (EMC Update) v0.22_NRA_model_for_NEMO2 (EMC Update) v0.29_NRA_model_for_NEMO2 (EMC Update) v0.29.4" xfId="1685" xr:uid="{00000000-0005-0000-0000-00003F060000}"/>
    <cellStyle name="%_NRA_model_for_NEMO2 (EMC Update) v0.22_NRA_model_for_NEMO2 (EMC Update) v0.29_NRA_model_for_NEMO2 (EMC Update) v0.29.4_NRA_model_for_NEMO2 (EMC Update) v0 30 1" xfId="1686" xr:uid="{00000000-0005-0000-0000-000040060000}"/>
    <cellStyle name="%_NRA_model_for_NEMO2 (EMC Update) v0.22_NRA_model_for_NEMO2 (EMC Update) v0.29_NRA_model_for_NEMO2 (EMC Update) v0.29.4_NRA_model_for_NEMO2 (EMC Update) v0.29.5" xfId="1687" xr:uid="{00000000-0005-0000-0000-000041060000}"/>
    <cellStyle name="%_NRA_model_for_NEMO2 (EMC Update) v0.22_NRA_model_for_NEMO2 (EMC Update) v0.29_NRA_model_for_NEMO2 (EMC Update) v0.29.4_NRA_model_for_NEMO2 (EMC Update) v0.29.5_NRA_model_for_NEMO2 (EMC Update) v0 30 1" xfId="1688" xr:uid="{00000000-0005-0000-0000-000042060000}"/>
    <cellStyle name="%_NRA_model_for_NEMO2 (EMC Update) v0.22_NRA_model_for_NEMO2 (EMC Update) v0.29_NRA_model_for_NEMO2 (EMC Update) v0.29.5" xfId="1689" xr:uid="{00000000-0005-0000-0000-000043060000}"/>
    <cellStyle name="%_NRA_model_for_NEMO2 (EMC Update) v0.22_NRA_model_for_NEMO2 (EMC Update) v0.29_NRA_model_for_NEMO2 (EMC Update) v0.29.5_NRA_model_for_NEMO2 (EMC Update) v0 30 1" xfId="1690" xr:uid="{00000000-0005-0000-0000-000044060000}"/>
    <cellStyle name="%_NRA_model_for_NEMO2 (EMC Update) v0.25" xfId="1691" xr:uid="{00000000-0005-0000-0000-000045060000}"/>
    <cellStyle name="%_NRA_model_for_NEMO2 (EMC Update) v0.25_NRA_model_for_NEMO2 (EMC Update) v0 30 1" xfId="1692" xr:uid="{00000000-0005-0000-0000-000046060000}"/>
    <cellStyle name="%_NRA_model_for_NEMO2 (EMC Update) v0.25_NRA_model_for_NEMO2 (EMC Update) v0.26" xfId="1693" xr:uid="{00000000-0005-0000-0000-000047060000}"/>
    <cellStyle name="%_NRA_model_for_NEMO2 (EMC Update) v0.25_NRA_model_for_NEMO2 (EMC Update) v0.26_NRA_model_for_NEMO2 (EMC Update) v0 30 1" xfId="1694" xr:uid="{00000000-0005-0000-0000-000048060000}"/>
    <cellStyle name="%_NRA_model_for_NEMO2 (EMC Update) v0.25_NRA_model_for_NEMO2 (EMC Update) v0.26_NRA_model_for_NEMO2 (EMC Update) v0.29" xfId="1695" xr:uid="{00000000-0005-0000-0000-000049060000}"/>
    <cellStyle name="%_NRA_model_for_NEMO2 (EMC Update) v0.25_NRA_model_for_NEMO2 (EMC Update) v0.26_NRA_model_for_NEMO2 (EMC Update) v0.29.2" xfId="1696" xr:uid="{00000000-0005-0000-0000-00004A060000}"/>
    <cellStyle name="%_NRA_model_for_NEMO2 (EMC Update) v0.25_NRA_model_for_NEMO2 (EMC Update) v0.26_NRA_model_for_NEMO2 (EMC Update) v0.29.2_NRA_model_for_NEMO2 (EMC Update) v0 30 1" xfId="1697" xr:uid="{00000000-0005-0000-0000-00004B060000}"/>
    <cellStyle name="%_NRA_model_for_NEMO2 (EMC Update) v0.25_NRA_model_for_NEMO2 (EMC Update) v0.26_NRA_model_for_NEMO2 (EMC Update) v0.29.2_NRA_model_for_NEMO2 (EMC Update) v0.29.3" xfId="1698" xr:uid="{00000000-0005-0000-0000-00004C060000}"/>
    <cellStyle name="%_NRA_model_for_NEMO2 (EMC Update) v0.25_NRA_model_for_NEMO2 (EMC Update) v0.26_NRA_model_for_NEMO2 (EMC Update) v0.29.2_NRA_model_for_NEMO2 (EMC Update) v0.29.3_NRA_model_for_NEMO2 (EMC Update) v0 30 1" xfId="1699" xr:uid="{00000000-0005-0000-0000-00004D060000}"/>
    <cellStyle name="%_NRA_model_for_NEMO2 (EMC Update) v0.25_NRA_model_for_NEMO2 (EMC Update) v0.26_NRA_model_for_NEMO2 (EMC Update) v0.29.2_NRA_model_for_NEMO2 (EMC Update) v0.29.3_NRA_model_for_NEMO2 (EMC Update) v0.29.5" xfId="1700" xr:uid="{00000000-0005-0000-0000-00004E060000}"/>
    <cellStyle name="%_NRA_model_for_NEMO2 (EMC Update) v0.25_NRA_model_for_NEMO2 (EMC Update) v0.26_NRA_model_for_NEMO2 (EMC Update) v0.29.2_NRA_model_for_NEMO2 (EMC Update) v0.29.3_NRA_model_for_NEMO2 (EMC Update) v0.29.5_NRA_model_for_NEMO2 (EMC Update) v0 30 1" xfId="1701" xr:uid="{00000000-0005-0000-0000-00004F060000}"/>
    <cellStyle name="%_NRA_model_for_NEMO2 (EMC Update) v0.25_NRA_model_for_NEMO2 (EMC Update) v0.26_NRA_model_for_NEMO2 (EMC Update) v0.29.2_NRA_model_for_NEMO2 (EMC Update) v0.29.4" xfId="1702" xr:uid="{00000000-0005-0000-0000-000050060000}"/>
    <cellStyle name="%_NRA_model_for_NEMO2 (EMC Update) v0.25_NRA_model_for_NEMO2 (EMC Update) v0.26_NRA_model_for_NEMO2 (EMC Update) v0.29.2_NRA_model_for_NEMO2 (EMC Update) v0.29.4_NRA_model_for_NEMO2 (EMC Update) v0 30 1" xfId="1703" xr:uid="{00000000-0005-0000-0000-000051060000}"/>
    <cellStyle name="%_NRA_model_for_NEMO2 (EMC Update) v0.25_NRA_model_for_NEMO2 (EMC Update) v0.26_NRA_model_for_NEMO2 (EMC Update) v0.29.2_NRA_model_for_NEMO2 (EMC Update) v0.29.4_NRA_model_for_NEMO2 (EMC Update) v0.29.5" xfId="1704" xr:uid="{00000000-0005-0000-0000-000052060000}"/>
    <cellStyle name="%_NRA_model_for_NEMO2 (EMC Update) v0.25_NRA_model_for_NEMO2 (EMC Update) v0.26_NRA_model_for_NEMO2 (EMC Update) v0.29.2_NRA_model_for_NEMO2 (EMC Update) v0.29.4_NRA_model_for_NEMO2 (EMC Update) v0.29.5_NRA_model_for_NEMO2 (EMC Update) v0 30 1" xfId="1705" xr:uid="{00000000-0005-0000-0000-000053060000}"/>
    <cellStyle name="%_NRA_model_for_NEMO2 (EMC Update) v0.25_NRA_model_for_NEMO2 (EMC Update) v0.26_NRA_model_for_NEMO2 (EMC Update) v0.29.2_NRA_model_for_NEMO2 (EMC Update) v0.29.5" xfId="1706" xr:uid="{00000000-0005-0000-0000-000054060000}"/>
    <cellStyle name="%_NRA_model_for_NEMO2 (EMC Update) v0.25_NRA_model_for_NEMO2 (EMC Update) v0.26_NRA_model_for_NEMO2 (EMC Update) v0.29.2_NRA_model_for_NEMO2 (EMC Update) v0.29.5_NRA_model_for_NEMO2 (EMC Update) v0 30 1" xfId="1707" xr:uid="{00000000-0005-0000-0000-000055060000}"/>
    <cellStyle name="%_NRA_model_for_NEMO2 (EMC Update) v0.25_NRA_model_for_NEMO2 (EMC Update) v0.26_NRA_model_for_NEMO2 (EMC Update) v0.29.3" xfId="1708" xr:uid="{00000000-0005-0000-0000-000056060000}"/>
    <cellStyle name="%_NRA_model_for_NEMO2 (EMC Update) v0.25_NRA_model_for_NEMO2 (EMC Update) v0.26_NRA_model_for_NEMO2 (EMC Update) v0.29.3_NRA_model_for_NEMO2 (EMC Update) v0 30 1" xfId="1709" xr:uid="{00000000-0005-0000-0000-000057060000}"/>
    <cellStyle name="%_NRA_model_for_NEMO2 (EMC Update) v0.25_NRA_model_for_NEMO2 (EMC Update) v0.26_NRA_model_for_NEMO2 (EMC Update) v0.29.3_NRA_model_for_NEMO2 (EMC Update) v0.29.5" xfId="1710" xr:uid="{00000000-0005-0000-0000-000058060000}"/>
    <cellStyle name="%_NRA_model_for_NEMO2 (EMC Update) v0.25_NRA_model_for_NEMO2 (EMC Update) v0.26_NRA_model_for_NEMO2 (EMC Update) v0.29.3_NRA_model_for_NEMO2 (EMC Update) v0.29.5_NRA_model_for_NEMO2 (EMC Update) v0 30 1" xfId="1711" xr:uid="{00000000-0005-0000-0000-000059060000}"/>
    <cellStyle name="%_NRA_model_for_NEMO2 (EMC Update) v0.25_NRA_model_for_NEMO2 (EMC Update) v0.26_NRA_model_for_NEMO2 (EMC Update) v0.29.4" xfId="1712" xr:uid="{00000000-0005-0000-0000-00005A060000}"/>
    <cellStyle name="%_NRA_model_for_NEMO2 (EMC Update) v0.25_NRA_model_for_NEMO2 (EMC Update) v0.26_NRA_model_for_NEMO2 (EMC Update) v0.29.4_NRA_model_for_NEMO2 (EMC Update) v0 30 1" xfId="1713" xr:uid="{00000000-0005-0000-0000-00005B060000}"/>
    <cellStyle name="%_NRA_model_for_NEMO2 (EMC Update) v0.25_NRA_model_for_NEMO2 (EMC Update) v0.26_NRA_model_for_NEMO2 (EMC Update) v0.29.4_NRA_model_for_NEMO2 (EMC Update) v0.29.5" xfId="1714" xr:uid="{00000000-0005-0000-0000-00005C060000}"/>
    <cellStyle name="%_NRA_model_for_NEMO2 (EMC Update) v0.25_NRA_model_for_NEMO2 (EMC Update) v0.26_NRA_model_for_NEMO2 (EMC Update) v0.29.4_NRA_model_for_NEMO2 (EMC Update) v0.29.5_NRA_model_for_NEMO2 (EMC Update) v0 30 1" xfId="1715" xr:uid="{00000000-0005-0000-0000-00005D060000}"/>
    <cellStyle name="%_NRA_model_for_NEMO2 (EMC Update) v0.25_NRA_model_for_NEMO2 (EMC Update) v0.26_NRA_model_for_NEMO2 (EMC Update) v0.29.5" xfId="1716" xr:uid="{00000000-0005-0000-0000-00005E060000}"/>
    <cellStyle name="%_NRA_model_for_NEMO2 (EMC Update) v0.25_NRA_model_for_NEMO2 (EMC Update) v0.26_NRA_model_for_NEMO2 (EMC Update) v0.29.5_NRA_model_for_NEMO2 (EMC Update) v0 30 1" xfId="1717" xr:uid="{00000000-0005-0000-0000-00005F060000}"/>
    <cellStyle name="%_NRA_model_for_NEMO2 (EMC Update) v0.25_NRA_model_for_NEMO2 (EMC Update) v0.26_NRA_model_for_NEMO2 (EMC Update) v0.29_NRA_model_for_NEMO2 (EMC Update) v0 30 1" xfId="1718" xr:uid="{00000000-0005-0000-0000-000060060000}"/>
    <cellStyle name="%_NRA_model_for_NEMO2 (EMC Update) v0.25_NRA_model_for_NEMO2 (EMC Update) v0.26_NRA_model_for_NEMO2 (EMC Update) v0.29_NRA_model_for_NEMO2 (EMC Update) v0.29.2" xfId="1719" xr:uid="{00000000-0005-0000-0000-000061060000}"/>
    <cellStyle name="%_NRA_model_for_NEMO2 (EMC Update) v0.25_NRA_model_for_NEMO2 (EMC Update) v0.26_NRA_model_for_NEMO2 (EMC Update) v0.29_NRA_model_for_NEMO2 (EMC Update) v0.29.2_NRA_model_for_NEMO2 (EMC Update) v0 30 1" xfId="1720" xr:uid="{00000000-0005-0000-0000-000062060000}"/>
    <cellStyle name="%_NRA_model_for_NEMO2 (EMC Update) v0.25_NRA_model_for_NEMO2 (EMC Update) v0.26_NRA_model_for_NEMO2 (EMC Update) v0.29_NRA_model_for_NEMO2 (EMC Update) v0.29.2_NRA_model_for_NEMO2 (EMC Update) v0.29.3" xfId="1721" xr:uid="{00000000-0005-0000-0000-000063060000}"/>
    <cellStyle name="%_NRA_model_for_NEMO2 (EMC Update) v0.25_NRA_model_for_NEMO2 (EMC Update) v0.26_NRA_model_for_NEMO2 (EMC Update) v0.29_NRA_model_for_NEMO2 (EMC Update) v0.29.2_NRA_model_for_NEMO2 (EMC Update) v0.29.3_NRA_model_for_NEMO2 (EMC Update) v0 30 1" xfId="1722" xr:uid="{00000000-0005-0000-0000-000064060000}"/>
    <cellStyle name="%_NRA_model_for_NEMO2 (EMC Update) v0.25_NRA_model_for_NEMO2 (EMC Update) v0.26_NRA_model_for_NEMO2 (EMC Update) v0.29_NRA_model_for_NEMO2 (EMC Update) v0.29.2_NRA_model_for_NEMO2 (EMC Update) v0.29.3_NRA_model_for_NEMO2 (EMC Update) v0.29.5" xfId="1723" xr:uid="{00000000-0005-0000-0000-000065060000}"/>
    <cellStyle name="%_NRA_model_for_NEMO2 (EMC Update) v0.25_NRA_model_for_NEMO2 (EMC Update) v0.26_NRA_model_for_NEMO2 (EMC Update) v0.29_NRA_model_for_NEMO2 (EMC Update) v0.29.2_NRA_model_for_NEMO2 (EMC Update) v0.29.4" xfId="1724" xr:uid="{00000000-0005-0000-0000-000066060000}"/>
    <cellStyle name="%_NRA_model_for_NEMO2 (EMC Update) v0.25_NRA_model_for_NEMO2 (EMC Update) v0.26_NRA_model_for_NEMO2 (EMC Update) v0.29_NRA_model_for_NEMO2 (EMC Update) v0.29.2_NRA_model_for_NEMO2 (EMC Update) v0.29.4_NRA_model_for_NEMO2 (EMC Update) v0 30 1" xfId="1725" xr:uid="{00000000-0005-0000-0000-000067060000}"/>
    <cellStyle name="%_NRA_model_for_NEMO2 (EMC Update) v0.25_NRA_model_for_NEMO2 (EMC Update) v0.26_NRA_model_for_NEMO2 (EMC Update) v0.29_NRA_model_for_NEMO2 (EMC Update) v0.29.2_NRA_model_for_NEMO2 (EMC Update) v0.29.4_NRA_model_for_NEMO2 (EMC Update) v0.29.5" xfId="1726" xr:uid="{00000000-0005-0000-0000-000068060000}"/>
    <cellStyle name="%_NRA_model_for_NEMO2 (EMC Update) v0.25_NRA_model_for_NEMO2 (EMC Update) v0.26_NRA_model_for_NEMO2 (EMC Update) v0.29_NRA_model_for_NEMO2 (EMC Update) v0.29.2_NRA_model_for_NEMO2 (EMC Update) v0.29.5" xfId="1727" xr:uid="{00000000-0005-0000-0000-000069060000}"/>
    <cellStyle name="%_NRA_model_for_NEMO2 (EMC Update) v0.25_NRA_model_for_NEMO2 (EMC Update) v0.26_NRA_model_for_NEMO2 (EMC Update) v0.29_NRA_model_for_NEMO2 (EMC Update) v0.29.2_NRA_model_for_NEMO2 (EMC Update) v0.29.5_NRA_model_for_NEMO2 (EMC Update) v0 30 1" xfId="1728" xr:uid="{00000000-0005-0000-0000-00006A060000}"/>
    <cellStyle name="%_NRA_model_for_NEMO2 (EMC Update) v0.25_NRA_model_for_NEMO2 (EMC Update) v0.26_NRA_model_for_NEMO2 (EMC Update) v0.29_NRA_model_for_NEMO2 (EMC Update) v0.29.3" xfId="1729" xr:uid="{00000000-0005-0000-0000-00006B060000}"/>
    <cellStyle name="%_NRA_model_for_NEMO2 (EMC Update) v0.25_NRA_model_for_NEMO2 (EMC Update) v0.26_NRA_model_for_NEMO2 (EMC Update) v0.29_NRA_model_for_NEMO2 (EMC Update) v0.29.3_NRA_model_for_NEMO2 (EMC Update) v0 30 1" xfId="1730" xr:uid="{00000000-0005-0000-0000-00006C060000}"/>
    <cellStyle name="%_NRA_model_for_NEMO2 (EMC Update) v0.25_NRA_model_for_NEMO2 (EMC Update) v0.26_NRA_model_for_NEMO2 (EMC Update) v0.29_NRA_model_for_NEMO2 (EMC Update) v0.29.3_NRA_model_for_NEMO2 (EMC Update) v0.29.5" xfId="1731" xr:uid="{00000000-0005-0000-0000-00006D060000}"/>
    <cellStyle name="%_NRA_model_for_NEMO2 (EMC Update) v0.25_NRA_model_for_NEMO2 (EMC Update) v0.26_NRA_model_for_NEMO2 (EMC Update) v0.29_NRA_model_for_NEMO2 (EMC Update) v0.29.3_NRA_model_for_NEMO2 (EMC Update) v0.29.5_NRA_model_for_NEMO2 (EMC Update) v0 30 1" xfId="1732" xr:uid="{00000000-0005-0000-0000-00006E060000}"/>
    <cellStyle name="%_NRA_model_for_NEMO2 (EMC Update) v0.25_NRA_model_for_NEMO2 (EMC Update) v0.26_NRA_model_for_NEMO2 (EMC Update) v0.29_NRA_model_for_NEMO2 (EMC Update) v0.29.4" xfId="1733" xr:uid="{00000000-0005-0000-0000-00006F060000}"/>
    <cellStyle name="%_NRA_model_for_NEMO2 (EMC Update) v0.25_NRA_model_for_NEMO2 (EMC Update) v0.26_NRA_model_for_NEMO2 (EMC Update) v0.29_NRA_model_for_NEMO2 (EMC Update) v0.29.4_NRA_model_for_NEMO2 (EMC Update) v0 30 1" xfId="1734" xr:uid="{00000000-0005-0000-0000-000070060000}"/>
    <cellStyle name="%_NRA_model_for_NEMO2 (EMC Update) v0.25_NRA_model_for_NEMO2 (EMC Update) v0.26_NRA_model_for_NEMO2 (EMC Update) v0.29_NRA_model_for_NEMO2 (EMC Update) v0.29.4_NRA_model_for_NEMO2 (EMC Update) v0.29.5" xfId="1735" xr:uid="{00000000-0005-0000-0000-000071060000}"/>
    <cellStyle name="%_NRA_model_for_NEMO2 (EMC Update) v0.25_NRA_model_for_NEMO2 (EMC Update) v0.26_NRA_model_for_NEMO2 (EMC Update) v0.29_NRA_model_for_NEMO2 (EMC Update) v0.29.4_NRA_model_for_NEMO2 (EMC Update) v0.29.5_NRA_model_for_NEMO2 (EMC Update) v0 30 1" xfId="1736" xr:uid="{00000000-0005-0000-0000-000072060000}"/>
    <cellStyle name="%_NRA_model_for_NEMO2 (EMC Update) v0.25_NRA_model_for_NEMO2 (EMC Update) v0.26_NRA_model_for_NEMO2 (EMC Update) v0.29_NRA_model_for_NEMO2 (EMC Update) v0.29.5" xfId="1737" xr:uid="{00000000-0005-0000-0000-000073060000}"/>
    <cellStyle name="%_NRA_model_for_NEMO2 (EMC Update) v0.25_NRA_model_for_NEMO2 (EMC Update) v0.26_NRA_model_for_NEMO2 (EMC Update) v0.29_NRA_model_for_NEMO2 (EMC Update) v0.29.5_NRA_model_for_NEMO2 (EMC Update) v0 30 1" xfId="1738" xr:uid="{00000000-0005-0000-0000-000074060000}"/>
    <cellStyle name="%_NRA_model_for_NEMO2 (EMC Update) v0.25_NRA_model_for_NEMO2 (EMC Update) v0.29" xfId="1739" xr:uid="{00000000-0005-0000-0000-000075060000}"/>
    <cellStyle name="%_NRA_model_for_NEMO2 (EMC Update) v0.25_NRA_model_for_NEMO2 (EMC Update) v0.29.2" xfId="1740" xr:uid="{00000000-0005-0000-0000-000076060000}"/>
    <cellStyle name="%_NRA_model_for_NEMO2 (EMC Update) v0.25_NRA_model_for_NEMO2 (EMC Update) v0.29.2_NRA_model_for_NEMO2 (EMC Update) v0 30 1" xfId="1741" xr:uid="{00000000-0005-0000-0000-000077060000}"/>
    <cellStyle name="%_NRA_model_for_NEMO2 (EMC Update) v0.25_NRA_model_for_NEMO2 (EMC Update) v0.29.2_NRA_model_for_NEMO2 (EMC Update) v0.29.3" xfId="1742" xr:uid="{00000000-0005-0000-0000-000078060000}"/>
    <cellStyle name="%_NRA_model_for_NEMO2 (EMC Update) v0.25_NRA_model_for_NEMO2 (EMC Update) v0.29.2_NRA_model_for_NEMO2 (EMC Update) v0.29.3_NRA_model_for_NEMO2 (EMC Update) v0 30 1" xfId="1743" xr:uid="{00000000-0005-0000-0000-000079060000}"/>
    <cellStyle name="%_NRA_model_for_NEMO2 (EMC Update) v0.25_NRA_model_for_NEMO2 (EMC Update) v0.29.2_NRA_model_for_NEMO2 (EMC Update) v0.29.3_NRA_model_for_NEMO2 (EMC Update) v0.29.5" xfId="1744" xr:uid="{00000000-0005-0000-0000-00007A060000}"/>
    <cellStyle name="%_NRA_model_for_NEMO2 (EMC Update) v0.25_NRA_model_for_NEMO2 (EMC Update) v0.29.2_NRA_model_for_NEMO2 (EMC Update) v0.29.3_NRA_model_for_NEMO2 (EMC Update) v0.29.5_NRA_model_for_NEMO2 (EMC Update) v0 30 1" xfId="1745" xr:uid="{00000000-0005-0000-0000-00007B060000}"/>
    <cellStyle name="%_NRA_model_for_NEMO2 (EMC Update) v0.25_NRA_model_for_NEMO2 (EMC Update) v0.29.2_NRA_model_for_NEMO2 (EMC Update) v0.29.4" xfId="1746" xr:uid="{00000000-0005-0000-0000-00007C060000}"/>
    <cellStyle name="%_NRA_model_for_NEMO2 (EMC Update) v0.25_NRA_model_for_NEMO2 (EMC Update) v0.29.2_NRA_model_for_NEMO2 (EMC Update) v0.29.4_NRA_model_for_NEMO2 (EMC Update) v0 30 1" xfId="1747" xr:uid="{00000000-0005-0000-0000-00007D060000}"/>
    <cellStyle name="%_NRA_model_for_NEMO2 (EMC Update) v0.25_NRA_model_for_NEMO2 (EMC Update) v0.29.2_NRA_model_for_NEMO2 (EMC Update) v0.29.4_NRA_model_for_NEMO2 (EMC Update) v0.29.5" xfId="1748" xr:uid="{00000000-0005-0000-0000-00007E060000}"/>
    <cellStyle name="%_NRA_model_for_NEMO2 (EMC Update) v0.25_NRA_model_for_NEMO2 (EMC Update) v0.29.2_NRA_model_for_NEMO2 (EMC Update) v0.29.4_NRA_model_for_NEMO2 (EMC Update) v0.29.5_NRA_model_for_NEMO2 (EMC Update) v0 30 1" xfId="1749" xr:uid="{00000000-0005-0000-0000-00007F060000}"/>
    <cellStyle name="%_NRA_model_for_NEMO2 (EMC Update) v0.25_NRA_model_for_NEMO2 (EMC Update) v0.29.2_NRA_model_for_NEMO2 (EMC Update) v0.29.5" xfId="1750" xr:uid="{00000000-0005-0000-0000-000080060000}"/>
    <cellStyle name="%_NRA_model_for_NEMO2 (EMC Update) v0.25_NRA_model_for_NEMO2 (EMC Update) v0.29.2_NRA_model_for_NEMO2 (EMC Update) v0.29.5_NRA_model_for_NEMO2 (EMC Update) v0 30 1" xfId="1751" xr:uid="{00000000-0005-0000-0000-000081060000}"/>
    <cellStyle name="%_NRA_model_for_NEMO2 (EMC Update) v0.25_NRA_model_for_NEMO2 (EMC Update) v0.29.3" xfId="1752" xr:uid="{00000000-0005-0000-0000-000082060000}"/>
    <cellStyle name="%_NRA_model_for_NEMO2 (EMC Update) v0.25_NRA_model_for_NEMO2 (EMC Update) v0.29.3_NRA_model_for_NEMO2 (EMC Update) v0 30 1" xfId="1753" xr:uid="{00000000-0005-0000-0000-000083060000}"/>
    <cellStyle name="%_NRA_model_for_NEMO2 (EMC Update) v0.25_NRA_model_for_NEMO2 (EMC Update) v0.29.3_NRA_model_for_NEMO2 (EMC Update) v0.29.5" xfId="1754" xr:uid="{00000000-0005-0000-0000-000084060000}"/>
    <cellStyle name="%_NRA_model_for_NEMO2 (EMC Update) v0.25_NRA_model_for_NEMO2 (EMC Update) v0.29.3_NRA_model_for_NEMO2 (EMC Update) v0.29.5_NRA_model_for_NEMO2 (EMC Update) v0 30 1" xfId="1755" xr:uid="{00000000-0005-0000-0000-000085060000}"/>
    <cellStyle name="%_NRA_model_for_NEMO2 (EMC Update) v0.25_NRA_model_for_NEMO2 (EMC Update) v0.29.4" xfId="1756" xr:uid="{00000000-0005-0000-0000-000086060000}"/>
    <cellStyle name="%_NRA_model_for_NEMO2 (EMC Update) v0.25_NRA_model_for_NEMO2 (EMC Update) v0.29.4_NRA_model_for_NEMO2 (EMC Update) v0 30 1" xfId="1757" xr:uid="{00000000-0005-0000-0000-000087060000}"/>
    <cellStyle name="%_NRA_model_for_NEMO2 (EMC Update) v0.25_NRA_model_for_NEMO2 (EMC Update) v0.29.4_NRA_model_for_NEMO2 (EMC Update) v0.29.5" xfId="1758" xr:uid="{00000000-0005-0000-0000-000088060000}"/>
    <cellStyle name="%_NRA_model_for_NEMO2 (EMC Update) v0.25_NRA_model_for_NEMO2 (EMC Update) v0.29.4_NRA_model_for_NEMO2 (EMC Update) v0.29.5_NRA_model_for_NEMO2 (EMC Update) v0 30 1" xfId="1759" xr:uid="{00000000-0005-0000-0000-000089060000}"/>
    <cellStyle name="%_NRA_model_for_NEMO2 (EMC Update) v0.25_NRA_model_for_NEMO2 (EMC Update) v0.29.5" xfId="1760" xr:uid="{00000000-0005-0000-0000-00008A060000}"/>
    <cellStyle name="%_NRA_model_for_NEMO2 (EMC Update) v0.25_NRA_model_for_NEMO2 (EMC Update) v0.29.5_NRA_model_for_NEMO2 (EMC Update) v0 30 1" xfId="1761" xr:uid="{00000000-0005-0000-0000-00008B060000}"/>
    <cellStyle name="%_NRA_model_for_NEMO2 (EMC Update) v0.25_NRA_model_for_NEMO2 (EMC Update) v0.29_NRA_model_for_NEMO2 (EMC Update) v0 30 1" xfId="1762" xr:uid="{00000000-0005-0000-0000-00008C060000}"/>
    <cellStyle name="%_NRA_model_for_NEMO2 (EMC Update) v0.25_NRA_model_for_NEMO2 (EMC Update) v0.29_NRA_model_for_NEMO2 (EMC Update) v0.29.2" xfId="1763" xr:uid="{00000000-0005-0000-0000-00008D060000}"/>
    <cellStyle name="%_NRA_model_for_NEMO2 (EMC Update) v0.25_NRA_model_for_NEMO2 (EMC Update) v0.29_NRA_model_for_NEMO2 (EMC Update) v0.29.2_NRA_model_for_NEMO2 (EMC Update) v0 30 1" xfId="1764" xr:uid="{00000000-0005-0000-0000-00008E060000}"/>
    <cellStyle name="%_NRA_model_for_NEMO2 (EMC Update) v0.25_NRA_model_for_NEMO2 (EMC Update) v0.29_NRA_model_for_NEMO2 (EMC Update) v0.29.2_NRA_model_for_NEMO2 (EMC Update) v0.29.3" xfId="1765" xr:uid="{00000000-0005-0000-0000-00008F060000}"/>
    <cellStyle name="%_NRA_model_for_NEMO2 (EMC Update) v0.25_NRA_model_for_NEMO2 (EMC Update) v0.29_NRA_model_for_NEMO2 (EMC Update) v0.29.2_NRA_model_for_NEMO2 (EMC Update) v0.29.3_NRA_model_for_NEMO2 (EMC Update) v0 30 1" xfId="1766" xr:uid="{00000000-0005-0000-0000-000090060000}"/>
    <cellStyle name="%_NRA_model_for_NEMO2 (EMC Update) v0.25_NRA_model_for_NEMO2 (EMC Update) v0.29_NRA_model_for_NEMO2 (EMC Update) v0.29.2_NRA_model_for_NEMO2 (EMC Update) v0.29.3_NRA_model_for_NEMO2 (EMC Update) v0.29.5" xfId="1767" xr:uid="{00000000-0005-0000-0000-000091060000}"/>
    <cellStyle name="%_NRA_model_for_NEMO2 (EMC Update) v0.25_NRA_model_for_NEMO2 (EMC Update) v0.29_NRA_model_for_NEMO2 (EMC Update) v0.29.2_NRA_model_for_NEMO2 (EMC Update) v0.29.3_NRA_model_for_NEMO2 (EMC Update) v0.29.5_NRA_model_for_NEMO2 (EMC Update) v0 30 1" xfId="1768" xr:uid="{00000000-0005-0000-0000-000092060000}"/>
    <cellStyle name="%_NRA_model_for_NEMO2 (EMC Update) v0.25_NRA_model_for_NEMO2 (EMC Update) v0.29_NRA_model_for_NEMO2 (EMC Update) v0.29.2_NRA_model_for_NEMO2 (EMC Update) v0.29.4" xfId="1769" xr:uid="{00000000-0005-0000-0000-000093060000}"/>
    <cellStyle name="%_NRA_model_for_NEMO2 (EMC Update) v0.25_NRA_model_for_NEMO2 (EMC Update) v0.29_NRA_model_for_NEMO2 (EMC Update) v0.29.2_NRA_model_for_NEMO2 (EMC Update) v0.29.4_NRA_model_for_NEMO2 (EMC Update) v0 30 1" xfId="1770" xr:uid="{00000000-0005-0000-0000-000094060000}"/>
    <cellStyle name="%_NRA_model_for_NEMO2 (EMC Update) v0.25_NRA_model_for_NEMO2 (EMC Update) v0.29_NRA_model_for_NEMO2 (EMC Update) v0.29.2_NRA_model_for_NEMO2 (EMC Update) v0.29.4_NRA_model_for_NEMO2 (EMC Update) v0.29.5" xfId="1771" xr:uid="{00000000-0005-0000-0000-000095060000}"/>
    <cellStyle name="%_NRA_model_for_NEMO2 (EMC Update) v0.25_NRA_model_for_NEMO2 (EMC Update) v0.29_NRA_model_for_NEMO2 (EMC Update) v0.29.2_NRA_model_for_NEMO2 (EMC Update) v0.29.4_NRA_model_for_NEMO2 (EMC Update) v0.29.5_NRA_model_for_NEMO2 (EMC Update) v0 30 1" xfId="1772" xr:uid="{00000000-0005-0000-0000-000096060000}"/>
    <cellStyle name="%_NRA_model_for_NEMO2 (EMC Update) v0.25_NRA_model_for_NEMO2 (EMC Update) v0.29_NRA_model_for_NEMO2 (EMC Update) v0.29.2_NRA_model_for_NEMO2 (EMC Update) v0.29.5" xfId="1773" xr:uid="{00000000-0005-0000-0000-000097060000}"/>
    <cellStyle name="%_NRA_model_for_NEMO2 (EMC Update) v0.25_NRA_model_for_NEMO2 (EMC Update) v0.29_NRA_model_for_NEMO2 (EMC Update) v0.29.2_NRA_model_for_NEMO2 (EMC Update) v0.29.5_NRA_model_for_NEMO2 (EMC Update) v0 30 1" xfId="1774" xr:uid="{00000000-0005-0000-0000-000098060000}"/>
    <cellStyle name="%_NRA_model_for_NEMO2 (EMC Update) v0.25_NRA_model_for_NEMO2 (EMC Update) v0.29_NRA_model_for_NEMO2 (EMC Update) v0.29.3" xfId="1775" xr:uid="{00000000-0005-0000-0000-000099060000}"/>
    <cellStyle name="%_NRA_model_for_NEMO2 (EMC Update) v0.25_NRA_model_for_NEMO2 (EMC Update) v0.29_NRA_model_for_NEMO2 (EMC Update) v0.29.3_NRA_model_for_NEMO2 (EMC Update) v0 30 1" xfId="1776" xr:uid="{00000000-0005-0000-0000-00009A060000}"/>
    <cellStyle name="%_NRA_model_for_NEMO2 (EMC Update) v0.25_NRA_model_for_NEMO2 (EMC Update) v0.29_NRA_model_for_NEMO2 (EMC Update) v0.29.3_NRA_model_for_NEMO2 (EMC Update) v0.29.5" xfId="1777" xr:uid="{00000000-0005-0000-0000-00009B060000}"/>
    <cellStyle name="%_NRA_model_for_NEMO2 (EMC Update) v0.25_NRA_model_for_NEMO2 (EMC Update) v0.29_NRA_model_for_NEMO2 (EMC Update) v0.29.3_NRA_model_for_NEMO2 (EMC Update) v0.29.5_NRA_model_for_NEMO2 (EMC Update) v0 30 1" xfId="1778" xr:uid="{00000000-0005-0000-0000-00009C060000}"/>
    <cellStyle name="%_NRA_model_for_NEMO2 (EMC Update) v0.25_NRA_model_for_NEMO2 (EMC Update) v0.29_NRA_model_for_NEMO2 (EMC Update) v0.29.4" xfId="1779" xr:uid="{00000000-0005-0000-0000-00009D060000}"/>
    <cellStyle name="%_NRA_model_for_NEMO2 (EMC Update) v0.25_NRA_model_for_NEMO2 (EMC Update) v0.29_NRA_model_for_NEMO2 (EMC Update) v0.29.4_NRA_model_for_NEMO2 (EMC Update) v0 30 1" xfId="1780" xr:uid="{00000000-0005-0000-0000-00009E060000}"/>
    <cellStyle name="%_NRA_model_for_NEMO2 (EMC Update) v0.25_NRA_model_for_NEMO2 (EMC Update) v0.29_NRA_model_for_NEMO2 (EMC Update) v0.29.4_NRA_model_for_NEMO2 (EMC Update) v0.29.5" xfId="1781" xr:uid="{00000000-0005-0000-0000-00009F060000}"/>
    <cellStyle name="%_NRA_model_for_NEMO2 (EMC Update) v0.25_NRA_model_for_NEMO2 (EMC Update) v0.29_NRA_model_for_NEMO2 (EMC Update) v0.29.4_NRA_model_for_NEMO2 (EMC Update) v0.29.5_NRA_model_for_NEMO2 (EMC Update) v0 30 1" xfId="1782" xr:uid="{00000000-0005-0000-0000-0000A0060000}"/>
    <cellStyle name="%_NRA_model_for_NEMO2 (EMC Update) v0.25_NRA_model_for_NEMO2 (EMC Update) v0.29_NRA_model_for_NEMO2 (EMC Update) v0.29.5" xfId="1783" xr:uid="{00000000-0005-0000-0000-0000A1060000}"/>
    <cellStyle name="%_NRA_model_for_NEMO2 (EMC Update) v0.25_NRA_model_for_NEMO2 (EMC Update) v0.29_NRA_model_for_NEMO2 (EMC Update) v0.29.5_NRA_model_for_NEMO2 (EMC Update) v0 30 1" xfId="1784" xr:uid="{00000000-0005-0000-0000-0000A2060000}"/>
    <cellStyle name="%_NRA_model_for_NEMO2 (EMC Update) v0.26" xfId="1785" xr:uid="{00000000-0005-0000-0000-0000A3060000}"/>
    <cellStyle name="%_NRA_model_for_NEMO2 (EMC Update) v0.26_NRA_model_for_NEMO2 (EMC Update) v0 30 1" xfId="1786" xr:uid="{00000000-0005-0000-0000-0000A4060000}"/>
    <cellStyle name="%_NRA_model_for_NEMO2 (EMC Update) v0.26_NRA_model_for_NEMO2 (EMC Update) v0.29" xfId="1787" xr:uid="{00000000-0005-0000-0000-0000A5060000}"/>
    <cellStyle name="%_NRA_model_for_NEMO2 (EMC Update) v0.26_NRA_model_for_NEMO2 (EMC Update) v0.29.2" xfId="1788" xr:uid="{00000000-0005-0000-0000-0000A6060000}"/>
    <cellStyle name="%_NRA_model_for_NEMO2 (EMC Update) v0.26_NRA_model_for_NEMO2 (EMC Update) v0.29.2_NRA_model_for_NEMO2 (EMC Update) v0 30 1" xfId="1789" xr:uid="{00000000-0005-0000-0000-0000A7060000}"/>
    <cellStyle name="%_NRA_model_for_NEMO2 (EMC Update) v0.26_NRA_model_for_NEMO2 (EMC Update) v0.29.2_NRA_model_for_NEMO2 (EMC Update) v0.29.3" xfId="1790" xr:uid="{00000000-0005-0000-0000-0000A8060000}"/>
    <cellStyle name="%_NRA_model_for_NEMO2 (EMC Update) v0.26_NRA_model_for_NEMO2 (EMC Update) v0.29.2_NRA_model_for_NEMO2 (EMC Update) v0.29.3_NRA_model_for_NEMO2 (EMC Update) v0 30 1" xfId="1791" xr:uid="{00000000-0005-0000-0000-0000A9060000}"/>
    <cellStyle name="%_NRA_model_for_NEMO2 (EMC Update) v0.26_NRA_model_for_NEMO2 (EMC Update) v0.29.2_NRA_model_for_NEMO2 (EMC Update) v0.29.3_NRA_model_for_NEMO2 (EMC Update) v0.29.5" xfId="1792" xr:uid="{00000000-0005-0000-0000-0000AA060000}"/>
    <cellStyle name="%_NRA_model_for_NEMO2 (EMC Update) v0.26_NRA_model_for_NEMO2 (EMC Update) v0.29.2_NRA_model_for_NEMO2 (EMC Update) v0.29.3_NRA_model_for_NEMO2 (EMC Update) v0.29.5_NRA_model_for_NEMO2 (EMC Update) v0 30 1" xfId="1793" xr:uid="{00000000-0005-0000-0000-0000AB060000}"/>
    <cellStyle name="%_NRA_model_for_NEMO2 (EMC Update) v0.26_NRA_model_for_NEMO2 (EMC Update) v0.29.2_NRA_model_for_NEMO2 (EMC Update) v0.29.4" xfId="1794" xr:uid="{00000000-0005-0000-0000-0000AC060000}"/>
    <cellStyle name="%_NRA_model_for_NEMO2 (EMC Update) v0.26_NRA_model_for_NEMO2 (EMC Update) v0.29.2_NRA_model_for_NEMO2 (EMC Update) v0.29.4_NRA_model_for_NEMO2 (EMC Update) v0 30 1" xfId="1795" xr:uid="{00000000-0005-0000-0000-0000AD060000}"/>
    <cellStyle name="%_NRA_model_for_NEMO2 (EMC Update) v0.26_NRA_model_for_NEMO2 (EMC Update) v0.29.2_NRA_model_for_NEMO2 (EMC Update) v0.29.4_NRA_model_for_NEMO2 (EMC Update) v0.29.5" xfId="1796" xr:uid="{00000000-0005-0000-0000-0000AE060000}"/>
    <cellStyle name="%_NRA_model_for_NEMO2 (EMC Update) v0.26_NRA_model_for_NEMO2 (EMC Update) v0.29.2_NRA_model_for_NEMO2 (EMC Update) v0.29.4_NRA_model_for_NEMO2 (EMC Update) v0.29.5_NRA_model_for_NEMO2 (EMC Update) v0 30 1" xfId="1797" xr:uid="{00000000-0005-0000-0000-0000AF060000}"/>
    <cellStyle name="%_NRA_model_for_NEMO2 (EMC Update) v0.26_NRA_model_for_NEMO2 (EMC Update) v0.29.2_NRA_model_for_NEMO2 (EMC Update) v0.29.5" xfId="1798" xr:uid="{00000000-0005-0000-0000-0000B0060000}"/>
    <cellStyle name="%_NRA_model_for_NEMO2 (EMC Update) v0.26_NRA_model_for_NEMO2 (EMC Update) v0.29.2_NRA_model_for_NEMO2 (EMC Update) v0.29.5_NRA_model_for_NEMO2 (EMC Update) v0 30 1" xfId="1799" xr:uid="{00000000-0005-0000-0000-0000B1060000}"/>
    <cellStyle name="%_NRA_model_for_NEMO2 (EMC Update) v0.26_NRA_model_for_NEMO2 (EMC Update) v0.29.3" xfId="1800" xr:uid="{00000000-0005-0000-0000-0000B2060000}"/>
    <cellStyle name="%_NRA_model_for_NEMO2 (EMC Update) v0.26_NRA_model_for_NEMO2 (EMC Update) v0.29.3_NRA_model_for_NEMO2 (EMC Update) v0 30 1" xfId="1801" xr:uid="{00000000-0005-0000-0000-0000B3060000}"/>
    <cellStyle name="%_NRA_model_for_NEMO2 (EMC Update) v0.26_NRA_model_for_NEMO2 (EMC Update) v0.29.3_NRA_model_for_NEMO2 (EMC Update) v0.29.5" xfId="1802" xr:uid="{00000000-0005-0000-0000-0000B4060000}"/>
    <cellStyle name="%_NRA_model_for_NEMO2 (EMC Update) v0.26_NRA_model_for_NEMO2 (EMC Update) v0.29.3_NRA_model_for_NEMO2 (EMC Update) v0.29.5_NRA_model_for_NEMO2 (EMC Update) v0 30 1" xfId="1803" xr:uid="{00000000-0005-0000-0000-0000B5060000}"/>
    <cellStyle name="%_NRA_model_for_NEMO2 (EMC Update) v0.26_NRA_model_for_NEMO2 (EMC Update) v0.29.4" xfId="1804" xr:uid="{00000000-0005-0000-0000-0000B6060000}"/>
    <cellStyle name="%_NRA_model_for_NEMO2 (EMC Update) v0.26_NRA_model_for_NEMO2 (EMC Update) v0.29.4_NRA_model_for_NEMO2 (EMC Update) v0 30 1" xfId="1805" xr:uid="{00000000-0005-0000-0000-0000B7060000}"/>
    <cellStyle name="%_NRA_model_for_NEMO2 (EMC Update) v0.26_NRA_model_for_NEMO2 (EMC Update) v0.29.4_NRA_model_for_NEMO2 (EMC Update) v0.29.5" xfId="1806" xr:uid="{00000000-0005-0000-0000-0000B8060000}"/>
    <cellStyle name="%_NRA_model_for_NEMO2 (EMC Update) v0.26_NRA_model_for_NEMO2 (EMC Update) v0.29.4_NRA_model_for_NEMO2 (EMC Update) v0.29.5_NRA_model_for_NEMO2 (EMC Update) v0 30 1" xfId="1807" xr:uid="{00000000-0005-0000-0000-0000B9060000}"/>
    <cellStyle name="%_NRA_model_for_NEMO2 (EMC Update) v0.26_NRA_model_for_NEMO2 (EMC Update) v0.29.5" xfId="1808" xr:uid="{00000000-0005-0000-0000-0000BA060000}"/>
    <cellStyle name="%_NRA_model_for_NEMO2 (EMC Update) v0.26_NRA_model_for_NEMO2 (EMC Update) v0.29.5_NRA_model_for_NEMO2 (EMC Update) v0 30 1" xfId="1809" xr:uid="{00000000-0005-0000-0000-0000BB060000}"/>
    <cellStyle name="%_NRA_model_for_NEMO2 (EMC Update) v0.26_NRA_model_for_NEMO2 (EMC Update) v0.29_NRA_model_for_NEMO2 (EMC Update) v0 30 1" xfId="1810" xr:uid="{00000000-0005-0000-0000-0000BC060000}"/>
    <cellStyle name="%_NRA_model_for_NEMO2 (EMC Update) v0.26_NRA_model_for_NEMO2 (EMC Update) v0.29_NRA_model_for_NEMO2 (EMC Update) v0.29.2" xfId="1811" xr:uid="{00000000-0005-0000-0000-0000BD060000}"/>
    <cellStyle name="%_NRA_model_for_NEMO2 (EMC Update) v0.26_NRA_model_for_NEMO2 (EMC Update) v0.29_NRA_model_for_NEMO2 (EMC Update) v0.29.2_NRA_model_for_NEMO2 (EMC Update) v0 30 1" xfId="1812" xr:uid="{00000000-0005-0000-0000-0000BE060000}"/>
    <cellStyle name="%_NRA_model_for_NEMO2 (EMC Update) v0.26_NRA_model_for_NEMO2 (EMC Update) v0.29_NRA_model_for_NEMO2 (EMC Update) v0.29.2_NRA_model_for_NEMO2 (EMC Update) v0.29.3" xfId="1813" xr:uid="{00000000-0005-0000-0000-0000BF060000}"/>
    <cellStyle name="%_NRA_model_for_NEMO2 (EMC Update) v0.26_NRA_model_for_NEMO2 (EMC Update) v0.29_NRA_model_for_NEMO2 (EMC Update) v0.29.2_NRA_model_for_NEMO2 (EMC Update) v0.29.3_NRA_model_for_NEMO2 (EMC Update) v0 30 1" xfId="1814" xr:uid="{00000000-0005-0000-0000-0000C0060000}"/>
    <cellStyle name="%_NRA_model_for_NEMO2 (EMC Update) v0.26_NRA_model_for_NEMO2 (EMC Update) v0.29_NRA_model_for_NEMO2 (EMC Update) v0.29.2_NRA_model_for_NEMO2 (EMC Update) v0.29.3_NRA_model_for_NEMO2 (EMC Update) v0.29.5" xfId="1815" xr:uid="{00000000-0005-0000-0000-0000C1060000}"/>
    <cellStyle name="%_NRA_model_for_NEMO2 (EMC Update) v0.26_NRA_model_for_NEMO2 (EMC Update) v0.29_NRA_model_for_NEMO2 (EMC Update) v0.29.2_NRA_model_for_NEMO2 (EMC Update) v0.29.3_NRA_model_for_NEMO2 (EMC Update) v0.29.5_NRA_model_for_NEMO2 (EMC Update) v0 30 1" xfId="1816" xr:uid="{00000000-0005-0000-0000-0000C2060000}"/>
    <cellStyle name="%_NRA_model_for_NEMO2 (EMC Update) v0.26_NRA_model_for_NEMO2 (EMC Update) v0.29_NRA_model_for_NEMO2 (EMC Update) v0.29.2_NRA_model_for_NEMO2 (EMC Update) v0.29.4" xfId="1817" xr:uid="{00000000-0005-0000-0000-0000C3060000}"/>
    <cellStyle name="%_NRA_model_for_NEMO2 (EMC Update) v0.26_NRA_model_for_NEMO2 (EMC Update) v0.29_NRA_model_for_NEMO2 (EMC Update) v0.29.2_NRA_model_for_NEMO2 (EMC Update) v0.29.4_NRA_model_for_NEMO2 (EMC Update) v0 30 1" xfId="1818" xr:uid="{00000000-0005-0000-0000-0000C4060000}"/>
    <cellStyle name="%_NRA_model_for_NEMO2 (EMC Update) v0.26_NRA_model_for_NEMO2 (EMC Update) v0.29_NRA_model_for_NEMO2 (EMC Update) v0.29.2_NRA_model_for_NEMO2 (EMC Update) v0.29.4_NRA_model_for_NEMO2 (EMC Update) v0.29.5" xfId="1819" xr:uid="{00000000-0005-0000-0000-0000C5060000}"/>
    <cellStyle name="%_NRA_model_for_NEMO2 (EMC Update) v0.26_NRA_model_for_NEMO2 (EMC Update) v0.29_NRA_model_for_NEMO2 (EMC Update) v0.29.2_NRA_model_for_NEMO2 (EMC Update) v0.29.4_NRA_model_for_NEMO2 (EMC Update) v0.29.5_NRA_model_for_NEMO2 (EMC Update) v0 30 1" xfId="1820" xr:uid="{00000000-0005-0000-0000-0000C6060000}"/>
    <cellStyle name="%_NRA_model_for_NEMO2 (EMC Update) v0.26_NRA_model_for_NEMO2 (EMC Update) v0.29_NRA_model_for_NEMO2 (EMC Update) v0.29.2_NRA_model_for_NEMO2 (EMC Update) v0.29.5" xfId="1821" xr:uid="{00000000-0005-0000-0000-0000C7060000}"/>
    <cellStyle name="%_NRA_model_for_NEMO2 (EMC Update) v0.26_NRA_model_for_NEMO2 (EMC Update) v0.29_NRA_model_for_NEMO2 (EMC Update) v0.29.2_NRA_model_for_NEMO2 (EMC Update) v0.29.5_NRA_model_for_NEMO2 (EMC Update) v0 30 1" xfId="1822" xr:uid="{00000000-0005-0000-0000-0000C8060000}"/>
    <cellStyle name="%_NRA_model_for_NEMO2 (EMC Update) v0.26_NRA_model_for_NEMO2 (EMC Update) v0.29_NRA_model_for_NEMO2 (EMC Update) v0.29.3" xfId="1823" xr:uid="{00000000-0005-0000-0000-0000C9060000}"/>
    <cellStyle name="%_NRA_model_for_NEMO2 (EMC Update) v0.26_NRA_model_for_NEMO2 (EMC Update) v0.29_NRA_model_for_NEMO2 (EMC Update) v0.29.3_NRA_model_for_NEMO2 (EMC Update) v0 30 1" xfId="1824" xr:uid="{00000000-0005-0000-0000-0000CA060000}"/>
    <cellStyle name="%_NRA_model_for_NEMO2 (EMC Update) v0.26_NRA_model_for_NEMO2 (EMC Update) v0.29_NRA_model_for_NEMO2 (EMC Update) v0.29.3_NRA_model_for_NEMO2 (EMC Update) v0.29.5" xfId="1825" xr:uid="{00000000-0005-0000-0000-0000CB060000}"/>
    <cellStyle name="%_NRA_model_for_NEMO2 (EMC Update) v0.26_NRA_model_for_NEMO2 (EMC Update) v0.29_NRA_model_for_NEMO2 (EMC Update) v0.29.3_NRA_model_for_NEMO2 (EMC Update) v0.29.5_NRA_model_for_NEMO2 (EMC Update) v0 30 1" xfId="1826" xr:uid="{00000000-0005-0000-0000-0000CC060000}"/>
    <cellStyle name="%_NRA_model_for_NEMO2 (EMC Update) v0.26_NRA_model_for_NEMO2 (EMC Update) v0.29_NRA_model_for_NEMO2 (EMC Update) v0.29.4" xfId="1827" xr:uid="{00000000-0005-0000-0000-0000CD060000}"/>
    <cellStyle name="%_NRA_model_for_NEMO2 (EMC Update) v0.26_NRA_model_for_NEMO2 (EMC Update) v0.29_NRA_model_for_NEMO2 (EMC Update) v0.29.4_NRA_model_for_NEMO2 (EMC Update) v0 30 1" xfId="1828" xr:uid="{00000000-0005-0000-0000-0000CE060000}"/>
    <cellStyle name="%_NRA_model_for_NEMO2 (EMC Update) v0.26_NRA_model_for_NEMO2 (EMC Update) v0.29_NRA_model_for_NEMO2 (EMC Update) v0.29.4_NRA_model_for_NEMO2 (EMC Update) v0.29.5" xfId="1829" xr:uid="{00000000-0005-0000-0000-0000CF060000}"/>
    <cellStyle name="%_NRA_model_for_NEMO2 (EMC Update) v0.26_NRA_model_for_NEMO2 (EMC Update) v0.29_NRA_model_for_NEMO2 (EMC Update) v0.29.4_NRA_model_for_NEMO2 (EMC Update) v0.29.5_NRA_model_for_NEMO2 (EMC Update) v0 30 1" xfId="1830" xr:uid="{00000000-0005-0000-0000-0000D0060000}"/>
    <cellStyle name="%_NRA_model_for_NEMO2 (EMC Update) v0.26_NRA_model_for_NEMO2 (EMC Update) v0.29_NRA_model_for_NEMO2 (EMC Update) v0.29.5" xfId="1831" xr:uid="{00000000-0005-0000-0000-0000D1060000}"/>
    <cellStyle name="%_NRA_model_for_NEMO2 (EMC Update) v0.26_NRA_model_for_NEMO2 (EMC Update) v0.29_NRA_model_for_NEMO2 (EMC Update) v0.29.5_NRA_model_for_NEMO2 (EMC Update) v0 30 1" xfId="1832" xr:uid="{00000000-0005-0000-0000-0000D2060000}"/>
    <cellStyle name="%_NRA_model_for_NEMO2 (EMC Update) v0.29" xfId="1833" xr:uid="{00000000-0005-0000-0000-0000D3060000}"/>
    <cellStyle name="%_NRA_model_for_NEMO2 (EMC Update) v0.29.2" xfId="1834" xr:uid="{00000000-0005-0000-0000-0000D4060000}"/>
    <cellStyle name="%_NRA_model_for_NEMO2 (EMC Update) v0.29.2_NRA_model_for_NEMO2 (EMC Update) v0 30 1" xfId="1835" xr:uid="{00000000-0005-0000-0000-0000D5060000}"/>
    <cellStyle name="%_NRA_model_for_NEMO2 (EMC Update) v0.29.2_NRA_model_for_NEMO2 (EMC Update) v0.29.3" xfId="1836" xr:uid="{00000000-0005-0000-0000-0000D6060000}"/>
    <cellStyle name="%_NRA_model_for_NEMO2 (EMC Update) v0.29.2_NRA_model_for_NEMO2 (EMC Update) v0.29.3_NRA_model_for_NEMO2 (EMC Update) v0 30 1" xfId="1837" xr:uid="{00000000-0005-0000-0000-0000D7060000}"/>
    <cellStyle name="%_NRA_model_for_NEMO2 (EMC Update) v0.29.2_NRA_model_for_NEMO2 (EMC Update) v0.29.3_NRA_model_for_NEMO2 (EMC Update) v0.29.5" xfId="1838" xr:uid="{00000000-0005-0000-0000-0000D8060000}"/>
    <cellStyle name="%_NRA_model_for_NEMO2 (EMC Update) v0.29.2_NRA_model_for_NEMO2 (EMC Update) v0.29.3_NRA_model_for_NEMO2 (EMC Update) v0.29.5_NRA_model_for_NEMO2 (EMC Update) v0 30 1" xfId="1839" xr:uid="{00000000-0005-0000-0000-0000D9060000}"/>
    <cellStyle name="%_NRA_model_for_NEMO2 (EMC Update) v0.29.2_NRA_model_for_NEMO2 (EMC Update) v0.29.4" xfId="1840" xr:uid="{00000000-0005-0000-0000-0000DA060000}"/>
    <cellStyle name="%_NRA_model_for_NEMO2 (EMC Update) v0.29.2_NRA_model_for_NEMO2 (EMC Update) v0.29.4_NRA_model_for_NEMO2 (EMC Update) v0 30 1" xfId="1841" xr:uid="{00000000-0005-0000-0000-0000DB060000}"/>
    <cellStyle name="%_NRA_model_for_NEMO2 (EMC Update) v0.29.2_NRA_model_for_NEMO2 (EMC Update) v0.29.4_NRA_model_for_NEMO2 (EMC Update) v0.29.5" xfId="1842" xr:uid="{00000000-0005-0000-0000-0000DC060000}"/>
    <cellStyle name="%_NRA_model_for_NEMO2 (EMC Update) v0.29.2_NRA_model_for_NEMO2 (EMC Update) v0.29.4_NRA_model_for_NEMO2 (EMC Update) v0.29.5_NRA_model_for_NEMO2 (EMC Update) v0 30 1" xfId="1843" xr:uid="{00000000-0005-0000-0000-0000DD060000}"/>
    <cellStyle name="%_NRA_model_for_NEMO2 (EMC Update) v0.29.2_NRA_model_for_NEMO2 (EMC Update) v0.29.5" xfId="1844" xr:uid="{00000000-0005-0000-0000-0000DE060000}"/>
    <cellStyle name="%_NRA_model_for_NEMO2 (EMC Update) v0.29.2_NRA_model_for_NEMO2 (EMC Update) v0.29.5_NRA_model_for_NEMO2 (EMC Update) v0 30 1" xfId="1845" xr:uid="{00000000-0005-0000-0000-0000DF060000}"/>
    <cellStyle name="%_NRA_model_for_NEMO2 (EMC Update) v0.29.3" xfId="1846" xr:uid="{00000000-0005-0000-0000-0000E0060000}"/>
    <cellStyle name="%_NRA_model_for_NEMO2 (EMC Update) v0.29.3_NRA_model_for_NEMO2 (EMC Update) v0 30 1" xfId="1847" xr:uid="{00000000-0005-0000-0000-0000E1060000}"/>
    <cellStyle name="%_NRA_model_for_NEMO2 (EMC Update) v0.29.3_NRA_model_for_NEMO2 (EMC Update) v0.29.5" xfId="1848" xr:uid="{00000000-0005-0000-0000-0000E2060000}"/>
    <cellStyle name="%_NRA_model_for_NEMO2 (EMC Update) v0.29.3_NRA_model_for_NEMO2 (EMC Update) v0.29.5_NRA_model_for_NEMO2 (EMC Update) v0 30 1" xfId="1849" xr:uid="{00000000-0005-0000-0000-0000E3060000}"/>
    <cellStyle name="%_NRA_model_for_NEMO2 (EMC Update) v0.29.4" xfId="1850" xr:uid="{00000000-0005-0000-0000-0000E4060000}"/>
    <cellStyle name="%_NRA_model_for_NEMO2 (EMC Update) v0.29.4_NRA_model_for_NEMO2 (EMC Update) v0 30 1" xfId="1851" xr:uid="{00000000-0005-0000-0000-0000E5060000}"/>
    <cellStyle name="%_NRA_model_for_NEMO2 (EMC Update) v0.29.4_NRA_model_for_NEMO2 (EMC Update) v0.29.5" xfId="1852" xr:uid="{00000000-0005-0000-0000-0000E6060000}"/>
    <cellStyle name="%_NRA_model_for_NEMO2 (EMC Update) v0.29.4_NRA_model_for_NEMO2 (EMC Update) v0.29.5_NRA_model_for_NEMO2 (EMC Update) v0 30 1" xfId="1853" xr:uid="{00000000-0005-0000-0000-0000E7060000}"/>
    <cellStyle name="%_NRA_model_for_NEMO2 (EMC Update) v0.29.5" xfId="1854" xr:uid="{00000000-0005-0000-0000-0000E8060000}"/>
    <cellStyle name="%_NRA_model_for_NEMO2 (EMC Update) v0.29.5_NRA_model_for_NEMO2 (EMC Update) v0 30 1" xfId="1855" xr:uid="{00000000-0005-0000-0000-0000E9060000}"/>
    <cellStyle name="%_NRA_model_for_NEMO2 (EMC Update) v0.29_NRA_model_for_NEMO2 (EMC Update) v0 30 1" xfId="1856" xr:uid="{00000000-0005-0000-0000-0000EA060000}"/>
    <cellStyle name="%_NRA_model_for_NEMO2 (EMC Update) v0.29_NRA_model_for_NEMO2 (EMC Update) v0.29.2" xfId="1857" xr:uid="{00000000-0005-0000-0000-0000EB060000}"/>
    <cellStyle name="%_NRA_model_for_NEMO2 (EMC Update) v0.29_NRA_model_for_NEMO2 (EMC Update) v0.29.2_NRA_model_for_NEMO2 (EMC Update) v0 30 1" xfId="1858" xr:uid="{00000000-0005-0000-0000-0000EC060000}"/>
    <cellStyle name="%_NRA_model_for_NEMO2 (EMC Update) v0.29_NRA_model_for_NEMO2 (EMC Update) v0.29.2_NRA_model_for_NEMO2 (EMC Update) v0.29.3" xfId="1859" xr:uid="{00000000-0005-0000-0000-0000ED060000}"/>
    <cellStyle name="%_NRA_model_for_NEMO2 (EMC Update) v0.29_NRA_model_for_NEMO2 (EMC Update) v0.29.2_NRA_model_for_NEMO2 (EMC Update) v0.29.3_NRA_model_for_NEMO2 (EMC Update) v0 30 1" xfId="1860" xr:uid="{00000000-0005-0000-0000-0000EE060000}"/>
    <cellStyle name="%_NRA_model_for_NEMO2 (EMC Update) v0.29_NRA_model_for_NEMO2 (EMC Update) v0.29.2_NRA_model_for_NEMO2 (EMC Update) v0.29.3_NRA_model_for_NEMO2 (EMC Update) v0.29.5" xfId="1861" xr:uid="{00000000-0005-0000-0000-0000EF060000}"/>
    <cellStyle name="%_NRA_model_for_NEMO2 (EMC Update) v0.29_NRA_model_for_NEMO2 (EMC Update) v0.29.2_NRA_model_for_NEMO2 (EMC Update) v0.29.3_NRA_model_for_NEMO2 (EMC Update) v0.29.5_NRA_model_for_NEMO2 (EMC Update) v0 30 1" xfId="1862" xr:uid="{00000000-0005-0000-0000-0000F0060000}"/>
    <cellStyle name="%_NRA_model_for_NEMO2 (EMC Update) v0.29_NRA_model_for_NEMO2 (EMC Update) v0.29.2_NRA_model_for_NEMO2 (EMC Update) v0.29.4" xfId="1863" xr:uid="{00000000-0005-0000-0000-0000F1060000}"/>
    <cellStyle name="%_NRA_model_for_NEMO2 (EMC Update) v0.29_NRA_model_for_NEMO2 (EMC Update) v0.29.2_NRA_model_for_NEMO2 (EMC Update) v0.29.4_NRA_model_for_NEMO2 (EMC Update) v0 30 1" xfId="1864" xr:uid="{00000000-0005-0000-0000-0000F2060000}"/>
    <cellStyle name="%_NRA_model_for_NEMO2 (EMC Update) v0.29_NRA_model_for_NEMO2 (EMC Update) v0.29.2_NRA_model_for_NEMO2 (EMC Update) v0.29.4_NRA_model_for_NEMO2 (EMC Update) v0.29.5" xfId="1865" xr:uid="{00000000-0005-0000-0000-0000F3060000}"/>
    <cellStyle name="%_NRA_model_for_NEMO2 (EMC Update) v0.29_NRA_model_for_NEMO2 (EMC Update) v0.29.2_NRA_model_for_NEMO2 (EMC Update) v0.29.4_NRA_model_for_NEMO2 (EMC Update) v0.29.5_NRA_model_for_NEMO2 (EMC Update) v0 30 1" xfId="1866" xr:uid="{00000000-0005-0000-0000-0000F4060000}"/>
    <cellStyle name="%_NRA_model_for_NEMO2 (EMC Update) v0.29_NRA_model_for_NEMO2 (EMC Update) v0.29.2_NRA_model_for_NEMO2 (EMC Update) v0.29.5" xfId="1867" xr:uid="{00000000-0005-0000-0000-0000F5060000}"/>
    <cellStyle name="%_NRA_model_for_NEMO2 (EMC Update) v0.29_NRA_model_for_NEMO2 (EMC Update) v0.29.2_NRA_model_for_NEMO2 (EMC Update) v0.29.5_NRA_model_for_NEMO2 (EMC Update) v0 30 1" xfId="1868" xr:uid="{00000000-0005-0000-0000-0000F6060000}"/>
    <cellStyle name="%_NRA_model_for_NEMO2 (EMC Update) v0.29_NRA_model_for_NEMO2 (EMC Update) v0.29.3" xfId="1869" xr:uid="{00000000-0005-0000-0000-0000F7060000}"/>
    <cellStyle name="%_NRA_model_for_NEMO2 (EMC Update) v0.29_NRA_model_for_NEMO2 (EMC Update) v0.29.3_NRA_model_for_NEMO2 (EMC Update) v0 30 1" xfId="1870" xr:uid="{00000000-0005-0000-0000-0000F8060000}"/>
    <cellStyle name="%_NRA_model_for_NEMO2 (EMC Update) v0.29_NRA_model_for_NEMO2 (EMC Update) v0.29.3_NRA_model_for_NEMO2 (EMC Update) v0.29.5" xfId="1871" xr:uid="{00000000-0005-0000-0000-0000F9060000}"/>
    <cellStyle name="%_NRA_model_for_NEMO2 (EMC Update) v0.29_NRA_model_for_NEMO2 (EMC Update) v0.29.3_NRA_model_for_NEMO2 (EMC Update) v0.29.5_NRA_model_for_NEMO2 (EMC Update) v0 30 1" xfId="1872" xr:uid="{00000000-0005-0000-0000-0000FA060000}"/>
    <cellStyle name="%_NRA_model_for_NEMO2 (EMC Update) v0.29_NRA_model_for_NEMO2 (EMC Update) v0.29.4" xfId="1873" xr:uid="{00000000-0005-0000-0000-0000FB060000}"/>
    <cellStyle name="%_NRA_model_for_NEMO2 (EMC Update) v0.29_NRA_model_for_NEMO2 (EMC Update) v0.29.4_NRA_model_for_NEMO2 (EMC Update) v0 30 1" xfId="1874" xr:uid="{00000000-0005-0000-0000-0000FC060000}"/>
    <cellStyle name="%_NRA_model_for_NEMO2 (EMC Update) v0.29_NRA_model_for_NEMO2 (EMC Update) v0.29.4_NRA_model_for_NEMO2 (EMC Update) v0.29.5" xfId="1875" xr:uid="{00000000-0005-0000-0000-0000FD060000}"/>
    <cellStyle name="%_NRA_model_for_NEMO2 (EMC Update) v0.29_NRA_model_for_NEMO2 (EMC Update) v0.29.4_NRA_model_for_NEMO2 (EMC Update) v0.29.5_NRA_model_for_NEMO2 (EMC Update) v0 30 1" xfId="1876" xr:uid="{00000000-0005-0000-0000-0000FE060000}"/>
    <cellStyle name="%_NRA_model_for_NEMO2 (EMC Update) v0.29_NRA_model_for_NEMO2 (EMC Update) v0.29.5" xfId="1877" xr:uid="{00000000-0005-0000-0000-0000FF060000}"/>
    <cellStyle name="%_NRA_model_for_NEMO2 (EMC Update) v0.29_NRA_model_for_NEMO2 (EMC Update) v0.29.5_NRA_model_for_NEMO2 (EMC Update) v0 30 1" xfId="1878" xr:uid="{00000000-0005-0000-0000-000000070000}"/>
    <cellStyle name="%_NRA_model_for_NEMO2 _NRA_model_for_NEMO2 (EMC Update) v0 30 1" xfId="1879" xr:uid="{00000000-0005-0000-0000-000001070000}"/>
    <cellStyle name="%_NRA_model_for_NEMO2 _NRA_model_for_NEMO2 (EMC Update) v0.29.5" xfId="1880" xr:uid="{00000000-0005-0000-0000-000002070000}"/>
    <cellStyle name="%_NRA_model_for_NEMO2 _NRA_model_for_NEMO2 (EMC Update) v0.29.5_NRA_model_for_NEMO2 (EMC Update) v0 30 1" xfId="1881" xr:uid="{00000000-0005-0000-0000-000003070000}"/>
    <cellStyle name="_2.0 Emergency Process" xfId="1882" xr:uid="{00000000-0005-0000-0000-000004070000}"/>
    <cellStyle name="_Payroll - Dave Moon v2" xfId="1883" xr:uid="{00000000-0005-0000-0000-000005070000}"/>
    <cellStyle name="=C:\WINNT\SYSTEM32\COMMAND.COM" xfId="3" xr:uid="{00000000-0005-0000-0000-000006070000}"/>
    <cellStyle name="=C:\WINNT\SYSTEM32\COMMAND.COM 2" xfId="7" xr:uid="{00000000-0005-0000-0000-000007070000}"/>
    <cellStyle name="=C:\WINNT\SYSTEM32\COMMAND.COM 2 2" xfId="8" xr:uid="{00000000-0005-0000-0000-000008070000}"/>
    <cellStyle name="=C:\WINNT\SYSTEM32\COMMAND.COM 2 2 10" xfId="9" xr:uid="{00000000-0005-0000-0000-000009070000}"/>
    <cellStyle name="=C:\WINNT\SYSTEM32\COMMAND.COM 2 2 2" xfId="10" xr:uid="{00000000-0005-0000-0000-00000A070000}"/>
    <cellStyle name="=C:\WINNT\SYSTEM32\COMMAND.COM 3" xfId="11" xr:uid="{00000000-0005-0000-0000-00000B070000}"/>
    <cellStyle name="=C:\WINNT\SYSTEM32\COMMAND.COM 3 2" xfId="78" xr:uid="{00000000-0005-0000-0000-00000C070000}"/>
    <cellStyle name="=C:\WINNT\SYSTEM32\COMMAND.COM 4" xfId="12" xr:uid="{00000000-0005-0000-0000-00000D070000}"/>
    <cellStyle name="=C:\WINNT\SYSTEM32\COMMAND.COM_Gas_Run_060918" xfId="13" xr:uid="{00000000-0005-0000-0000-00000E070000}"/>
    <cellStyle name="20 % - Markeringsfarve1" xfId="1884" xr:uid="{00000000-0005-0000-0000-00000F070000}"/>
    <cellStyle name="20 % - Markeringsfarve2" xfId="1885" xr:uid="{00000000-0005-0000-0000-000010070000}"/>
    <cellStyle name="20 % - Markeringsfarve3" xfId="1886" xr:uid="{00000000-0005-0000-0000-000011070000}"/>
    <cellStyle name="20 % - Markeringsfarve4" xfId="1887" xr:uid="{00000000-0005-0000-0000-000012070000}"/>
    <cellStyle name="20 % - Markeringsfarve5" xfId="1888" xr:uid="{00000000-0005-0000-0000-000013070000}"/>
    <cellStyle name="20 % - Markeringsfarve6" xfId="1889" xr:uid="{00000000-0005-0000-0000-000014070000}"/>
    <cellStyle name="20% - Accent1 2" xfId="2074" xr:uid="{00000000-0005-0000-0000-000015070000}"/>
    <cellStyle name="20% - Accent2 2" xfId="2075" xr:uid="{00000000-0005-0000-0000-000016070000}"/>
    <cellStyle name="20% - Accent3 2" xfId="2076" xr:uid="{00000000-0005-0000-0000-000017070000}"/>
    <cellStyle name="20% - Accent4 2" xfId="2077" xr:uid="{00000000-0005-0000-0000-000018070000}"/>
    <cellStyle name="20% - Accent5 2" xfId="2078" xr:uid="{00000000-0005-0000-0000-000019070000}"/>
    <cellStyle name="20% - Accent6 2" xfId="2079" xr:uid="{00000000-0005-0000-0000-00001A070000}"/>
    <cellStyle name="20% - Dekorfärg1" xfId="1890" xr:uid="{00000000-0005-0000-0000-00001B070000}"/>
    <cellStyle name="20% - Dekorfärg2" xfId="1891" xr:uid="{00000000-0005-0000-0000-00001C070000}"/>
    <cellStyle name="20% - Dekorfärg3" xfId="1892" xr:uid="{00000000-0005-0000-0000-00001D070000}"/>
    <cellStyle name="20% - Dekorfärg4" xfId="1893" xr:uid="{00000000-0005-0000-0000-00001E070000}"/>
    <cellStyle name="20% - Dekorfärg5" xfId="1894" xr:uid="{00000000-0005-0000-0000-00001F070000}"/>
    <cellStyle name="20% - Dekorfärg6" xfId="1895" xr:uid="{00000000-0005-0000-0000-000020070000}"/>
    <cellStyle name="40 % - Markeringsfarve1" xfId="1896" xr:uid="{00000000-0005-0000-0000-000021070000}"/>
    <cellStyle name="40 % - Markeringsfarve2" xfId="1897" xr:uid="{00000000-0005-0000-0000-000022070000}"/>
    <cellStyle name="40 % - Markeringsfarve3" xfId="1898" xr:uid="{00000000-0005-0000-0000-000023070000}"/>
    <cellStyle name="40 % - Markeringsfarve4" xfId="1899" xr:uid="{00000000-0005-0000-0000-000024070000}"/>
    <cellStyle name="40 % - Markeringsfarve5" xfId="1900" xr:uid="{00000000-0005-0000-0000-000025070000}"/>
    <cellStyle name="40 % - Markeringsfarve6" xfId="1901" xr:uid="{00000000-0005-0000-0000-000026070000}"/>
    <cellStyle name="40% - Accent1 2" xfId="2080" xr:uid="{00000000-0005-0000-0000-000027070000}"/>
    <cellStyle name="40% - Accent2 2" xfId="2081" xr:uid="{00000000-0005-0000-0000-000028070000}"/>
    <cellStyle name="40% - Accent3 2" xfId="2082" xr:uid="{00000000-0005-0000-0000-000029070000}"/>
    <cellStyle name="40% - Accent4 2" xfId="2083" xr:uid="{00000000-0005-0000-0000-00002A070000}"/>
    <cellStyle name="40% - Accent5 2" xfId="2084" xr:uid="{00000000-0005-0000-0000-00002B070000}"/>
    <cellStyle name="40% - Accent6 2" xfId="2085" xr:uid="{00000000-0005-0000-0000-00002C070000}"/>
    <cellStyle name="40% - Dekorfärg1" xfId="1902" xr:uid="{00000000-0005-0000-0000-00002D070000}"/>
    <cellStyle name="40% - Dekorfärg2" xfId="1903" xr:uid="{00000000-0005-0000-0000-00002E070000}"/>
    <cellStyle name="40% - Dekorfärg3" xfId="1904" xr:uid="{00000000-0005-0000-0000-00002F070000}"/>
    <cellStyle name="40% - Dekorfärg4" xfId="1905" xr:uid="{00000000-0005-0000-0000-000030070000}"/>
    <cellStyle name="40% - Dekorfärg5" xfId="1906" xr:uid="{00000000-0005-0000-0000-000031070000}"/>
    <cellStyle name="40% - Dekorfärg6" xfId="1907" xr:uid="{00000000-0005-0000-0000-000032070000}"/>
    <cellStyle name="60 % - Markeringsfarve1" xfId="1908" xr:uid="{00000000-0005-0000-0000-000033070000}"/>
    <cellStyle name="60 % - Markeringsfarve2" xfId="1909" xr:uid="{00000000-0005-0000-0000-000034070000}"/>
    <cellStyle name="60 % - Markeringsfarve3" xfId="1910" xr:uid="{00000000-0005-0000-0000-000035070000}"/>
    <cellStyle name="60 % - Markeringsfarve4" xfId="1911" xr:uid="{00000000-0005-0000-0000-000036070000}"/>
    <cellStyle name="60 % - Markeringsfarve5" xfId="1912" xr:uid="{00000000-0005-0000-0000-000037070000}"/>
    <cellStyle name="60 % - Markeringsfarve6" xfId="1913" xr:uid="{00000000-0005-0000-0000-000038070000}"/>
    <cellStyle name="60% - Dekorfärg1" xfId="1914" xr:uid="{00000000-0005-0000-0000-000039070000}"/>
    <cellStyle name="60% - Dekorfärg2" xfId="1915" xr:uid="{00000000-0005-0000-0000-00003A070000}"/>
    <cellStyle name="60% - Dekorfärg3" xfId="1916" xr:uid="{00000000-0005-0000-0000-00003B070000}"/>
    <cellStyle name="60% - Dekorfärg4" xfId="1917" xr:uid="{00000000-0005-0000-0000-00003C070000}"/>
    <cellStyle name="60% - Dekorfärg5" xfId="1918" xr:uid="{00000000-0005-0000-0000-00003D070000}"/>
    <cellStyle name="60% - Dekorfärg6" xfId="1919" xr:uid="{00000000-0005-0000-0000-00003E070000}"/>
    <cellStyle name="Accent1 - 20%" xfId="1920" xr:uid="{00000000-0005-0000-0000-00003F070000}"/>
    <cellStyle name="Accent1 - 40%" xfId="1921" xr:uid="{00000000-0005-0000-0000-000040070000}"/>
    <cellStyle name="Accent1 - 60%" xfId="1922" xr:uid="{00000000-0005-0000-0000-000041070000}"/>
    <cellStyle name="Accent2 - 20%" xfId="1923" xr:uid="{00000000-0005-0000-0000-000042070000}"/>
    <cellStyle name="Accent2 - 40%" xfId="1924" xr:uid="{00000000-0005-0000-0000-000043070000}"/>
    <cellStyle name="Accent2 - 60%" xfId="1925" xr:uid="{00000000-0005-0000-0000-000044070000}"/>
    <cellStyle name="Accent3 - 20%" xfId="1926" xr:uid="{00000000-0005-0000-0000-000045070000}"/>
    <cellStyle name="Accent3 - 40%" xfId="1927" xr:uid="{00000000-0005-0000-0000-000046070000}"/>
    <cellStyle name="Accent3 - 60%" xfId="1928" xr:uid="{00000000-0005-0000-0000-000047070000}"/>
    <cellStyle name="Accent4 - 20%" xfId="1929" xr:uid="{00000000-0005-0000-0000-000048070000}"/>
    <cellStyle name="Accent4 - 40%" xfId="1930" xr:uid="{00000000-0005-0000-0000-000049070000}"/>
    <cellStyle name="Accent4 - 60%" xfId="1931" xr:uid="{00000000-0005-0000-0000-00004A070000}"/>
    <cellStyle name="Accent5 - 20%" xfId="1932" xr:uid="{00000000-0005-0000-0000-00004B070000}"/>
    <cellStyle name="Accent5 - 40%" xfId="1933" xr:uid="{00000000-0005-0000-0000-00004C070000}"/>
    <cellStyle name="Accent5 - 60%" xfId="1934" xr:uid="{00000000-0005-0000-0000-00004D070000}"/>
    <cellStyle name="Accent6 - 20%" xfId="1935" xr:uid="{00000000-0005-0000-0000-00004E070000}"/>
    <cellStyle name="Accent6 - 40%" xfId="1936" xr:uid="{00000000-0005-0000-0000-00004F070000}"/>
    <cellStyle name="Accent6 - 60%" xfId="1937" xr:uid="{00000000-0005-0000-0000-000050070000}"/>
    <cellStyle name="Advarselstekst" xfId="1938" xr:uid="{00000000-0005-0000-0000-000051070000}"/>
    <cellStyle name="Anteckning" xfId="1939" xr:uid="{00000000-0005-0000-0000-000052070000}"/>
    <cellStyle name="Anteckning 2" xfId="2169" xr:uid="{00000000-0005-0000-0000-000053070000}"/>
    <cellStyle name="Anteckning 3" xfId="2168" xr:uid="{00000000-0005-0000-0000-000054070000}"/>
    <cellStyle name="Bemærk!" xfId="1940" xr:uid="{00000000-0005-0000-0000-000055070000}"/>
    <cellStyle name="Bemærk! 2" xfId="2170" xr:uid="{00000000-0005-0000-0000-000056070000}"/>
    <cellStyle name="Bemærk! 3" xfId="2167" xr:uid="{00000000-0005-0000-0000-000057070000}"/>
    <cellStyle name="Beräkning" xfId="1941" xr:uid="{00000000-0005-0000-0000-000058070000}"/>
    <cellStyle name="Beräkning 2" xfId="2171" xr:uid="{00000000-0005-0000-0000-000059070000}"/>
    <cellStyle name="Beräkning 3" xfId="2166" xr:uid="{00000000-0005-0000-0000-00005A070000}"/>
    <cellStyle name="Beregning" xfId="1942" xr:uid="{00000000-0005-0000-0000-00005B070000}"/>
    <cellStyle name="Beregning 2" xfId="2172" xr:uid="{00000000-0005-0000-0000-00005C070000}"/>
    <cellStyle name="Beregning 3" xfId="2165" xr:uid="{00000000-0005-0000-0000-00005D070000}"/>
    <cellStyle name="BMInputNormal" xfId="1943" xr:uid="{00000000-0005-0000-0000-00005E070000}"/>
    <cellStyle name="Bra" xfId="1944" xr:uid="{00000000-0005-0000-0000-00005F070000}"/>
    <cellStyle name="column Head Underlined" xfId="1945" xr:uid="{00000000-0005-0000-0000-000060070000}"/>
    <cellStyle name="Column Heading" xfId="1946" xr:uid="{00000000-0005-0000-0000-000061070000}"/>
    <cellStyle name="Comma" xfId="75" builtinId="3"/>
    <cellStyle name="Comma 10" xfId="15" xr:uid="{00000000-0005-0000-0000-000063070000}"/>
    <cellStyle name="Comma 10 2" xfId="2125" xr:uid="{00000000-0005-0000-0000-000064070000}"/>
    <cellStyle name="Comma 11" xfId="14" xr:uid="{00000000-0005-0000-0000-000065070000}"/>
    <cellStyle name="Comma 11 2" xfId="79" xr:uid="{00000000-0005-0000-0000-000066070000}"/>
    <cellStyle name="Comma 12" xfId="16" xr:uid="{00000000-0005-0000-0000-000067070000}"/>
    <cellStyle name="Comma 12 2" xfId="2126" xr:uid="{00000000-0005-0000-0000-000068070000}"/>
    <cellStyle name="Comma 13" xfId="17" xr:uid="{00000000-0005-0000-0000-000069070000}"/>
    <cellStyle name="Comma 13 2" xfId="2127" xr:uid="{00000000-0005-0000-0000-00006A070000}"/>
    <cellStyle name="Comma 14" xfId="18" xr:uid="{00000000-0005-0000-0000-00006B070000}"/>
    <cellStyle name="Comma 14 2" xfId="2128" xr:uid="{00000000-0005-0000-0000-00006C070000}"/>
    <cellStyle name="Comma 15" xfId="2097" xr:uid="{00000000-0005-0000-0000-00006D070000}"/>
    <cellStyle name="Comma 15 2" xfId="2224" xr:uid="{00000000-0005-0000-0000-00006E070000}"/>
    <cellStyle name="Comma 16" xfId="2140" xr:uid="{00000000-0005-0000-0000-00006F070000}"/>
    <cellStyle name="Comma 17" xfId="19" xr:uid="{00000000-0005-0000-0000-000070070000}"/>
    <cellStyle name="Comma 17 2" xfId="2129" xr:uid="{00000000-0005-0000-0000-000071070000}"/>
    <cellStyle name="Comma 18" xfId="20" xr:uid="{00000000-0005-0000-0000-000072070000}"/>
    <cellStyle name="Comma 18 2" xfId="2130" xr:uid="{00000000-0005-0000-0000-000073070000}"/>
    <cellStyle name="Comma 19" xfId="2260" xr:uid="{B14F9A01-4AC4-4E5E-B9CD-AEE6CA2829B6}"/>
    <cellStyle name="Comma 2" xfId="21" xr:uid="{00000000-0005-0000-0000-000074070000}"/>
    <cellStyle name="Comma 2 2" xfId="22" xr:uid="{00000000-0005-0000-0000-000075070000}"/>
    <cellStyle name="Comma 2 2 2" xfId="2131" xr:uid="{00000000-0005-0000-0000-000076070000}"/>
    <cellStyle name="Comma 2 3" xfId="87" xr:uid="{00000000-0005-0000-0000-000077070000}"/>
    <cellStyle name="Comma 2 3 2" xfId="2117" xr:uid="{00000000-0005-0000-0000-000078070000}"/>
    <cellStyle name="Comma 2 3 2 2" xfId="2230" xr:uid="{00000000-0005-0000-0000-000079070000}"/>
    <cellStyle name="Comma 2 3 3" xfId="2143" xr:uid="{00000000-0005-0000-0000-00007A070000}"/>
    <cellStyle name="Comma 2_InputSA" xfId="23" xr:uid="{00000000-0005-0000-0000-00007B070000}"/>
    <cellStyle name="Comma 20" xfId="24" xr:uid="{00000000-0005-0000-0000-00007C070000}"/>
    <cellStyle name="Comma 20 2" xfId="2132" xr:uid="{00000000-0005-0000-0000-00007D070000}"/>
    <cellStyle name="Comma 21" xfId="25" xr:uid="{00000000-0005-0000-0000-00007E070000}"/>
    <cellStyle name="Comma 21 2" xfId="2133" xr:uid="{00000000-0005-0000-0000-00007F070000}"/>
    <cellStyle name="Comma 25" xfId="26" xr:uid="{00000000-0005-0000-0000-000080070000}"/>
    <cellStyle name="Comma 25 2" xfId="2134" xr:uid="{00000000-0005-0000-0000-000081070000}"/>
    <cellStyle name="Comma 26" xfId="27" xr:uid="{00000000-0005-0000-0000-000082070000}"/>
    <cellStyle name="Comma 26 2" xfId="2135" xr:uid="{00000000-0005-0000-0000-000083070000}"/>
    <cellStyle name="Comma 3" xfId="28" xr:uid="{00000000-0005-0000-0000-000084070000}"/>
    <cellStyle name="Comma 3 2" xfId="1947" xr:uid="{00000000-0005-0000-0000-000085070000}"/>
    <cellStyle name="Comma 3 2 2" xfId="2173" xr:uid="{00000000-0005-0000-0000-000086070000}"/>
    <cellStyle name="Comma 3 3" xfId="2136" xr:uid="{00000000-0005-0000-0000-000087070000}"/>
    <cellStyle name="Comma 4" xfId="29" xr:uid="{00000000-0005-0000-0000-000088070000}"/>
    <cellStyle name="Comma 4 2" xfId="30" xr:uid="{00000000-0005-0000-0000-000089070000}"/>
    <cellStyle name="Comma 4 3" xfId="2093" xr:uid="{00000000-0005-0000-0000-00008A070000}"/>
    <cellStyle name="Comma 4 3 2" xfId="2221" xr:uid="{00000000-0005-0000-0000-00008B070000}"/>
    <cellStyle name="Comma 5" xfId="31" xr:uid="{00000000-0005-0000-0000-00008C070000}"/>
    <cellStyle name="Comma 6" xfId="32" xr:uid="{00000000-0005-0000-0000-00008D070000}"/>
    <cellStyle name="Comma 7" xfId="33" xr:uid="{00000000-0005-0000-0000-00008E070000}"/>
    <cellStyle name="Comma 7 2" xfId="2137" xr:uid="{00000000-0005-0000-0000-00008F070000}"/>
    <cellStyle name="Comma 8" xfId="34" xr:uid="{00000000-0005-0000-0000-000090070000}"/>
    <cellStyle name="Comma 8 2" xfId="2138" xr:uid="{00000000-0005-0000-0000-000091070000}"/>
    <cellStyle name="Comma 9" xfId="35" xr:uid="{00000000-0005-0000-0000-000092070000}"/>
    <cellStyle name="Comma 9 2" xfId="2139" xr:uid="{00000000-0005-0000-0000-000093070000}"/>
    <cellStyle name="Dålig" xfId="1948" xr:uid="{00000000-0005-0000-0000-000094070000}"/>
    <cellStyle name="DateLong" xfId="36" xr:uid="{00000000-0005-0000-0000-000095070000}"/>
    <cellStyle name="DateLong 2" xfId="80" xr:uid="{00000000-0005-0000-0000-000096070000}"/>
    <cellStyle name="Emphasis 1" xfId="1949" xr:uid="{00000000-0005-0000-0000-000097070000}"/>
    <cellStyle name="Emphasis 2" xfId="1950" xr:uid="{00000000-0005-0000-0000-000098070000}"/>
    <cellStyle name="Emphasis 3" xfId="1951" xr:uid="{00000000-0005-0000-0000-000099070000}"/>
    <cellStyle name="Euro" xfId="37" xr:uid="{00000000-0005-0000-0000-00009A070000}"/>
    <cellStyle name="Euro 2" xfId="1952" xr:uid="{00000000-0005-0000-0000-00009B070000}"/>
    <cellStyle name="EYBlocked" xfId="1953" xr:uid="{00000000-0005-0000-0000-00009C070000}"/>
    <cellStyle name="EYCallUp" xfId="1954" xr:uid="{00000000-0005-0000-0000-00009D070000}"/>
    <cellStyle name="EYCheck" xfId="1955" xr:uid="{00000000-0005-0000-0000-00009E070000}"/>
    <cellStyle name="EYDate" xfId="1956" xr:uid="{00000000-0005-0000-0000-00009F070000}"/>
    <cellStyle name="EYDeviant" xfId="1957" xr:uid="{00000000-0005-0000-0000-0000A0070000}"/>
    <cellStyle name="EYHeader1" xfId="1958" xr:uid="{00000000-0005-0000-0000-0000A1070000}"/>
    <cellStyle name="EYHeader1 2" xfId="2174" xr:uid="{00000000-0005-0000-0000-0000A2070000}"/>
    <cellStyle name="EYHeader1 3" xfId="2164" xr:uid="{00000000-0005-0000-0000-0000A3070000}"/>
    <cellStyle name="EYHeader2" xfId="1959" xr:uid="{00000000-0005-0000-0000-0000A4070000}"/>
    <cellStyle name="EYHeader3" xfId="1960" xr:uid="{00000000-0005-0000-0000-0000A5070000}"/>
    <cellStyle name="EYInputDate" xfId="1961" xr:uid="{00000000-0005-0000-0000-0000A6070000}"/>
    <cellStyle name="EYInputDate 2" xfId="2118" xr:uid="{00000000-0005-0000-0000-0000A7070000}"/>
    <cellStyle name="EYInputPercent" xfId="1962" xr:uid="{00000000-0005-0000-0000-0000A8070000}"/>
    <cellStyle name="EYInputPercent 2" xfId="2119" xr:uid="{00000000-0005-0000-0000-0000A9070000}"/>
    <cellStyle name="EYInputValue" xfId="1963" xr:uid="{00000000-0005-0000-0000-0000AA070000}"/>
    <cellStyle name="EYInputValue 2" xfId="2120" xr:uid="{00000000-0005-0000-0000-0000AB070000}"/>
    <cellStyle name="EYNormal" xfId="38" xr:uid="{00000000-0005-0000-0000-0000AC070000}"/>
    <cellStyle name="EYNormal 2" xfId="1964" xr:uid="{00000000-0005-0000-0000-0000AD070000}"/>
    <cellStyle name="EYPercent" xfId="1965" xr:uid="{00000000-0005-0000-0000-0000AE070000}"/>
    <cellStyle name="EYPercentCapped" xfId="1966" xr:uid="{00000000-0005-0000-0000-0000AF070000}"/>
    <cellStyle name="EYSubTotal" xfId="1967" xr:uid="{00000000-0005-0000-0000-0000B0070000}"/>
    <cellStyle name="EYSubTotal 2" xfId="2175" xr:uid="{00000000-0005-0000-0000-0000B1070000}"/>
    <cellStyle name="EYSubTotal 3" xfId="2163" xr:uid="{00000000-0005-0000-0000-0000B2070000}"/>
    <cellStyle name="EYTotal" xfId="1968" xr:uid="{00000000-0005-0000-0000-0000B3070000}"/>
    <cellStyle name="EYTotal 2" xfId="2176" xr:uid="{00000000-0005-0000-0000-0000B4070000}"/>
    <cellStyle name="EYTotal 3" xfId="2162" xr:uid="{00000000-0005-0000-0000-0000B5070000}"/>
    <cellStyle name="EYWIP" xfId="1969" xr:uid="{00000000-0005-0000-0000-0000B6070000}"/>
    <cellStyle name="Factor" xfId="39" xr:uid="{00000000-0005-0000-0000-0000B7070000}"/>
    <cellStyle name="Factor 2" xfId="81" xr:uid="{00000000-0005-0000-0000-0000B8070000}"/>
    <cellStyle name="Färg1" xfId="1970" xr:uid="{00000000-0005-0000-0000-0000B9070000}"/>
    <cellStyle name="Färg2" xfId="1971" xr:uid="{00000000-0005-0000-0000-0000BA070000}"/>
    <cellStyle name="Färg3" xfId="1972" xr:uid="{00000000-0005-0000-0000-0000BB070000}"/>
    <cellStyle name="Färg4" xfId="1973" xr:uid="{00000000-0005-0000-0000-0000BC070000}"/>
    <cellStyle name="Färg5" xfId="1974" xr:uid="{00000000-0005-0000-0000-0000BD070000}"/>
    <cellStyle name="Färg6" xfId="1975" xr:uid="{00000000-0005-0000-0000-0000BE070000}"/>
    <cellStyle name="Förklarande text" xfId="1976" xr:uid="{00000000-0005-0000-0000-0000BF070000}"/>
    <cellStyle name="Forklarende tekst" xfId="1977" xr:uid="{00000000-0005-0000-0000-0000C0070000}"/>
    <cellStyle name="General" xfId="1978" xr:uid="{00000000-0005-0000-0000-0000C1070000}"/>
    <cellStyle name="God" xfId="1979" xr:uid="{00000000-0005-0000-0000-0000C2070000}"/>
    <cellStyle name="Heading 4" xfId="2256" builtinId="19"/>
    <cellStyle name="Hyperlink" xfId="2" builtinId="8" hidden="1"/>
    <cellStyle name="Hyperlink" xfId="76" builtinId="8"/>
    <cellStyle name="Hyperlink 2" xfId="2073" xr:uid="{00000000-0005-0000-0000-0000C6070000}"/>
    <cellStyle name="Indata" xfId="1980" xr:uid="{00000000-0005-0000-0000-0000C7070000}"/>
    <cellStyle name="Indata 2" xfId="2177" xr:uid="{00000000-0005-0000-0000-0000C8070000}"/>
    <cellStyle name="Indata 3" xfId="2161" xr:uid="{00000000-0005-0000-0000-0000C9070000}"/>
    <cellStyle name="InputData" xfId="40" xr:uid="{00000000-0005-0000-0000-0000CA070000}"/>
    <cellStyle name="Kontrollcell" xfId="1981" xr:uid="{00000000-0005-0000-0000-0000CB070000}"/>
    <cellStyle name="Kontroller celle" xfId="1982" xr:uid="{00000000-0005-0000-0000-0000CC070000}"/>
    <cellStyle name="Länkad cell" xfId="1983" xr:uid="{00000000-0005-0000-0000-0000CD070000}"/>
    <cellStyle name="Main Heading" xfId="1984" xr:uid="{00000000-0005-0000-0000-0000CE070000}"/>
    <cellStyle name="Markeringsfarve1" xfId="1985" xr:uid="{00000000-0005-0000-0000-0000CF070000}"/>
    <cellStyle name="Markeringsfarve2" xfId="1986" xr:uid="{00000000-0005-0000-0000-0000D0070000}"/>
    <cellStyle name="Markeringsfarve3" xfId="1987" xr:uid="{00000000-0005-0000-0000-0000D1070000}"/>
    <cellStyle name="Markeringsfarve4" xfId="1988" xr:uid="{00000000-0005-0000-0000-0000D2070000}"/>
    <cellStyle name="Markeringsfarve5" xfId="1989" xr:uid="{00000000-0005-0000-0000-0000D3070000}"/>
    <cellStyle name="Markeringsfarve6" xfId="1990" xr:uid="{00000000-0005-0000-0000-0000D4070000}"/>
    <cellStyle name="NGBlocked" xfId="1991" xr:uid="{00000000-0005-0000-0000-0000D5070000}"/>
    <cellStyle name="NGCallUp" xfId="1992" xr:uid="{00000000-0005-0000-0000-0000D6070000}"/>
    <cellStyle name="NGCheck" xfId="1993" xr:uid="{00000000-0005-0000-0000-0000D7070000}"/>
    <cellStyle name="NGDate" xfId="1994" xr:uid="{00000000-0005-0000-0000-0000D8070000}"/>
    <cellStyle name="NGDeviant" xfId="1995" xr:uid="{00000000-0005-0000-0000-0000D9070000}"/>
    <cellStyle name="NGHeader1" xfId="1996" xr:uid="{00000000-0005-0000-0000-0000DA070000}"/>
    <cellStyle name="NGHeader1 2" xfId="2178" xr:uid="{00000000-0005-0000-0000-0000DB070000}"/>
    <cellStyle name="NGHeader1 3" xfId="2160" xr:uid="{00000000-0005-0000-0000-0000DC070000}"/>
    <cellStyle name="NGHeader2" xfId="1997" xr:uid="{00000000-0005-0000-0000-0000DD070000}"/>
    <cellStyle name="NGHeader3" xfId="1998" xr:uid="{00000000-0005-0000-0000-0000DE070000}"/>
    <cellStyle name="NGInputDate" xfId="1999" xr:uid="{00000000-0005-0000-0000-0000DF070000}"/>
    <cellStyle name="NGInputDate 2" xfId="2121" xr:uid="{00000000-0005-0000-0000-0000E0070000}"/>
    <cellStyle name="NGInputDate 3 18" xfId="2112" xr:uid="{00000000-0005-0000-0000-0000E1070000}"/>
    <cellStyle name="NGInputDate 3 18 2" xfId="2226" xr:uid="{00000000-0005-0000-0000-0000E2070000}"/>
    <cellStyle name="NGInputPercent" xfId="2000" xr:uid="{00000000-0005-0000-0000-0000E3070000}"/>
    <cellStyle name="NGInputPercent 2" xfId="2122" xr:uid="{00000000-0005-0000-0000-0000E4070000}"/>
    <cellStyle name="NGInputValue" xfId="2001" xr:uid="{00000000-0005-0000-0000-0000E5070000}"/>
    <cellStyle name="NGInputValue 2" xfId="2123" xr:uid="{00000000-0005-0000-0000-0000E6070000}"/>
    <cellStyle name="NGNormal" xfId="2002" xr:uid="{00000000-0005-0000-0000-0000E7070000}"/>
    <cellStyle name="NGPercent" xfId="2003" xr:uid="{00000000-0005-0000-0000-0000E8070000}"/>
    <cellStyle name="NGPercentCapped" xfId="2004" xr:uid="{00000000-0005-0000-0000-0000E9070000}"/>
    <cellStyle name="NGSubTotal" xfId="2005" xr:uid="{00000000-0005-0000-0000-0000EA070000}"/>
    <cellStyle name="NGSubTotal 2" xfId="2179" xr:uid="{00000000-0005-0000-0000-0000EB070000}"/>
    <cellStyle name="NGSubTotal 3" xfId="2159" xr:uid="{00000000-0005-0000-0000-0000EC070000}"/>
    <cellStyle name="NGTotal" xfId="2006" xr:uid="{00000000-0005-0000-0000-0000ED070000}"/>
    <cellStyle name="NGTotal 2" xfId="2180" xr:uid="{00000000-0005-0000-0000-0000EE070000}"/>
    <cellStyle name="NGTotal 3" xfId="2158" xr:uid="{00000000-0005-0000-0000-0000EF070000}"/>
    <cellStyle name="NGWIP" xfId="2007" xr:uid="{00000000-0005-0000-0000-0000F0070000}"/>
    <cellStyle name="Normal" xfId="0" builtinId="0" customBuiltin="1"/>
    <cellStyle name="Normal 10" xfId="41" xr:uid="{00000000-0005-0000-0000-0000F2070000}"/>
    <cellStyle name="Normal 11" xfId="42" xr:uid="{00000000-0005-0000-0000-0000F3070000}"/>
    <cellStyle name="Normal 11 2" xfId="82" xr:uid="{00000000-0005-0000-0000-0000F4070000}"/>
    <cellStyle name="Normal 12" xfId="4" xr:uid="{00000000-0005-0000-0000-0000F5070000}"/>
    <cellStyle name="Normal 13" xfId="85" xr:uid="{00000000-0005-0000-0000-0000F6070000}"/>
    <cellStyle name="Normal 13 2" xfId="43" xr:uid="{00000000-0005-0000-0000-0000F7070000}"/>
    <cellStyle name="Normal 13 2 2" xfId="44" xr:uid="{00000000-0005-0000-0000-0000F8070000}"/>
    <cellStyle name="Normal 13 2_SHETL" xfId="45" xr:uid="{00000000-0005-0000-0000-0000F9070000}"/>
    <cellStyle name="Normal 14" xfId="2257" xr:uid="{00000000-0005-0000-0000-0000FA070000}"/>
    <cellStyle name="Normal 15" xfId="2104" xr:uid="{00000000-0005-0000-0000-0000FB070000}"/>
    <cellStyle name="Normal 15 2" xfId="2225" xr:uid="{00000000-0005-0000-0000-0000FC070000}"/>
    <cellStyle name="Normal 16" xfId="2258" xr:uid="{BC0B0AB3-5FED-4B17-BC45-23E1B829A591}"/>
    <cellStyle name="Normal 17" xfId="2259" xr:uid="{D16C2D6A-4857-44F8-B83B-774885DF0835}"/>
    <cellStyle name="Normal 18" xfId="2261" xr:uid="{062D07F0-8E2D-45BB-ACF4-2A7A53B9DD85}"/>
    <cellStyle name="Normal 19" xfId="2262" xr:uid="{6EF417BE-3F05-4564-9129-879D9429FD5C}"/>
    <cellStyle name="Normal 2" xfId="46" xr:uid="{00000000-0005-0000-0000-0000FD070000}"/>
    <cellStyle name="Normal 2 2" xfId="47" xr:uid="{00000000-0005-0000-0000-0000FE070000}"/>
    <cellStyle name="Normal 2 2 2" xfId="2096" xr:uid="{00000000-0005-0000-0000-0000FF070000}"/>
    <cellStyle name="Normal 2 3" xfId="86" xr:uid="{00000000-0005-0000-0000-000000080000}"/>
    <cellStyle name="Normal 2 3 2" xfId="2116" xr:uid="{00000000-0005-0000-0000-000001080000}"/>
    <cellStyle name="Normal 2 3 2 2" xfId="2229" xr:uid="{00000000-0005-0000-0000-000002080000}"/>
    <cellStyle name="Normal 2 3 3" xfId="2142" xr:uid="{00000000-0005-0000-0000-000003080000}"/>
    <cellStyle name="Normal 2_InputSA" xfId="48" xr:uid="{00000000-0005-0000-0000-000004080000}"/>
    <cellStyle name="Normal 28" xfId="2111" xr:uid="{00000000-0005-0000-0000-000005080000}"/>
    <cellStyle name="Normal 3" xfId="49" xr:uid="{00000000-0005-0000-0000-000006080000}"/>
    <cellStyle name="Normal 3 2" xfId="50" xr:uid="{00000000-0005-0000-0000-000007080000}"/>
    <cellStyle name="Normal 3 3" xfId="2008" xr:uid="{00000000-0005-0000-0000-000008080000}"/>
    <cellStyle name="Normal 3 3 2" xfId="51" xr:uid="{00000000-0005-0000-0000-000009080000}"/>
    <cellStyle name="Normal 3_Financial Analysis template" xfId="52" xr:uid="{00000000-0005-0000-0000-00000A080000}"/>
    <cellStyle name="Normal 31" xfId="2098" xr:uid="{00000000-0005-0000-0000-00000B080000}"/>
    <cellStyle name="Normal 33" xfId="2102" xr:uid="{00000000-0005-0000-0000-00000C080000}"/>
    <cellStyle name="Normal 34" xfId="2100" xr:uid="{00000000-0005-0000-0000-00000D080000}"/>
    <cellStyle name="Normal 36" xfId="2099" xr:uid="{00000000-0005-0000-0000-00000E080000}"/>
    <cellStyle name="Normal 37" xfId="2101" xr:uid="{00000000-0005-0000-0000-00000F080000}"/>
    <cellStyle name="Normal 39" xfId="2103" xr:uid="{00000000-0005-0000-0000-000010080000}"/>
    <cellStyle name="Normal 4" xfId="53" xr:uid="{00000000-0005-0000-0000-000011080000}"/>
    <cellStyle name="Normal 4 2" xfId="54" xr:uid="{00000000-0005-0000-0000-000012080000}"/>
    <cellStyle name="Normal 4 3" xfId="2086" xr:uid="{00000000-0005-0000-0000-000013080000}"/>
    <cellStyle name="Normal 4_InputSA" xfId="55" xr:uid="{00000000-0005-0000-0000-000014080000}"/>
    <cellStyle name="Normal 40" xfId="2106" xr:uid="{00000000-0005-0000-0000-000015080000}"/>
    <cellStyle name="Normal 41" xfId="2105" xr:uid="{00000000-0005-0000-0000-000016080000}"/>
    <cellStyle name="Normal 44" xfId="2108" xr:uid="{00000000-0005-0000-0000-000017080000}"/>
    <cellStyle name="Normal 45" xfId="2109" xr:uid="{00000000-0005-0000-0000-000018080000}"/>
    <cellStyle name="Normal 46" xfId="2107" xr:uid="{00000000-0005-0000-0000-000019080000}"/>
    <cellStyle name="Normal 47" xfId="2110" xr:uid="{00000000-0005-0000-0000-00001A080000}"/>
    <cellStyle name="Normal 49" xfId="2113" xr:uid="{00000000-0005-0000-0000-00001B080000}"/>
    <cellStyle name="Normal 5" xfId="56" xr:uid="{00000000-0005-0000-0000-00001C080000}"/>
    <cellStyle name="Normal 5 2" xfId="57" xr:uid="{00000000-0005-0000-0000-00001D080000}"/>
    <cellStyle name="Normal 5 3" xfId="2087" xr:uid="{00000000-0005-0000-0000-00001E080000}"/>
    <cellStyle name="Normal 54" xfId="58" xr:uid="{00000000-0005-0000-0000-00001F080000}"/>
    <cellStyle name="Normal 58" xfId="59" xr:uid="{00000000-0005-0000-0000-000020080000}"/>
    <cellStyle name="Normal 6" xfId="60" xr:uid="{00000000-0005-0000-0000-000021080000}"/>
    <cellStyle name="Normal 6 2" xfId="2088" xr:uid="{00000000-0005-0000-0000-000022080000}"/>
    <cellStyle name="Normal 7" xfId="61" xr:uid="{00000000-0005-0000-0000-000023080000}"/>
    <cellStyle name="Normal 7 2" xfId="2095" xr:uid="{00000000-0005-0000-0000-000024080000}"/>
    <cellStyle name="Normal 7 2 2" xfId="2223" xr:uid="{00000000-0005-0000-0000-000025080000}"/>
    <cellStyle name="Normal 7 3" xfId="2091" xr:uid="{00000000-0005-0000-0000-000026080000}"/>
    <cellStyle name="Normal 7 3 2" xfId="2219" xr:uid="{00000000-0005-0000-0000-000027080000}"/>
    <cellStyle name="Normal 8" xfId="62" xr:uid="{00000000-0005-0000-0000-000028080000}"/>
    <cellStyle name="Normal 8 2" xfId="2092" xr:uid="{00000000-0005-0000-0000-000029080000}"/>
    <cellStyle name="Normal 8 2 2" xfId="2220" xr:uid="{00000000-0005-0000-0000-00002A080000}"/>
    <cellStyle name="Normal 9" xfId="63" xr:uid="{00000000-0005-0000-0000-00002B080000}"/>
    <cellStyle name="Note 2" xfId="2089" xr:uid="{00000000-0005-0000-0000-00002C080000}"/>
    <cellStyle name="Note 2 2" xfId="2217" xr:uid="{00000000-0005-0000-0000-00002D080000}"/>
    <cellStyle name="Note 2 3" xfId="2253" xr:uid="{00000000-0005-0000-0000-00002E080000}"/>
    <cellStyle name="Note 3" xfId="2090" xr:uid="{00000000-0005-0000-0000-00002F080000}"/>
    <cellStyle name="Note 3 2" xfId="2218" xr:uid="{00000000-0005-0000-0000-000030080000}"/>
    <cellStyle name="Note 3 3" xfId="2254" xr:uid="{00000000-0005-0000-0000-000031080000}"/>
    <cellStyle name="Overskrift 1" xfId="2009" xr:uid="{00000000-0005-0000-0000-000032080000}"/>
    <cellStyle name="Overskrift 2" xfId="2010" xr:uid="{00000000-0005-0000-0000-000033080000}"/>
    <cellStyle name="Overskrift 3" xfId="2011" xr:uid="{00000000-0005-0000-0000-000034080000}"/>
    <cellStyle name="Overskrift 4" xfId="2012" xr:uid="{00000000-0005-0000-0000-000035080000}"/>
    <cellStyle name="Percent" xfId="1" builtinId="5"/>
    <cellStyle name="Percent 10" xfId="2124" xr:uid="{00000000-0005-0000-0000-000037080000}"/>
    <cellStyle name="Percent 11" xfId="2255" xr:uid="{00000000-0005-0000-0000-000038080000}"/>
    <cellStyle name="Percent 15" xfId="65" xr:uid="{00000000-0005-0000-0000-000039080000}"/>
    <cellStyle name="Percent 2" xfId="66" xr:uid="{00000000-0005-0000-0000-00003A080000}"/>
    <cellStyle name="Percent 2 2" xfId="67" xr:uid="{00000000-0005-0000-0000-00003B080000}"/>
    <cellStyle name="Percent 2 3" xfId="2013" xr:uid="{00000000-0005-0000-0000-00003C080000}"/>
    <cellStyle name="Percent 3" xfId="68" xr:uid="{00000000-0005-0000-0000-00003D080000}"/>
    <cellStyle name="Percent 3 2" xfId="2014" xr:uid="{00000000-0005-0000-0000-00003E080000}"/>
    <cellStyle name="Percent 4" xfId="69" xr:uid="{00000000-0005-0000-0000-00003F080000}"/>
    <cellStyle name="Percent 4 2" xfId="2094" xr:uid="{00000000-0005-0000-0000-000040080000}"/>
    <cellStyle name="Percent 4 2 2" xfId="2222" xr:uid="{00000000-0005-0000-0000-000041080000}"/>
    <cellStyle name="Percent 5" xfId="70" xr:uid="{00000000-0005-0000-0000-000042080000}"/>
    <cellStyle name="Percent 5 2" xfId="84" xr:uid="{00000000-0005-0000-0000-000043080000}"/>
    <cellStyle name="Percent 6" xfId="64" xr:uid="{00000000-0005-0000-0000-000044080000}"/>
    <cellStyle name="Percent 6 2" xfId="83" xr:uid="{00000000-0005-0000-0000-000045080000}"/>
    <cellStyle name="Percent 7" xfId="77" xr:uid="{00000000-0005-0000-0000-000046080000}"/>
    <cellStyle name="Percent 7 2" xfId="2115" xr:uid="{00000000-0005-0000-0000-000047080000}"/>
    <cellStyle name="Percent 7 2 2" xfId="2228" xr:uid="{00000000-0005-0000-0000-000048080000}"/>
    <cellStyle name="Percent 7 3" xfId="2141" xr:uid="{00000000-0005-0000-0000-000049080000}"/>
    <cellStyle name="Percent 8" xfId="2072" xr:uid="{00000000-0005-0000-0000-00004A080000}"/>
    <cellStyle name="Percent 9" xfId="2114" xr:uid="{00000000-0005-0000-0000-00004B080000}"/>
    <cellStyle name="Percent 9 2" xfId="2227" xr:uid="{00000000-0005-0000-0000-00004C080000}"/>
    <cellStyle name="Percent 9 2 2" xfId="71" xr:uid="{00000000-0005-0000-0000-00004D080000}"/>
    <cellStyle name="Percent 9 3" xfId="72" xr:uid="{00000000-0005-0000-0000-00004E080000}"/>
    <cellStyle name="RangeName" xfId="73" xr:uid="{00000000-0005-0000-0000-00004F080000}"/>
    <cellStyle name="Rubrik" xfId="2015" xr:uid="{00000000-0005-0000-0000-000050080000}"/>
    <cellStyle name="Rubrik 1" xfId="2016" xr:uid="{00000000-0005-0000-0000-000051080000}"/>
    <cellStyle name="Rubrik 2" xfId="2017" xr:uid="{00000000-0005-0000-0000-000052080000}"/>
    <cellStyle name="Rubrik 3" xfId="2018" xr:uid="{00000000-0005-0000-0000-000053080000}"/>
    <cellStyle name="Rubrik 4" xfId="2019" xr:uid="{00000000-0005-0000-0000-000054080000}"/>
    <cellStyle name="Sammenkædet celle" xfId="2020" xr:uid="{00000000-0005-0000-0000-000055080000}"/>
    <cellStyle name="SAPBEXaggData" xfId="2021" xr:uid="{00000000-0005-0000-0000-000056080000}"/>
    <cellStyle name="SAPBEXaggData 2" xfId="2181" xr:uid="{00000000-0005-0000-0000-000057080000}"/>
    <cellStyle name="SAPBEXaggData 3" xfId="2157" xr:uid="{00000000-0005-0000-0000-000058080000}"/>
    <cellStyle name="SAPBEXaggDataEmph" xfId="2022" xr:uid="{00000000-0005-0000-0000-000059080000}"/>
    <cellStyle name="SAPBEXaggDataEmph 2" xfId="2182" xr:uid="{00000000-0005-0000-0000-00005A080000}"/>
    <cellStyle name="SAPBEXaggDataEmph 3" xfId="2156" xr:uid="{00000000-0005-0000-0000-00005B080000}"/>
    <cellStyle name="SAPBEXaggItem" xfId="2023" xr:uid="{00000000-0005-0000-0000-00005C080000}"/>
    <cellStyle name="SAPBEXaggItem 2" xfId="2183" xr:uid="{00000000-0005-0000-0000-00005D080000}"/>
    <cellStyle name="SAPBEXaggItem 3" xfId="2155" xr:uid="{00000000-0005-0000-0000-00005E080000}"/>
    <cellStyle name="SAPBEXaggItemX" xfId="2024" xr:uid="{00000000-0005-0000-0000-00005F080000}"/>
    <cellStyle name="SAPBEXaggItemX 2" xfId="2184" xr:uid="{00000000-0005-0000-0000-000060080000}"/>
    <cellStyle name="SAPBEXaggItemX 3" xfId="2154" xr:uid="{00000000-0005-0000-0000-000061080000}"/>
    <cellStyle name="SAPBEXchaText" xfId="2025" xr:uid="{00000000-0005-0000-0000-000062080000}"/>
    <cellStyle name="SAPBEXexcBad7" xfId="2026" xr:uid="{00000000-0005-0000-0000-000063080000}"/>
    <cellStyle name="SAPBEXexcBad7 2" xfId="2185" xr:uid="{00000000-0005-0000-0000-000064080000}"/>
    <cellStyle name="SAPBEXexcBad7 3" xfId="2153" xr:uid="{00000000-0005-0000-0000-000065080000}"/>
    <cellStyle name="SAPBEXexcBad8" xfId="2027" xr:uid="{00000000-0005-0000-0000-000066080000}"/>
    <cellStyle name="SAPBEXexcBad8 2" xfId="2186" xr:uid="{00000000-0005-0000-0000-000067080000}"/>
    <cellStyle name="SAPBEXexcBad8 3" xfId="2152" xr:uid="{00000000-0005-0000-0000-000068080000}"/>
    <cellStyle name="SAPBEXexcBad9" xfId="2028" xr:uid="{00000000-0005-0000-0000-000069080000}"/>
    <cellStyle name="SAPBEXexcBad9 2" xfId="2187" xr:uid="{00000000-0005-0000-0000-00006A080000}"/>
    <cellStyle name="SAPBEXexcBad9 3" xfId="2151" xr:uid="{00000000-0005-0000-0000-00006B080000}"/>
    <cellStyle name="SAPBEXexcCritical4" xfId="2029" xr:uid="{00000000-0005-0000-0000-00006C080000}"/>
    <cellStyle name="SAPBEXexcCritical4 2" xfId="2188" xr:uid="{00000000-0005-0000-0000-00006D080000}"/>
    <cellStyle name="SAPBEXexcCritical4 3" xfId="2150" xr:uid="{00000000-0005-0000-0000-00006E080000}"/>
    <cellStyle name="SAPBEXexcCritical5" xfId="2030" xr:uid="{00000000-0005-0000-0000-00006F080000}"/>
    <cellStyle name="SAPBEXexcCritical5 2" xfId="2189" xr:uid="{00000000-0005-0000-0000-000070080000}"/>
    <cellStyle name="SAPBEXexcCritical5 3" xfId="2149" xr:uid="{00000000-0005-0000-0000-000071080000}"/>
    <cellStyle name="SAPBEXexcCritical6" xfId="2031" xr:uid="{00000000-0005-0000-0000-000072080000}"/>
    <cellStyle name="SAPBEXexcCritical6 2" xfId="2190" xr:uid="{00000000-0005-0000-0000-000073080000}"/>
    <cellStyle name="SAPBEXexcCritical6 3" xfId="2148" xr:uid="{00000000-0005-0000-0000-000074080000}"/>
    <cellStyle name="SAPBEXexcGood1" xfId="2032" xr:uid="{00000000-0005-0000-0000-000075080000}"/>
    <cellStyle name="SAPBEXexcGood1 2" xfId="2191" xr:uid="{00000000-0005-0000-0000-000076080000}"/>
    <cellStyle name="SAPBEXexcGood1 3" xfId="2147" xr:uid="{00000000-0005-0000-0000-000077080000}"/>
    <cellStyle name="SAPBEXexcGood2" xfId="2033" xr:uid="{00000000-0005-0000-0000-000078080000}"/>
    <cellStyle name="SAPBEXexcGood2 2" xfId="2192" xr:uid="{00000000-0005-0000-0000-000079080000}"/>
    <cellStyle name="SAPBEXexcGood2 3" xfId="2146" xr:uid="{00000000-0005-0000-0000-00007A080000}"/>
    <cellStyle name="SAPBEXexcGood3" xfId="2034" xr:uid="{00000000-0005-0000-0000-00007B080000}"/>
    <cellStyle name="SAPBEXexcGood3 2" xfId="2193" xr:uid="{00000000-0005-0000-0000-00007C080000}"/>
    <cellStyle name="SAPBEXexcGood3 3" xfId="2145" xr:uid="{00000000-0005-0000-0000-00007D080000}"/>
    <cellStyle name="SAPBEXfilterDrill" xfId="2035" xr:uid="{00000000-0005-0000-0000-00007E080000}"/>
    <cellStyle name="SAPBEXfilterItem" xfId="2036" xr:uid="{00000000-0005-0000-0000-00007F080000}"/>
    <cellStyle name="SAPBEXfilterText" xfId="2037" xr:uid="{00000000-0005-0000-0000-000080080000}"/>
    <cellStyle name="SAPBEXformats" xfId="2038" xr:uid="{00000000-0005-0000-0000-000081080000}"/>
    <cellStyle name="SAPBEXformats 2" xfId="2194" xr:uid="{00000000-0005-0000-0000-000082080000}"/>
    <cellStyle name="SAPBEXformats 3" xfId="2144" xr:uid="{00000000-0005-0000-0000-000083080000}"/>
    <cellStyle name="SAPBEXheaderItem" xfId="2039" xr:uid="{00000000-0005-0000-0000-000084080000}"/>
    <cellStyle name="SAPBEXheaderText" xfId="2040" xr:uid="{00000000-0005-0000-0000-000085080000}"/>
    <cellStyle name="SAPBEXHLevel0" xfId="2041" xr:uid="{00000000-0005-0000-0000-000086080000}"/>
    <cellStyle name="SAPBEXHLevel0 2" xfId="2195" xr:uid="{00000000-0005-0000-0000-000087080000}"/>
    <cellStyle name="SAPBEXHLevel0 3" xfId="2231" xr:uid="{00000000-0005-0000-0000-000088080000}"/>
    <cellStyle name="SAPBEXHLevel0X" xfId="2042" xr:uid="{00000000-0005-0000-0000-000089080000}"/>
    <cellStyle name="SAPBEXHLevel0X 2" xfId="2196" xr:uid="{00000000-0005-0000-0000-00008A080000}"/>
    <cellStyle name="SAPBEXHLevel0X 3" xfId="2232" xr:uid="{00000000-0005-0000-0000-00008B080000}"/>
    <cellStyle name="SAPBEXHLevel1" xfId="2043" xr:uid="{00000000-0005-0000-0000-00008C080000}"/>
    <cellStyle name="SAPBEXHLevel1 2" xfId="2197" xr:uid="{00000000-0005-0000-0000-00008D080000}"/>
    <cellStyle name="SAPBEXHLevel1 3" xfId="2233" xr:uid="{00000000-0005-0000-0000-00008E080000}"/>
    <cellStyle name="SAPBEXHLevel1X" xfId="2044" xr:uid="{00000000-0005-0000-0000-00008F080000}"/>
    <cellStyle name="SAPBEXHLevel1X 2" xfId="2198" xr:uid="{00000000-0005-0000-0000-000090080000}"/>
    <cellStyle name="SAPBEXHLevel1X 3" xfId="2234" xr:uid="{00000000-0005-0000-0000-000091080000}"/>
    <cellStyle name="SAPBEXHLevel2" xfId="2045" xr:uid="{00000000-0005-0000-0000-000092080000}"/>
    <cellStyle name="SAPBEXHLevel2 2" xfId="2199" xr:uid="{00000000-0005-0000-0000-000093080000}"/>
    <cellStyle name="SAPBEXHLevel2 3" xfId="2235" xr:uid="{00000000-0005-0000-0000-000094080000}"/>
    <cellStyle name="SAPBEXHLevel2X" xfId="2046" xr:uid="{00000000-0005-0000-0000-000095080000}"/>
    <cellStyle name="SAPBEXHLevel2X 2" xfId="2200" xr:uid="{00000000-0005-0000-0000-000096080000}"/>
    <cellStyle name="SAPBEXHLevel2X 3" xfId="2236" xr:uid="{00000000-0005-0000-0000-000097080000}"/>
    <cellStyle name="SAPBEXHLevel3" xfId="2047" xr:uid="{00000000-0005-0000-0000-000098080000}"/>
    <cellStyle name="SAPBEXHLevel3 2" xfId="2201" xr:uid="{00000000-0005-0000-0000-000099080000}"/>
    <cellStyle name="SAPBEXHLevel3 3" xfId="2237" xr:uid="{00000000-0005-0000-0000-00009A080000}"/>
    <cellStyle name="SAPBEXHLevel3X" xfId="2048" xr:uid="{00000000-0005-0000-0000-00009B080000}"/>
    <cellStyle name="SAPBEXHLevel3X 2" xfId="2202" xr:uid="{00000000-0005-0000-0000-00009C080000}"/>
    <cellStyle name="SAPBEXHLevel3X 3" xfId="2238" xr:uid="{00000000-0005-0000-0000-00009D080000}"/>
    <cellStyle name="SAPBEXinputData" xfId="2049" xr:uid="{00000000-0005-0000-0000-00009E080000}"/>
    <cellStyle name="SAPBEXItemHeader" xfId="2050" xr:uid="{00000000-0005-0000-0000-00009F080000}"/>
    <cellStyle name="SAPBEXItemHeader 2" xfId="2203" xr:uid="{00000000-0005-0000-0000-0000A0080000}"/>
    <cellStyle name="SAPBEXItemHeader 3" xfId="2239" xr:uid="{00000000-0005-0000-0000-0000A1080000}"/>
    <cellStyle name="SAPBEXresData" xfId="2051" xr:uid="{00000000-0005-0000-0000-0000A2080000}"/>
    <cellStyle name="SAPBEXresData 2" xfId="2204" xr:uid="{00000000-0005-0000-0000-0000A3080000}"/>
    <cellStyle name="SAPBEXresData 3" xfId="2240" xr:uid="{00000000-0005-0000-0000-0000A4080000}"/>
    <cellStyle name="SAPBEXresDataEmph" xfId="2052" xr:uid="{00000000-0005-0000-0000-0000A5080000}"/>
    <cellStyle name="SAPBEXresDataEmph 2" xfId="2205" xr:uid="{00000000-0005-0000-0000-0000A6080000}"/>
    <cellStyle name="SAPBEXresDataEmph 3" xfId="2241" xr:uid="{00000000-0005-0000-0000-0000A7080000}"/>
    <cellStyle name="SAPBEXresItem" xfId="2053" xr:uid="{00000000-0005-0000-0000-0000A8080000}"/>
    <cellStyle name="SAPBEXresItem 2" xfId="2206" xr:uid="{00000000-0005-0000-0000-0000A9080000}"/>
    <cellStyle name="SAPBEXresItem 3" xfId="2242" xr:uid="{00000000-0005-0000-0000-0000AA080000}"/>
    <cellStyle name="SAPBEXresItemX" xfId="2054" xr:uid="{00000000-0005-0000-0000-0000AB080000}"/>
    <cellStyle name="SAPBEXresItemX 2" xfId="2207" xr:uid="{00000000-0005-0000-0000-0000AC080000}"/>
    <cellStyle name="SAPBEXresItemX 3" xfId="2243" xr:uid="{00000000-0005-0000-0000-0000AD080000}"/>
    <cellStyle name="SAPBEXstdData" xfId="2055" xr:uid="{00000000-0005-0000-0000-0000AE080000}"/>
    <cellStyle name="SAPBEXstdData 2" xfId="2208" xr:uid="{00000000-0005-0000-0000-0000AF080000}"/>
    <cellStyle name="SAPBEXstdData 3" xfId="2244" xr:uid="{00000000-0005-0000-0000-0000B0080000}"/>
    <cellStyle name="SAPBEXstdDataEmph" xfId="2056" xr:uid="{00000000-0005-0000-0000-0000B1080000}"/>
    <cellStyle name="SAPBEXstdDataEmph 2" xfId="2209" xr:uid="{00000000-0005-0000-0000-0000B2080000}"/>
    <cellStyle name="SAPBEXstdDataEmph 3" xfId="2245" xr:uid="{00000000-0005-0000-0000-0000B3080000}"/>
    <cellStyle name="SAPBEXstdItem" xfId="2057" xr:uid="{00000000-0005-0000-0000-0000B4080000}"/>
    <cellStyle name="SAPBEXstdItem 2" xfId="2210" xr:uid="{00000000-0005-0000-0000-0000B5080000}"/>
    <cellStyle name="SAPBEXstdItem 3" xfId="2246" xr:uid="{00000000-0005-0000-0000-0000B6080000}"/>
    <cellStyle name="SAPBEXstdItemX" xfId="2058" xr:uid="{00000000-0005-0000-0000-0000B7080000}"/>
    <cellStyle name="SAPBEXstdItemX 2" xfId="2211" xr:uid="{00000000-0005-0000-0000-0000B8080000}"/>
    <cellStyle name="SAPBEXstdItemX 3" xfId="2247" xr:uid="{00000000-0005-0000-0000-0000B9080000}"/>
    <cellStyle name="SAPBEXtitle" xfId="2059" xr:uid="{00000000-0005-0000-0000-0000BA080000}"/>
    <cellStyle name="SAPBEXtitle 2" xfId="2212" xr:uid="{00000000-0005-0000-0000-0000BB080000}"/>
    <cellStyle name="SAPBEXtitle 3" xfId="2248" xr:uid="{00000000-0005-0000-0000-0000BC080000}"/>
    <cellStyle name="SAPBEXunassignedItem" xfId="2060" xr:uid="{00000000-0005-0000-0000-0000BD080000}"/>
    <cellStyle name="SAPBEXundefined" xfId="2061" xr:uid="{00000000-0005-0000-0000-0000BE080000}"/>
    <cellStyle name="SAPBEXundefined 2" xfId="2213" xr:uid="{00000000-0005-0000-0000-0000BF080000}"/>
    <cellStyle name="SAPBEXundefined 3" xfId="2249" xr:uid="{00000000-0005-0000-0000-0000C0080000}"/>
    <cellStyle name="Sheet Title" xfId="2062" xr:uid="{00000000-0005-0000-0000-0000C1080000}"/>
    <cellStyle name="Style 1" xfId="74" xr:uid="{00000000-0005-0000-0000-0000C2080000}"/>
    <cellStyle name="Style 1 2" xfId="2063" xr:uid="{00000000-0005-0000-0000-0000C3080000}"/>
    <cellStyle name="Sub-total" xfId="2064" xr:uid="{00000000-0005-0000-0000-0000C4080000}"/>
    <cellStyle name="Sub-total 2" xfId="2214" xr:uid="{00000000-0005-0000-0000-0000C5080000}"/>
    <cellStyle name="Sub-total 3" xfId="2250" xr:uid="{00000000-0005-0000-0000-0000C6080000}"/>
    <cellStyle name="Summa" xfId="2065" xr:uid="{00000000-0005-0000-0000-0000C7080000}"/>
    <cellStyle name="Summa 2" xfId="2215" xr:uid="{00000000-0005-0000-0000-0000C8080000}"/>
    <cellStyle name="Summa 3" xfId="2251" xr:uid="{00000000-0005-0000-0000-0000C9080000}"/>
    <cellStyle name="Text" xfId="2066" xr:uid="{00000000-0005-0000-0000-0000CA080000}"/>
    <cellStyle name="Titel" xfId="2067" xr:uid="{00000000-0005-0000-0000-0000CB080000}"/>
    <cellStyle name="Totals" xfId="2068" xr:uid="{00000000-0005-0000-0000-0000CC080000}"/>
    <cellStyle name="Ugyldig" xfId="2069" xr:uid="{00000000-0005-0000-0000-0000CD080000}"/>
    <cellStyle name="Utdata" xfId="2070" xr:uid="{00000000-0005-0000-0000-0000CE080000}"/>
    <cellStyle name="Utdata 2" xfId="2216" xr:uid="{00000000-0005-0000-0000-0000CF080000}"/>
    <cellStyle name="Utdata 3" xfId="2252" xr:uid="{00000000-0005-0000-0000-0000D0080000}"/>
    <cellStyle name="Varningstext" xfId="2071" xr:uid="{00000000-0005-0000-0000-0000D1080000}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9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onsumerPriceIndices">
        <xsd:complexType>
          <xsd:sequence minOccurs="0">
            <xsd:element minOccurs="0" maxOccurs="unbounded" nillable="true" name="INDEX" form="unqualified">
              <xsd:complexType>
                <xsd:sequence minOccurs="0">
                  <xsd:element minOccurs="0" maxOccurs="unbounded" nillable="true" name="YEAR" form="unqualified">
                    <xsd:complexType>
                      <xsd:sequence minOccurs="0">
                        <xsd:element minOccurs="0" nillable="true" name="VALUES" form="unqualified">
                          <xsd:complexType>
                            <xsd:sequence minOccurs="0">
                              <xsd:element minOccurs="0" maxOccurs="unbounded" nillable="true" name="ENTRY" form="unqualified">
                                <xsd:complexType>
                                  <xsd:simpleContent>
                                    <xsd:extension base="xsd:double">
                                      <xsd:attribute name="MONTH" form="unqualified" type="xsd:integer"/>
                                    </xsd:extension>
                                  </xsd:simpleContent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integer"/>
                    </xsd:complexType>
                  </xsd:element>
                </xsd:sequence>
                <xsd:attribute name="BASE" form="unqualified" type="xsd:string"/>
                <xsd:attribute name="DESCRIPTION" form="unqualified" type="xsd:string"/>
              </xsd:complexType>
            </xsd:element>
          </xsd:sequence>
        </xsd:complexType>
      </xsd:element>
    </xsd:schema>
  </Schema>
  <Map ID="1" Name="ConsumerPriceIndices_Map" RootElement="ConsumerPriceIndic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xmlMaps" Target="xmlMap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94187" cy="71655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94187" cy="716559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fs01\data\AndrewStone\offshore%20savings\Lincs\2014.01.17_Lincs%20TCP%20models\Lincs_Perm%20Changes_Delevere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ationalgridplc-my.sharepoint.com/AndrewStone/offshore%20savings/Lincs/2014.01.17_Lincs%20TCP%20models/Lincs_Perm%20Changes_Delever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Charts "/>
      <sheetName val="TM_Change"/>
      <sheetName val="P&amp;L"/>
      <sheetName val="CF"/>
      <sheetName val="CF Original"/>
      <sheetName val="CF Delta"/>
      <sheetName val="BalSht"/>
      <sheetName val="Summary"/>
      <sheetName val="Sens Analysis"/>
      <sheetName val="Sens"/>
      <sheetName val="InputC"/>
      <sheetName val="InputM"/>
      <sheetName val="InputSA"/>
      <sheetName val="Calcs M"/>
      <sheetName val="Calcs SA"/>
      <sheetName val="Ratios"/>
      <sheetName val="Checks"/>
      <sheetName val="MSA"/>
      <sheetName val="Analysis template"/>
      <sheetName val="Proj IRR"/>
      <sheetName val="Swap Profiles"/>
      <sheetName val="Swap Profiles - EIB"/>
      <sheetName val="Databook M"/>
      <sheetName val="GapList_1"/>
      <sheetName val="GapList_2"/>
      <sheetName val="GapList_3"/>
      <sheetName val="Gaps list 3a"/>
      <sheetName val="GapList_4"/>
      <sheetName val="Gaps list 5"/>
      <sheetName val="fis-Cover"/>
      <sheetName val="fis1-General Data"/>
      <sheetName val="fis2-Analysis-Insurance"/>
      <sheetName val="fis3-Analysis-TRS Components"/>
      <sheetName val="fis4-Funding Data"/>
      <sheetName val="fis5-Yearly Data"/>
      <sheetName val="fis6-Tax Pool Allocations"/>
      <sheetName val="fis7-Output Page"/>
      <sheetName val="fis-Standard Data"/>
      <sheetName val="fis-Integrity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38">
          <cell r="B38">
            <v>0.18</v>
          </cell>
        </row>
        <row r="39">
          <cell r="B39">
            <v>0.08</v>
          </cell>
        </row>
        <row r="40">
          <cell r="B40">
            <v>1</v>
          </cell>
        </row>
        <row r="41">
          <cell r="B41">
            <v>0</v>
          </cell>
        </row>
      </sheetData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Charts "/>
      <sheetName val="TM_Change"/>
      <sheetName val="P&amp;L"/>
      <sheetName val="CF"/>
      <sheetName val="CF Original"/>
      <sheetName val="CF Delta"/>
      <sheetName val="BalSht"/>
      <sheetName val="Summary"/>
      <sheetName val="Sens Analysis"/>
      <sheetName val="Sens"/>
      <sheetName val="InputC"/>
      <sheetName val="InputM"/>
      <sheetName val="InputSA"/>
      <sheetName val="Calcs M"/>
      <sheetName val="Calcs SA"/>
      <sheetName val="Ratios"/>
      <sheetName val="Checks"/>
      <sheetName val="MSA"/>
      <sheetName val="Analysis template"/>
      <sheetName val="Proj IRR"/>
      <sheetName val="Swap Profiles"/>
      <sheetName val="Swap Profiles - EIB"/>
      <sheetName val="Databook M"/>
      <sheetName val="GapList_1"/>
      <sheetName val="GapList_2"/>
      <sheetName val="GapList_3"/>
      <sheetName val="Gaps list 3a"/>
      <sheetName val="GapList_4"/>
      <sheetName val="Gaps list 5"/>
      <sheetName val="fis-Cover"/>
      <sheetName val="fis1-General Data"/>
      <sheetName val="fis2-Analysis-Insurance"/>
      <sheetName val="fis3-Analysis-TRS Components"/>
      <sheetName val="fis4-Funding Data"/>
      <sheetName val="fis5-Yearly Data"/>
      <sheetName val="fis6-Tax Pool Allocations"/>
      <sheetName val="fis7-Output Page"/>
      <sheetName val="fis-Standard Data"/>
      <sheetName val="fis-Integrity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38">
          <cell r="B38">
            <v>0.18</v>
          </cell>
        </row>
        <row r="39">
          <cell r="B39">
            <v>0.08</v>
          </cell>
        </row>
        <row r="40">
          <cell r="B40">
            <v>1</v>
          </cell>
        </row>
        <row r="41">
          <cell r="B41">
            <v>0</v>
          </cell>
        </row>
      </sheetData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harepoint2013/sgg/Transmission/Elec_Trans_Lib/02%20Investment/Interconnectors/Project/C+F%20Window%201/11%20PCR/Nemo/Decision/Publication%20pack%20(pdf)/5.%20CFFM%20docs/Appendix%206%20-%20NLCFFM1.xlsm" TargetMode="External"/><Relationship Id="rId2" Type="http://schemas.openxmlformats.org/officeDocument/2006/relationships/hyperlink" Target="http://sharepoint2013/sgg/Transmission/Elec_Trans_Lib/02%20Investment/Interconnectors/Cap%20and%20Floor%20Financial%20Models/NEMO/Nemo%20(PCR)%20CFFM1%20and%20CFFM2/Nemo%20(PCR)%20CFFM1%20and%20CFFM2%20preAudit/Standard%20CFFM_1%20(provisional%20Nemo%20PC" TargetMode="External"/><Relationship Id="rId1" Type="http://schemas.openxmlformats.org/officeDocument/2006/relationships/hyperlink" Target="http://sharepoint2013/sgg/Transmission/Elec_Trans_Lib/02%20Investment/Interconnectors/Cap%20and%20Floor%20Financial%20Models/NEMO/Nemo_CFFM_Jan2017_Ofgem.xlsx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ns.gov.uk/economy/inflationandpriceindices/timeseries/chaw/mm23" TargetMode="External"/><Relationship Id="rId2" Type="http://schemas.openxmlformats.org/officeDocument/2006/relationships/hyperlink" Target="https://www.ons.gov.uk/economy/inflationandpriceindices/timeseries/chaw/mm23" TargetMode="External"/><Relationship Id="rId1" Type="http://schemas.openxmlformats.org/officeDocument/2006/relationships/hyperlink" Target="https://www.ons.gov.uk/economy/inflationandpriceindices/timeseries/chaw/mm23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5" tint="0.59999389629810485"/>
    <pageSetUpPr fitToPage="1"/>
  </sheetPr>
  <dimension ref="A1:H43"/>
  <sheetViews>
    <sheetView showGridLines="0" zoomScaleNormal="100" workbookViewId="0">
      <pane ySplit="6" topLeftCell="A7" activePane="bottomLeft" state="frozen"/>
      <selection activeCell="G26" sqref="G26"/>
      <selection pane="bottomLeft" activeCell="G28" sqref="G28"/>
    </sheetView>
  </sheetViews>
  <sheetFormatPr defaultColWidth="0" defaultRowHeight="0" customHeight="1" zeroHeight="1"/>
  <cols>
    <col min="1" max="4" width="1.59765625" style="49" customWidth="1"/>
    <col min="5" max="5" width="19.09765625" style="49" customWidth="1"/>
    <col min="6" max="6" width="2.8984375" style="49" customWidth="1"/>
    <col min="7" max="7" width="96.3984375" style="49" customWidth="1"/>
    <col min="8" max="8" width="3.09765625" customWidth="1"/>
    <col min="9" max="9" width="0" style="49" hidden="1" customWidth="1"/>
    <col min="10" max="16384" width="0" style="49" hidden="1"/>
  </cols>
  <sheetData>
    <row r="1" spans="1:8" ht="57" customHeight="1"/>
    <row r="2" spans="1:8" s="45" customFormat="1" ht="21">
      <c r="A2" s="43" t="s">
        <v>282</v>
      </c>
      <c r="B2" s="44"/>
      <c r="C2" s="44"/>
      <c r="D2" s="44"/>
      <c r="E2" s="44"/>
      <c r="H2"/>
    </row>
    <row r="3" spans="1:8" s="45" customFormat="1" ht="15.5">
      <c r="A3" s="46"/>
      <c r="B3" s="46" t="s">
        <v>28</v>
      </c>
      <c r="C3" s="44"/>
      <c r="D3" s="44"/>
      <c r="E3" s="44"/>
      <c r="H3"/>
    </row>
    <row r="4" spans="1:8" s="45" customFormat="1" ht="15" customHeight="1">
      <c r="A4" s="44"/>
      <c r="B4" s="44"/>
      <c r="C4" s="47" t="str">
        <f ca="1">MID(CELL("filename"),SEARCH("[",CELL("filename"))+1,SEARCH("]",CELL("filename"))-SEARCH("[",CELL("filename"))-1)</f>
        <v>IFA2CFFM1_PCR_decision.xlsm</v>
      </c>
      <c r="D4" s="47"/>
      <c r="E4" s="47"/>
      <c r="F4" s="48"/>
      <c r="G4" s="48"/>
      <c r="H4"/>
    </row>
    <row r="5" spans="1:8" s="45" customFormat="1" ht="13">
      <c r="A5" s="44"/>
      <c r="B5" s="44"/>
      <c r="C5" s="296" t="s">
        <v>309</v>
      </c>
      <c r="D5" s="296"/>
      <c r="E5" s="296"/>
      <c r="F5" s="296"/>
      <c r="G5" s="296"/>
      <c r="H5"/>
    </row>
    <row r="6" spans="1:8" s="45" customFormat="1" ht="13">
      <c r="A6" s="44"/>
      <c r="B6" s="44"/>
      <c r="C6" s="286" t="s">
        <v>299</v>
      </c>
      <c r="D6" s="287"/>
      <c r="E6" s="287"/>
      <c r="F6" s="287"/>
      <c r="G6" s="287"/>
      <c r="H6"/>
    </row>
    <row r="7" spans="1:8" ht="15" customHeight="1">
      <c r="B7" s="50"/>
    </row>
    <row r="8" spans="1:8" s="4" customFormat="1" ht="15" customHeight="1">
      <c r="B8" s="188" t="s">
        <v>21</v>
      </c>
      <c r="C8" s="15"/>
      <c r="D8" s="15"/>
      <c r="E8" s="15"/>
      <c r="F8" s="15"/>
      <c r="G8" s="15"/>
      <c r="H8"/>
    </row>
    <row r="9" spans="1:8" s="4" customFormat="1" ht="15" customHeight="1">
      <c r="C9" s="51"/>
      <c r="D9" s="51"/>
      <c r="E9" s="52"/>
      <c r="G9" s="1"/>
      <c r="H9"/>
    </row>
    <row r="10" spans="1:8" s="4" customFormat="1" ht="15" customHeight="1">
      <c r="C10" s="51"/>
      <c r="D10" s="51"/>
      <c r="E10" s="1" t="s">
        <v>22</v>
      </c>
      <c r="G10" s="1" t="s">
        <v>23</v>
      </c>
      <c r="H10"/>
    </row>
    <row r="11" spans="1:8" s="4" customFormat="1" ht="15" customHeight="1">
      <c r="B11" s="91"/>
      <c r="C11" s="89"/>
      <c r="D11" s="89"/>
      <c r="E11" s="55" t="s">
        <v>22</v>
      </c>
      <c r="G11" s="4" t="s">
        <v>178</v>
      </c>
      <c r="H11"/>
    </row>
    <row r="12" spans="1:8" s="4" customFormat="1" ht="15" customHeight="1">
      <c r="C12" s="51"/>
      <c r="D12" s="51"/>
      <c r="E12" s="53" t="s">
        <v>22</v>
      </c>
      <c r="G12" s="1" t="s">
        <v>176</v>
      </c>
      <c r="H12"/>
    </row>
    <row r="13" spans="1:8" s="4" customFormat="1" ht="15" customHeight="1">
      <c r="C13" s="51"/>
      <c r="D13" s="51"/>
      <c r="E13" s="54" t="s">
        <v>22</v>
      </c>
      <c r="G13" s="1" t="s">
        <v>177</v>
      </c>
      <c r="H13"/>
    </row>
    <row r="14" spans="1:8" s="91" customFormat="1" ht="15" customHeight="1">
      <c r="C14" s="89"/>
      <c r="D14" s="89"/>
      <c r="E14" s="257" t="s">
        <v>22</v>
      </c>
      <c r="G14" s="1" t="s">
        <v>293</v>
      </c>
      <c r="H14"/>
    </row>
    <row r="15" spans="1:8" s="91" customFormat="1" ht="15" customHeight="1">
      <c r="B15" s="4"/>
      <c r="C15" s="51"/>
      <c r="D15" s="51"/>
      <c r="E15" s="59" t="s">
        <v>22</v>
      </c>
      <c r="F15" s="4"/>
      <c r="G15" s="4" t="s">
        <v>179</v>
      </c>
      <c r="H15"/>
    </row>
    <row r="16" spans="1:8" s="4" customFormat="1" ht="15" customHeight="1">
      <c r="B16" s="91"/>
      <c r="C16" s="89"/>
      <c r="D16" s="89"/>
      <c r="E16" s="162" t="s">
        <v>22</v>
      </c>
      <c r="F16" s="91"/>
      <c r="G16" s="91" t="s">
        <v>290</v>
      </c>
      <c r="H16"/>
    </row>
    <row r="17" spans="1:8" s="4" customFormat="1" ht="15" customHeight="1">
      <c r="C17" s="51"/>
      <c r="D17" s="51"/>
      <c r="E17" s="60" t="s">
        <v>22</v>
      </c>
      <c r="G17" s="4" t="s">
        <v>180</v>
      </c>
      <c r="H17"/>
    </row>
    <row r="18" spans="1:8" s="4" customFormat="1" ht="15" customHeight="1">
      <c r="C18" s="51"/>
      <c r="D18" s="51"/>
      <c r="E18" s="3" t="s">
        <v>22</v>
      </c>
      <c r="G18" s="4" t="s">
        <v>24</v>
      </c>
      <c r="H18"/>
    </row>
    <row r="19" spans="1:8" s="4" customFormat="1" ht="15" customHeight="1">
      <c r="C19" s="51"/>
      <c r="D19" s="51"/>
      <c r="E19" s="65" t="s">
        <v>22</v>
      </c>
      <c r="G19" s="4" t="s">
        <v>43</v>
      </c>
      <c r="H19"/>
    </row>
    <row r="20" spans="1:8" s="4" customFormat="1" ht="15" customHeight="1">
      <c r="C20" s="51"/>
      <c r="D20" s="51"/>
      <c r="H20"/>
    </row>
    <row r="21" spans="1:8" s="4" customFormat="1" ht="15" customHeight="1">
      <c r="B21" s="188" t="s">
        <v>25</v>
      </c>
      <c r="C21" s="15"/>
      <c r="D21" s="15"/>
      <c r="E21" s="15"/>
      <c r="F21" s="15"/>
      <c r="G21" s="15"/>
      <c r="H21"/>
    </row>
    <row r="22" spans="1:8" s="4" customFormat="1" ht="15" customHeight="1" thickBot="1">
      <c r="C22" s="51"/>
      <c r="D22" s="51"/>
      <c r="E22" s="52"/>
      <c r="G22" s="1"/>
      <c r="H22"/>
    </row>
    <row r="23" spans="1:8" s="91" customFormat="1" ht="15" customHeight="1" thickBot="1">
      <c r="B23" s="4"/>
      <c r="C23" s="51"/>
      <c r="D23" s="51"/>
      <c r="E23" s="200" t="s">
        <v>26</v>
      </c>
      <c r="F23" s="197"/>
      <c r="G23" s="56" t="s">
        <v>27</v>
      </c>
      <c r="H23"/>
    </row>
    <row r="24" spans="1:8" s="91" customFormat="1" ht="15" customHeight="1" thickBot="1">
      <c r="C24" s="89"/>
      <c r="D24" s="89"/>
      <c r="E24" s="200" t="s">
        <v>265</v>
      </c>
      <c r="F24" s="210"/>
      <c r="G24" s="56" t="s">
        <v>264</v>
      </c>
      <c r="H24"/>
    </row>
    <row r="25" spans="1:8" s="4" customFormat="1" ht="15" customHeight="1" thickTop="1" thickBot="1">
      <c r="B25" s="91"/>
      <c r="C25" s="89"/>
      <c r="D25" s="89"/>
      <c r="E25" s="200" t="s">
        <v>9</v>
      </c>
      <c r="F25" s="57"/>
      <c r="G25" s="56" t="s">
        <v>296</v>
      </c>
      <c r="H25"/>
    </row>
    <row r="26" spans="1:8" s="4" customFormat="1" ht="15" customHeight="1" thickTop="1" thickBot="1">
      <c r="C26" s="51"/>
      <c r="D26" s="51"/>
      <c r="E26" s="200" t="s">
        <v>279</v>
      </c>
      <c r="F26" s="57"/>
      <c r="G26" s="56" t="s">
        <v>283</v>
      </c>
      <c r="H26"/>
    </row>
    <row r="27" spans="1:8" s="4" customFormat="1" ht="15" customHeight="1" thickTop="1" thickBot="1">
      <c r="C27" s="51"/>
      <c r="D27" s="51"/>
      <c r="E27" s="200" t="s">
        <v>243</v>
      </c>
      <c r="F27" s="58"/>
      <c r="G27" s="56" t="s">
        <v>114</v>
      </c>
      <c r="H27"/>
    </row>
    <row r="28" spans="1:8" s="4" customFormat="1" ht="15" customHeight="1" thickBot="1">
      <c r="A28" s="91"/>
      <c r="C28" s="51"/>
      <c r="D28" s="51"/>
      <c r="E28" s="200" t="s">
        <v>38</v>
      </c>
      <c r="F28" s="58"/>
      <c r="G28" s="56" t="s">
        <v>284</v>
      </c>
      <c r="H28"/>
    </row>
    <row r="29" spans="1:8" s="4" customFormat="1" ht="15" customHeight="1" thickBot="1">
      <c r="B29" s="91"/>
      <c r="C29" s="89"/>
      <c r="D29" s="89"/>
      <c r="E29" s="200" t="s">
        <v>244</v>
      </c>
      <c r="F29" s="58"/>
      <c r="G29" s="56" t="s">
        <v>285</v>
      </c>
      <c r="H29"/>
    </row>
    <row r="30" spans="1:8" s="4" customFormat="1" ht="15" customHeight="1" thickBot="1">
      <c r="C30" s="51"/>
      <c r="D30" s="51"/>
      <c r="E30" s="200" t="s">
        <v>245</v>
      </c>
      <c r="F30" s="58"/>
      <c r="G30" s="56" t="s">
        <v>225</v>
      </c>
      <c r="H30"/>
    </row>
    <row r="31" spans="1:8" s="91" customFormat="1" ht="15" customHeight="1" thickBot="1">
      <c r="B31" s="4"/>
      <c r="C31" s="51"/>
      <c r="D31" s="51"/>
      <c r="E31" s="200" t="s">
        <v>246</v>
      </c>
      <c r="F31" s="58"/>
      <c r="G31" s="56" t="s">
        <v>226</v>
      </c>
      <c r="H31"/>
    </row>
    <row r="32" spans="1:8" s="91" customFormat="1" ht="15" customHeight="1" thickBot="1">
      <c r="C32" s="89"/>
      <c r="D32" s="89"/>
      <c r="E32" s="200" t="s">
        <v>247</v>
      </c>
      <c r="F32" s="58"/>
      <c r="G32" s="56" t="s">
        <v>227</v>
      </c>
      <c r="H32"/>
    </row>
    <row r="33" spans="1:8" s="91" customFormat="1" ht="15" customHeight="1" thickBot="1">
      <c r="C33" s="89"/>
      <c r="D33" s="89"/>
      <c r="E33" s="200" t="s">
        <v>248</v>
      </c>
      <c r="F33" s="58"/>
      <c r="G33" s="56" t="s">
        <v>297</v>
      </c>
      <c r="H33"/>
    </row>
    <row r="34" spans="1:8" s="91" customFormat="1" ht="15" customHeight="1" thickBot="1">
      <c r="C34" s="89"/>
      <c r="D34" s="89"/>
      <c r="E34" s="200" t="s">
        <v>249</v>
      </c>
      <c r="F34" s="58"/>
      <c r="G34" s="56" t="s">
        <v>298</v>
      </c>
      <c r="H34"/>
    </row>
    <row r="35" spans="1:8" s="4" customFormat="1" ht="15" customHeight="1" thickBot="1">
      <c r="A35" s="91"/>
      <c r="B35" s="91"/>
      <c r="C35" s="89"/>
      <c r="D35" s="89"/>
      <c r="E35" s="200" t="s">
        <v>250</v>
      </c>
      <c r="F35" s="196"/>
      <c r="G35" s="56" t="s">
        <v>294</v>
      </c>
      <c r="H35"/>
    </row>
    <row r="36" spans="1:8" s="89" customFormat="1" ht="15" customHeight="1">
      <c r="E36" s="269"/>
      <c r="F36" s="123"/>
      <c r="G36" s="270"/>
      <c r="H36" s="271"/>
    </row>
    <row r="37" spans="1:8" s="89" customFormat="1" ht="15" customHeight="1">
      <c r="B37" s="82" t="s">
        <v>301</v>
      </c>
      <c r="C37" s="82"/>
      <c r="D37" s="82"/>
      <c r="E37" s="82"/>
      <c r="F37" s="82"/>
      <c r="G37" s="82"/>
      <c r="H37" s="271"/>
    </row>
    <row r="38" spans="1:8" s="89" customFormat="1" ht="15" customHeight="1">
      <c r="E38" s="269"/>
      <c r="F38" s="123"/>
      <c r="G38" s="270"/>
      <c r="H38" s="271"/>
    </row>
    <row r="39" spans="1:8" s="89" customFormat="1" ht="15" customHeight="1">
      <c r="E39" s="70" t="s">
        <v>302</v>
      </c>
      <c r="F39" s="70"/>
      <c r="G39" s="273" t="str">
        <f>'Op Rav'!I27</f>
        <v>TRUE</v>
      </c>
      <c r="H39" s="271"/>
    </row>
    <row r="40" spans="1:8" s="89" customFormat="1" ht="15" customHeight="1">
      <c r="E40" s="269"/>
      <c r="F40" s="123"/>
      <c r="G40" s="270"/>
      <c r="H40" s="271"/>
    </row>
    <row r="41" spans="1:8" s="89" customFormat="1" ht="15" customHeight="1">
      <c r="B41" s="82" t="s">
        <v>8</v>
      </c>
      <c r="C41" s="82"/>
      <c r="D41" s="82"/>
      <c r="E41" s="82"/>
      <c r="F41" s="82"/>
      <c r="G41" s="82"/>
      <c r="H41" s="271"/>
    </row>
    <row r="42" spans="1:8" s="89" customFormat="1" ht="15" customHeight="1">
      <c r="E42" s="272"/>
      <c r="F42" s="272"/>
      <c r="G42" s="270"/>
      <c r="H42" s="271"/>
    </row>
    <row r="43" spans="1:8" ht="15" hidden="1" customHeight="1"/>
  </sheetData>
  <sheetProtection algorithmName="SHA-512" hashValue="odZDEaJWKTJiUtlyzdeWAW+GSqirt11rdxAWXZ5C7PjJZmB68s7vEv4D0iL6LGmsbWIoXOY37XrGqAoEs+JLhw==" saltValue="TRy47lLFM98qNNd/XKrGVg==" spinCount="100000" sheet="1" objects="1" scenarios="1"/>
  <mergeCells count="1">
    <mergeCell ref="C5:G5"/>
  </mergeCells>
  <hyperlinks>
    <hyperlink ref="E23" location="Cover!A1" display="Cover" xr:uid="{00000000-0004-0000-0000-000000000000}"/>
    <hyperlink ref="E26" location="'Data sources'!A1" display="Data sources" xr:uid="{00000000-0004-0000-0000-000001000000}"/>
    <hyperlink ref="E28" location="Finance!A1" display="Finance" xr:uid="{00000000-0004-0000-0000-000002000000}"/>
    <hyperlink ref="E30" location="'Allowances Cap'!A1" display="Allowances Cap" xr:uid="{00000000-0004-0000-0000-000003000000}"/>
    <hyperlink ref="E27" location="'Pre Op RAV'!A1" display="Pre Op RAV" xr:uid="{00000000-0004-0000-0000-000004000000}"/>
    <hyperlink ref="E31" location="'Allowances Floor'!A1" display="Allowances Floor" xr:uid="{00000000-0004-0000-0000-000005000000}"/>
    <hyperlink ref="E29" location="'Op Rav'!A1" display="Op RAV" xr:uid="{00000000-0004-0000-0000-000006000000}"/>
    <hyperlink ref="E35" location="'Cap Floor Levels'!A1" display="Cap Floor Levels" xr:uid="{00000000-0004-0000-0000-000007000000}"/>
    <hyperlink ref="E32:E34" location="AllowancesFloor!A1" display="AllowancesFloor" xr:uid="{00000000-0004-0000-0000-000008000000}"/>
    <hyperlink ref="E32" location="'Tax Deductions'!A1" display="Tax Deductions" xr:uid="{00000000-0004-0000-0000-000009000000}"/>
    <hyperlink ref="E33" location="'Tax Cap'!A1" display="Tax Cap" xr:uid="{00000000-0004-0000-0000-00000A000000}"/>
    <hyperlink ref="E34" location="'Tax Floor'!A1" display="Tax Floor" xr:uid="{00000000-0004-0000-0000-00000B000000}"/>
    <hyperlink ref="E25" location="Inputs!A1" display="Inputs" xr:uid="{00000000-0004-0000-0000-00000C000000}"/>
    <hyperlink ref="E24" location="'Version Control'!A1" display="Version Control" xr:uid="{00000000-0004-0000-0000-00000D000000}"/>
  </hyperlink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5" tint="0.59999389629810485"/>
  </sheetPr>
  <dimension ref="A1:P24"/>
  <sheetViews>
    <sheetView zoomScaleNormal="100" workbookViewId="0">
      <pane ySplit="2" topLeftCell="A3" activePane="bottomLeft" state="frozen"/>
      <selection activeCell="H41" sqref="H41"/>
      <selection pane="bottomLeft" activeCell="G12" sqref="G12"/>
    </sheetView>
  </sheetViews>
  <sheetFormatPr defaultColWidth="0" defaultRowHeight="13" zeroHeight="1"/>
  <cols>
    <col min="1" max="1" width="2.69921875" style="202" customWidth="1"/>
    <col min="2" max="2" width="13.296875" style="202" bestFit="1" customWidth="1"/>
    <col min="3" max="4" width="13.296875" style="202" customWidth="1"/>
    <col min="5" max="5" width="16.59765625" style="202" customWidth="1"/>
    <col min="6" max="6" width="10.8984375" style="202" bestFit="1" customWidth="1"/>
    <col min="7" max="7" width="23.3984375" style="202" bestFit="1" customWidth="1"/>
    <col min="8" max="8" width="28.59765625" style="202" customWidth="1"/>
    <col min="9" max="9" width="16.8984375" style="202" bestFit="1" customWidth="1"/>
    <col min="10" max="10" width="26.59765625" style="202" customWidth="1"/>
    <col min="11" max="11" width="16.8984375" style="202" customWidth="1"/>
    <col min="12" max="12" width="18.296875" style="202" customWidth="1"/>
    <col min="13" max="13" width="3.09765625" style="203" customWidth="1"/>
    <col min="14" max="16" width="0" style="202" hidden="1" customWidth="1"/>
    <col min="17" max="16384" width="10.8984375" style="202" hidden="1"/>
  </cols>
  <sheetData>
    <row r="1" spans="1:13" s="206" customFormat="1" ht="14.5">
      <c r="A1" s="268" t="s">
        <v>279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5"/>
    </row>
    <row r="2" spans="1:13" s="206" customFormat="1" ht="26">
      <c r="A2" s="204"/>
      <c r="B2" s="267" t="s">
        <v>251</v>
      </c>
      <c r="C2" s="267" t="s">
        <v>252</v>
      </c>
      <c r="D2" s="267" t="s">
        <v>253</v>
      </c>
      <c r="E2" s="267" t="s">
        <v>254</v>
      </c>
      <c r="F2" s="267" t="s">
        <v>255</v>
      </c>
      <c r="G2" s="267" t="s">
        <v>256</v>
      </c>
      <c r="H2" s="267" t="s">
        <v>257</v>
      </c>
      <c r="I2" s="267" t="s">
        <v>258</v>
      </c>
      <c r="J2" s="267" t="s">
        <v>259</v>
      </c>
      <c r="K2" s="267" t="s">
        <v>260</v>
      </c>
      <c r="L2" s="267" t="s">
        <v>261</v>
      </c>
      <c r="M2" s="205"/>
    </row>
    <row r="3" spans="1:13" s="207" customFormat="1">
      <c r="B3" s="208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3"/>
    </row>
    <row r="4" spans="1:13" ht="26">
      <c r="B4" s="209">
        <v>1.1000000000000001</v>
      </c>
      <c r="C4" s="247" t="s">
        <v>286</v>
      </c>
      <c r="D4" s="211" t="s">
        <v>262</v>
      </c>
      <c r="E4" s="209" t="s">
        <v>295</v>
      </c>
      <c r="F4" s="212">
        <v>42766</v>
      </c>
      <c r="G4" s="214" t="s">
        <v>262</v>
      </c>
      <c r="H4" s="214" t="s">
        <v>262</v>
      </c>
      <c r="I4" s="214" t="s">
        <v>262</v>
      </c>
      <c r="J4" s="214" t="s">
        <v>262</v>
      </c>
      <c r="K4" s="214" t="s">
        <v>269</v>
      </c>
      <c r="L4" s="214" t="s">
        <v>271</v>
      </c>
    </row>
    <row r="5" spans="1:13" ht="39">
      <c r="B5" s="209">
        <v>2.1</v>
      </c>
      <c r="C5" s="247" t="s">
        <v>286</v>
      </c>
      <c r="D5" s="211">
        <v>1.1000000000000001</v>
      </c>
      <c r="E5" s="209" t="s">
        <v>263</v>
      </c>
      <c r="F5" s="212">
        <v>43544</v>
      </c>
      <c r="G5" s="214" t="s">
        <v>273</v>
      </c>
      <c r="H5" s="214" t="s">
        <v>272</v>
      </c>
      <c r="I5" s="214" t="s">
        <v>266</v>
      </c>
      <c r="J5" s="214" t="s">
        <v>267</v>
      </c>
      <c r="K5" s="214" t="s">
        <v>270</v>
      </c>
      <c r="L5" s="214" t="s">
        <v>268</v>
      </c>
    </row>
    <row r="6" spans="1:13" ht="39">
      <c r="B6" s="209">
        <v>2.2000000000000002</v>
      </c>
      <c r="C6" s="281" t="s">
        <v>286</v>
      </c>
      <c r="D6" s="211">
        <v>2.1</v>
      </c>
      <c r="E6" s="209" t="s">
        <v>263</v>
      </c>
      <c r="F6" s="248">
        <v>43713</v>
      </c>
      <c r="G6" s="214" t="s">
        <v>274</v>
      </c>
      <c r="H6" s="214" t="s">
        <v>289</v>
      </c>
      <c r="I6" s="214" t="s">
        <v>266</v>
      </c>
      <c r="J6" s="214" t="s">
        <v>267</v>
      </c>
      <c r="K6" s="214" t="s">
        <v>270</v>
      </c>
      <c r="L6" s="214" t="s">
        <v>287</v>
      </c>
    </row>
    <row r="7" spans="1:13" ht="65">
      <c r="B7" s="209">
        <v>2.2999999999999998</v>
      </c>
      <c r="C7" s="209"/>
      <c r="D7" s="211">
        <v>2.2000000000000002</v>
      </c>
      <c r="E7" s="209" t="s">
        <v>263</v>
      </c>
      <c r="F7" s="248">
        <v>44057</v>
      </c>
      <c r="G7" s="214" t="s">
        <v>306</v>
      </c>
      <c r="H7" s="214" t="s">
        <v>305</v>
      </c>
      <c r="I7" s="214" t="s">
        <v>307</v>
      </c>
      <c r="J7" s="214" t="s">
        <v>310</v>
      </c>
      <c r="K7" s="214" t="s">
        <v>270</v>
      </c>
      <c r="L7" s="214" t="s">
        <v>308</v>
      </c>
    </row>
    <row r="8" spans="1:13" ht="65">
      <c r="B8" s="209">
        <v>2.4</v>
      </c>
      <c r="C8" s="209"/>
      <c r="D8" s="211">
        <v>2.2999999999999998</v>
      </c>
      <c r="E8" s="209" t="s">
        <v>325</v>
      </c>
      <c r="F8" s="212">
        <v>44740</v>
      </c>
      <c r="G8" s="209" t="s">
        <v>330</v>
      </c>
      <c r="H8" s="209" t="s">
        <v>326</v>
      </c>
      <c r="I8" s="209" t="s">
        <v>324</v>
      </c>
      <c r="J8" s="209" t="s">
        <v>328</v>
      </c>
      <c r="K8" s="209" t="s">
        <v>327</v>
      </c>
      <c r="L8" s="214" t="s">
        <v>329</v>
      </c>
    </row>
    <row r="9" spans="1:13">
      <c r="B9" s="209"/>
      <c r="C9" s="209"/>
      <c r="D9" s="211"/>
      <c r="E9" s="209"/>
      <c r="F9" s="212"/>
      <c r="G9" s="209"/>
      <c r="H9" s="209"/>
      <c r="I9" s="209"/>
      <c r="J9" s="209"/>
      <c r="K9" s="209"/>
      <c r="L9" s="209"/>
    </row>
    <row r="10" spans="1:13">
      <c r="B10" s="209"/>
      <c r="C10" s="209"/>
      <c r="D10" s="211"/>
      <c r="E10" s="209"/>
      <c r="F10" s="212"/>
      <c r="G10" s="209"/>
      <c r="H10" s="209"/>
      <c r="I10" s="209"/>
      <c r="J10" s="209"/>
      <c r="K10" s="209"/>
      <c r="L10" s="209"/>
    </row>
    <row r="11" spans="1:13">
      <c r="B11" s="209"/>
      <c r="C11" s="209"/>
      <c r="D11" s="211"/>
      <c r="E11" s="209"/>
      <c r="F11" s="212"/>
      <c r="G11" s="209"/>
      <c r="H11" s="209"/>
      <c r="I11" s="209"/>
      <c r="J11" s="209"/>
      <c r="K11" s="209"/>
      <c r="L11" s="209"/>
    </row>
    <row r="12" spans="1:13">
      <c r="B12" s="209"/>
      <c r="C12" s="209"/>
      <c r="D12" s="211"/>
      <c r="E12" s="209"/>
      <c r="F12" s="212"/>
      <c r="G12" s="209"/>
      <c r="H12" s="209"/>
      <c r="I12" s="209"/>
      <c r="J12" s="209"/>
      <c r="K12" s="209"/>
      <c r="L12" s="209"/>
    </row>
    <row r="13" spans="1:13"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</row>
    <row r="14" spans="1:13">
      <c r="B14" s="213"/>
      <c r="C14" s="213"/>
      <c r="D14" s="213"/>
      <c r="E14" s="213"/>
      <c r="F14" s="213"/>
      <c r="G14" s="213"/>
      <c r="H14" s="213"/>
      <c r="I14" s="213"/>
      <c r="J14" s="213"/>
      <c r="K14" s="213"/>
      <c r="L14" s="213"/>
    </row>
    <row r="15" spans="1:13">
      <c r="B15" s="213"/>
      <c r="C15" s="213"/>
      <c r="D15" s="213"/>
      <c r="E15" s="213"/>
      <c r="F15" s="213"/>
      <c r="G15" s="213"/>
      <c r="H15" s="213"/>
      <c r="I15" s="213"/>
      <c r="J15" s="213"/>
      <c r="K15" s="213"/>
      <c r="L15" s="213"/>
    </row>
    <row r="16" spans="1:13">
      <c r="B16" s="213"/>
      <c r="C16" s="213"/>
      <c r="D16" s="213"/>
      <c r="E16" s="213"/>
      <c r="F16" s="213"/>
      <c r="G16" s="213"/>
      <c r="H16" s="213"/>
      <c r="I16" s="213"/>
      <c r="J16" s="213"/>
      <c r="K16" s="213"/>
      <c r="L16" s="213"/>
    </row>
    <row r="17" spans="2:12">
      <c r="B17" s="213"/>
      <c r="C17" s="213"/>
      <c r="D17" s="213"/>
      <c r="E17" s="213"/>
      <c r="F17" s="213"/>
      <c r="G17" s="213"/>
      <c r="H17" s="213"/>
      <c r="I17" s="213"/>
      <c r="J17" s="213"/>
      <c r="K17" s="213"/>
      <c r="L17" s="213"/>
    </row>
    <row r="18" spans="2:12">
      <c r="B18" s="213"/>
      <c r="C18" s="213"/>
      <c r="D18" s="213"/>
      <c r="E18" s="213"/>
      <c r="F18" s="213"/>
      <c r="G18" s="213"/>
      <c r="H18" s="213"/>
      <c r="I18" s="213"/>
      <c r="J18" s="213"/>
      <c r="K18" s="213"/>
      <c r="L18" s="213"/>
    </row>
    <row r="19" spans="2:12"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</row>
    <row r="20" spans="2:12">
      <c r="B20" s="213"/>
      <c r="C20" s="213"/>
      <c r="D20" s="213"/>
      <c r="E20" s="213"/>
      <c r="F20" s="213"/>
      <c r="G20" s="213"/>
      <c r="H20" s="213"/>
      <c r="I20" s="213"/>
      <c r="J20" s="213"/>
      <c r="K20" s="213"/>
      <c r="L20" s="213"/>
    </row>
    <row r="21" spans="2:12"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</row>
    <row r="22" spans="2:12">
      <c r="B22" s="213"/>
      <c r="C22" s="213"/>
      <c r="D22" s="213"/>
      <c r="E22" s="213"/>
      <c r="F22" s="213"/>
      <c r="G22" s="213"/>
      <c r="H22" s="213"/>
      <c r="I22" s="213"/>
      <c r="J22" s="213"/>
      <c r="K22" s="213"/>
      <c r="L22" s="213"/>
    </row>
    <row r="23" spans="2:12">
      <c r="B23" s="213"/>
      <c r="C23" s="213"/>
      <c r="D23" s="213"/>
      <c r="E23" s="213"/>
      <c r="F23" s="213"/>
      <c r="G23" s="213"/>
      <c r="H23" s="213"/>
      <c r="I23" s="213"/>
      <c r="J23" s="213"/>
      <c r="K23" s="213"/>
      <c r="L23" s="213"/>
    </row>
    <row r="24" spans="2:12"/>
  </sheetData>
  <sheetProtection algorithmName="SHA-512" hashValue="djKrjhJwtCFJNW3PmTbXO3QJiy4UB8f8k0Dz3Sr3tBKVUiNVfsO1Jbv4W1Y9J5i81ByFGH2S09l9skgTT44f3w==" saltValue="x47+7EAQNkzfGIUl29IlKg==" spinCount="100000" sheet="1" objects="1" scenarios="1"/>
  <hyperlinks>
    <hyperlink ref="C4" r:id="rId1" xr:uid="{00000000-0004-0000-0100-000000000000}"/>
    <hyperlink ref="C5" r:id="rId2" xr:uid="{00000000-0004-0000-0100-000001000000}"/>
    <hyperlink ref="C6" r:id="rId3" xr:uid="{00000000-0004-0000-0100-000002000000}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CC"/>
    <pageSetUpPr fitToPage="1"/>
  </sheetPr>
  <dimension ref="A1:XFB126"/>
  <sheetViews>
    <sheetView zoomScale="90" zoomScaleNormal="90" workbookViewId="0">
      <pane xSplit="10" ySplit="2" topLeftCell="K22" activePane="bottomRight" state="frozen"/>
      <selection activeCell="H41" sqref="H41"/>
      <selection pane="topRight" activeCell="H41" sqref="H41"/>
      <selection pane="bottomLeft" activeCell="H41" sqref="H41"/>
      <selection pane="bottomRight" activeCell="H41" sqref="H41"/>
    </sheetView>
  </sheetViews>
  <sheetFormatPr defaultColWidth="0" defaultRowHeight="15" customHeight="1" zeroHeight="1"/>
  <cols>
    <col min="1" max="4" width="2.59765625" style="4" customWidth="1"/>
    <col min="5" max="5" width="54.09765625" style="4" bestFit="1" customWidth="1"/>
    <col min="6" max="6" width="1.59765625" style="4" customWidth="1"/>
    <col min="7" max="7" width="15.59765625" style="4" customWidth="1"/>
    <col min="8" max="8" width="13.296875" style="4" customWidth="1"/>
    <col min="9" max="9" width="14" style="4" bestFit="1" customWidth="1"/>
    <col min="10" max="10" width="1.59765625" style="4" customWidth="1"/>
    <col min="11" max="15" width="10.59765625" style="80" customWidth="1"/>
    <col min="16" max="31" width="10.59765625" style="4" customWidth="1"/>
    <col min="32" max="32" width="11.59765625" style="4" bestFit="1" customWidth="1"/>
    <col min="33" max="48" width="10.59765625" style="4" customWidth="1"/>
    <col min="49" max="50" width="9.8984375" style="4" customWidth="1"/>
    <col min="51" max="51" width="4.3984375" customWidth="1"/>
    <col min="52" max="52" width="9.69921875" hidden="1" customWidth="1"/>
    <col min="53" max="53" width="10.09765625" hidden="1"/>
    <col min="54" max="16382" width="9.09765625" hidden="1"/>
    <col min="16383" max="16384" width="2.09765625" hidden="1"/>
  </cols>
  <sheetData>
    <row r="1" spans="1:53" ht="14.5">
      <c r="A1" s="242" t="s">
        <v>9</v>
      </c>
      <c r="B1" s="16"/>
      <c r="C1" s="16"/>
      <c r="D1" s="16"/>
      <c r="E1" s="16"/>
      <c r="F1" s="16"/>
      <c r="G1" s="16"/>
      <c r="H1" s="16" t="s">
        <v>73</v>
      </c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</row>
    <row r="2" spans="1:53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6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6"/>
      <c r="AQ2" s="16"/>
      <c r="AR2" s="16"/>
      <c r="AS2" s="16"/>
      <c r="AT2" s="16"/>
      <c r="AU2" s="16"/>
      <c r="AV2" s="16"/>
      <c r="AW2" s="16"/>
      <c r="AX2" s="16"/>
    </row>
    <row r="3" spans="1:53" ht="15" customHeight="1"/>
    <row r="4" spans="1:53" ht="15" customHeight="1">
      <c r="A4" s="91"/>
      <c r="B4" s="188" t="s">
        <v>216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</row>
    <row r="5" spans="1:53" ht="15" customHeigh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</row>
    <row r="6" spans="1:53" ht="15" customHeight="1">
      <c r="A6" s="91"/>
      <c r="B6" s="91"/>
      <c r="C6" s="91"/>
      <c r="D6" s="91"/>
      <c r="E6" s="89" t="s">
        <v>291</v>
      </c>
      <c r="F6" s="89"/>
      <c r="G6" s="89" t="s">
        <v>221</v>
      </c>
      <c r="H6" s="89"/>
      <c r="I6" s="160">
        <v>1</v>
      </c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</row>
    <row r="7" spans="1:53" ht="15" customHeight="1">
      <c r="A7" s="91"/>
      <c r="B7" s="91"/>
      <c r="C7" s="91"/>
      <c r="D7" s="91"/>
      <c r="E7" s="89" t="s">
        <v>292</v>
      </c>
      <c r="F7" s="89"/>
      <c r="G7" s="89" t="s">
        <v>11</v>
      </c>
      <c r="H7" s="89"/>
      <c r="I7" s="161">
        <f>100%-I6</f>
        <v>0</v>
      </c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</row>
    <row r="8" spans="1:53" ht="15" customHeigh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3" ht="15" customHeight="1">
      <c r="A9"/>
      <c r="B9" s="91"/>
      <c r="C9" s="91"/>
      <c r="D9" s="91"/>
      <c r="E9" s="91" t="s">
        <v>215</v>
      </c>
      <c r="F9" s="91"/>
      <c r="G9" s="91" t="s">
        <v>212</v>
      </c>
      <c r="H9" s="91"/>
      <c r="I9" s="181" t="s">
        <v>303</v>
      </c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</row>
    <row r="10" spans="1:53" s="83" customFormat="1" ht="15" customHeight="1">
      <c r="A10"/>
      <c r="AY10"/>
      <c r="AZ10"/>
      <c r="BA10"/>
    </row>
    <row r="11" spans="1:53" s="83" customFormat="1" ht="15" customHeight="1">
      <c r="A11"/>
      <c r="E11" s="83" t="s">
        <v>217</v>
      </c>
      <c r="G11" s="91" t="s">
        <v>212</v>
      </c>
      <c r="I11" s="250" t="s">
        <v>318</v>
      </c>
      <c r="AY11"/>
      <c r="AZ11"/>
      <c r="BA11"/>
    </row>
    <row r="12" spans="1:53" s="52" customFormat="1" ht="15" customHeight="1">
      <c r="I12" s="182"/>
      <c r="AY12"/>
      <c r="AZ12"/>
      <c r="BA12"/>
    </row>
    <row r="13" spans="1:53" ht="15" customHeight="1">
      <c r="A13" s="83"/>
      <c r="B13" s="188" t="s">
        <v>57</v>
      </c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</row>
    <row r="14" spans="1:53" ht="15" customHeight="1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</row>
    <row r="15" spans="1:53" ht="15" customHeight="1">
      <c r="A15" s="83"/>
      <c r="B15" s="83"/>
      <c r="C15" s="13" t="s">
        <v>228</v>
      </c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</row>
    <row r="16" spans="1:53" ht="15" customHeight="1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</row>
    <row r="17" spans="1:50" ht="15" customHeight="1">
      <c r="A17" s="99"/>
      <c r="B17" s="99"/>
      <c r="C17" s="99"/>
      <c r="D17" s="99"/>
      <c r="E17" s="11" t="s">
        <v>80</v>
      </c>
      <c r="F17" s="101"/>
      <c r="G17" s="101"/>
      <c r="H17" s="101"/>
      <c r="I17" s="101"/>
      <c r="J17" s="100"/>
      <c r="K17" s="24">
        <f>$I$84</f>
        <v>39904</v>
      </c>
      <c r="L17" s="12">
        <f>+K18+1</f>
        <v>40269</v>
      </c>
      <c r="M17" s="12">
        <f>+L18+1</f>
        <v>40634</v>
      </c>
      <c r="N17" s="12">
        <f t="shared" ref="N17" si="0">+M18+1</f>
        <v>41000</v>
      </c>
      <c r="O17" s="12">
        <f t="shared" ref="O17" si="1">+N18+1</f>
        <v>41365</v>
      </c>
      <c r="P17" s="12">
        <f t="shared" ref="P17" si="2">+O18+1</f>
        <v>41730</v>
      </c>
      <c r="Q17" s="12">
        <f t="shared" ref="Q17" si="3">+P18+1</f>
        <v>42095</v>
      </c>
      <c r="R17" s="12">
        <f t="shared" ref="R17" si="4">+Q18+1</f>
        <v>42461</v>
      </c>
      <c r="S17" s="12">
        <f t="shared" ref="S17" si="5">+R18+1</f>
        <v>42826</v>
      </c>
      <c r="T17" s="12">
        <f t="shared" ref="T17" si="6">+S18+1</f>
        <v>43191</v>
      </c>
      <c r="U17" s="12">
        <f t="shared" ref="U17" si="7">+T18+1</f>
        <v>43556</v>
      </c>
      <c r="V17" s="12">
        <f t="shared" ref="V17" si="8">+U18+1</f>
        <v>43922</v>
      </c>
      <c r="W17" s="12">
        <f t="shared" ref="W17" si="9">+V18+1</f>
        <v>44287</v>
      </c>
      <c r="X17" s="12">
        <f t="shared" ref="X17" si="10">+W18+1</f>
        <v>44652</v>
      </c>
      <c r="Y17" s="12">
        <f t="shared" ref="Y17" si="11">+X18+1</f>
        <v>45017</v>
      </c>
      <c r="Z17" s="12">
        <f t="shared" ref="Z17" si="12">+Y18+1</f>
        <v>45383</v>
      </c>
      <c r="AA17" s="12">
        <f t="shared" ref="AA17" si="13">+Z18+1</f>
        <v>45748</v>
      </c>
      <c r="AB17" s="12">
        <f t="shared" ref="AB17" si="14">+AA18+1</f>
        <v>46113</v>
      </c>
      <c r="AC17" s="12">
        <f t="shared" ref="AC17" si="15">+AB18+1</f>
        <v>46478</v>
      </c>
      <c r="AD17" s="12">
        <f t="shared" ref="AD17" si="16">+AC18+1</f>
        <v>46844</v>
      </c>
      <c r="AE17" s="12">
        <f t="shared" ref="AE17" si="17">+AD18+1</f>
        <v>47209</v>
      </c>
      <c r="AF17" s="12">
        <f t="shared" ref="AF17" si="18">+AE18+1</f>
        <v>47574</v>
      </c>
      <c r="AG17" s="12">
        <f t="shared" ref="AG17" si="19">+AF18+1</f>
        <v>47939</v>
      </c>
      <c r="AH17" s="12">
        <f t="shared" ref="AH17" si="20">+AG18+1</f>
        <v>48305</v>
      </c>
      <c r="AI17" s="12">
        <f t="shared" ref="AI17" si="21">+AH18+1</f>
        <v>48670</v>
      </c>
      <c r="AJ17" s="12">
        <f t="shared" ref="AJ17" si="22">+AI18+1</f>
        <v>49035</v>
      </c>
      <c r="AK17" s="12">
        <f t="shared" ref="AK17" si="23">+AJ18+1</f>
        <v>49400</v>
      </c>
      <c r="AL17" s="12">
        <f t="shared" ref="AL17" si="24">+AK18+1</f>
        <v>49766</v>
      </c>
      <c r="AM17" s="12">
        <f t="shared" ref="AM17" si="25">+AL18+1</f>
        <v>50131</v>
      </c>
      <c r="AN17" s="12">
        <f t="shared" ref="AN17" si="26">+AM18+1</f>
        <v>50496</v>
      </c>
      <c r="AO17" s="12">
        <f t="shared" ref="AO17" si="27">+AN18+1</f>
        <v>50861</v>
      </c>
      <c r="AP17" s="12">
        <f t="shared" ref="AP17" si="28">+AO18+1</f>
        <v>51227</v>
      </c>
      <c r="AQ17" s="12">
        <f t="shared" ref="AQ17" si="29">+AP18+1</f>
        <v>51592</v>
      </c>
      <c r="AR17" s="12">
        <f t="shared" ref="AR17" si="30">+AQ18+1</f>
        <v>51957</v>
      </c>
      <c r="AS17" s="12">
        <f t="shared" ref="AS17" si="31">+AR18+1</f>
        <v>52322</v>
      </c>
      <c r="AT17" s="12">
        <f t="shared" ref="AT17" si="32">+AS18+1</f>
        <v>52688</v>
      </c>
      <c r="AU17" s="12">
        <f t="shared" ref="AU17" si="33">+AT18+1</f>
        <v>53053</v>
      </c>
      <c r="AV17" s="12">
        <f t="shared" ref="AV17" si="34">+AU18+1</f>
        <v>53418</v>
      </c>
      <c r="AW17" s="12">
        <f t="shared" ref="AW17" si="35">+AV18+1</f>
        <v>53783</v>
      </c>
      <c r="AX17" s="12">
        <f t="shared" ref="AX17" si="36">+AW18+1</f>
        <v>54149</v>
      </c>
    </row>
    <row r="18" spans="1:50" ht="15" customHeight="1">
      <c r="A18" s="102"/>
      <c r="B18" s="102"/>
      <c r="C18" s="102"/>
      <c r="D18" s="102"/>
      <c r="E18" s="11" t="s">
        <v>5</v>
      </c>
      <c r="F18" s="102"/>
      <c r="G18" s="102"/>
      <c r="H18" s="102"/>
      <c r="I18" s="103"/>
      <c r="J18" s="102"/>
      <c r="K18" s="24">
        <f>EOMONTH(K17,11)</f>
        <v>40268</v>
      </c>
      <c r="L18" s="12">
        <f t="shared" ref="L18" si="37">DATE(YEAR(K18) + 1, MONTH(K18), DAY(K18))</f>
        <v>40633</v>
      </c>
      <c r="M18" s="12">
        <f t="shared" ref="M18" si="38">DATE(YEAR(L18) + 1, MONTH(L18), DAY(L18))</f>
        <v>40999</v>
      </c>
      <c r="N18" s="12">
        <f t="shared" ref="N18" si="39">DATE(YEAR(M18) + 1, MONTH(M18), DAY(M18))</f>
        <v>41364</v>
      </c>
      <c r="O18" s="12">
        <f t="shared" ref="O18" si="40">DATE(YEAR(N18) + 1, MONTH(N18), DAY(N18))</f>
        <v>41729</v>
      </c>
      <c r="P18" s="12">
        <f t="shared" ref="P18" si="41">DATE(YEAR(O18) + 1, MONTH(O18), DAY(O18))</f>
        <v>42094</v>
      </c>
      <c r="Q18" s="12">
        <f t="shared" ref="Q18" si="42">DATE(YEAR(P18) + 1, MONTH(P18), DAY(P18))</f>
        <v>42460</v>
      </c>
      <c r="R18" s="12">
        <f t="shared" ref="R18" si="43">DATE(YEAR(Q18) + 1, MONTH(Q18), DAY(Q18))</f>
        <v>42825</v>
      </c>
      <c r="S18" s="12">
        <f t="shared" ref="S18" si="44">DATE(YEAR(R18) + 1, MONTH(R18), DAY(R18))</f>
        <v>43190</v>
      </c>
      <c r="T18" s="12">
        <f t="shared" ref="T18" si="45">DATE(YEAR(S18) + 1, MONTH(S18), DAY(S18))</f>
        <v>43555</v>
      </c>
      <c r="U18" s="12">
        <f t="shared" ref="U18" si="46">DATE(YEAR(T18) + 1, MONTH(T18), DAY(T18))</f>
        <v>43921</v>
      </c>
      <c r="V18" s="12">
        <f t="shared" ref="V18" si="47">DATE(YEAR(U18) + 1, MONTH(U18), DAY(U18))</f>
        <v>44286</v>
      </c>
      <c r="W18" s="12">
        <f t="shared" ref="W18" si="48">DATE(YEAR(V18) + 1, MONTH(V18), DAY(V18))</f>
        <v>44651</v>
      </c>
      <c r="X18" s="12">
        <f t="shared" ref="X18" si="49">DATE(YEAR(W18) + 1, MONTH(W18), DAY(W18))</f>
        <v>45016</v>
      </c>
      <c r="Y18" s="12">
        <f t="shared" ref="Y18" si="50">DATE(YEAR(X18) + 1, MONTH(X18), DAY(X18))</f>
        <v>45382</v>
      </c>
      <c r="Z18" s="12">
        <f t="shared" ref="Z18" si="51">DATE(YEAR(Y18) + 1, MONTH(Y18), DAY(Y18))</f>
        <v>45747</v>
      </c>
      <c r="AA18" s="12">
        <f t="shared" ref="AA18" si="52">DATE(YEAR(Z18) + 1, MONTH(Z18), DAY(Z18))</f>
        <v>46112</v>
      </c>
      <c r="AB18" s="12">
        <f t="shared" ref="AB18" si="53">DATE(YEAR(AA18) + 1, MONTH(AA18), DAY(AA18))</f>
        <v>46477</v>
      </c>
      <c r="AC18" s="12">
        <f t="shared" ref="AC18" si="54">DATE(YEAR(AB18) + 1, MONTH(AB18), DAY(AB18))</f>
        <v>46843</v>
      </c>
      <c r="AD18" s="12">
        <f t="shared" ref="AD18" si="55">DATE(YEAR(AC18) + 1, MONTH(AC18), DAY(AC18))</f>
        <v>47208</v>
      </c>
      <c r="AE18" s="12">
        <f t="shared" ref="AE18" si="56">DATE(YEAR(AD18) + 1, MONTH(AD18), DAY(AD18))</f>
        <v>47573</v>
      </c>
      <c r="AF18" s="12">
        <f t="shared" ref="AF18" si="57">DATE(YEAR(AE18) + 1, MONTH(AE18), DAY(AE18))</f>
        <v>47938</v>
      </c>
      <c r="AG18" s="12">
        <f t="shared" ref="AG18" si="58">DATE(YEAR(AF18) + 1, MONTH(AF18), DAY(AF18))</f>
        <v>48304</v>
      </c>
      <c r="AH18" s="12">
        <f t="shared" ref="AH18" si="59">DATE(YEAR(AG18) + 1, MONTH(AG18), DAY(AG18))</f>
        <v>48669</v>
      </c>
      <c r="AI18" s="12">
        <f t="shared" ref="AI18" si="60">DATE(YEAR(AH18) + 1, MONTH(AH18), DAY(AH18))</f>
        <v>49034</v>
      </c>
      <c r="AJ18" s="12">
        <f t="shared" ref="AJ18" si="61">DATE(YEAR(AI18) + 1, MONTH(AI18), DAY(AI18))</f>
        <v>49399</v>
      </c>
      <c r="AK18" s="12">
        <f t="shared" ref="AK18" si="62">DATE(YEAR(AJ18) + 1, MONTH(AJ18), DAY(AJ18))</f>
        <v>49765</v>
      </c>
      <c r="AL18" s="12">
        <f t="shared" ref="AL18" si="63">DATE(YEAR(AK18) + 1, MONTH(AK18), DAY(AK18))</f>
        <v>50130</v>
      </c>
      <c r="AM18" s="12">
        <f t="shared" ref="AM18" si="64">DATE(YEAR(AL18) + 1, MONTH(AL18), DAY(AL18))</f>
        <v>50495</v>
      </c>
      <c r="AN18" s="12">
        <f t="shared" ref="AN18" si="65">DATE(YEAR(AM18) + 1, MONTH(AM18), DAY(AM18))</f>
        <v>50860</v>
      </c>
      <c r="AO18" s="12">
        <f t="shared" ref="AO18" si="66">DATE(YEAR(AN18) + 1, MONTH(AN18), DAY(AN18))</f>
        <v>51226</v>
      </c>
      <c r="AP18" s="12">
        <f t="shared" ref="AP18" si="67">DATE(YEAR(AO18) + 1, MONTH(AO18), DAY(AO18))</f>
        <v>51591</v>
      </c>
      <c r="AQ18" s="12">
        <f t="shared" ref="AQ18" si="68">DATE(YEAR(AP18) + 1, MONTH(AP18), DAY(AP18))</f>
        <v>51956</v>
      </c>
      <c r="AR18" s="12">
        <f t="shared" ref="AR18" si="69">DATE(YEAR(AQ18) + 1, MONTH(AQ18), DAY(AQ18))</f>
        <v>52321</v>
      </c>
      <c r="AS18" s="12">
        <f t="shared" ref="AS18" si="70">DATE(YEAR(AR18) + 1, MONTH(AR18), DAY(AR18))</f>
        <v>52687</v>
      </c>
      <c r="AT18" s="12">
        <f t="shared" ref="AT18" si="71">DATE(YEAR(AS18) + 1, MONTH(AS18), DAY(AS18))</f>
        <v>53052</v>
      </c>
      <c r="AU18" s="12">
        <f t="shared" ref="AU18" si="72">DATE(YEAR(AT18) + 1, MONTH(AT18), DAY(AT18))</f>
        <v>53417</v>
      </c>
      <c r="AV18" s="12">
        <f t="shared" ref="AV18" si="73">DATE(YEAR(AU18) + 1, MONTH(AU18), DAY(AU18))</f>
        <v>53782</v>
      </c>
      <c r="AW18" s="12">
        <f t="shared" ref="AW18" si="74">DATE(YEAR(AV18) + 1, MONTH(AV18), DAY(AV18))</f>
        <v>54148</v>
      </c>
      <c r="AX18" s="12">
        <f t="shared" ref="AX18" si="75">DATE(YEAR(AW18) + 1, MONTH(AW18), DAY(AW18))</f>
        <v>54513</v>
      </c>
    </row>
    <row r="19" spans="1:50" ht="15" customHeight="1">
      <c r="E19" s="80"/>
    </row>
    <row r="20" spans="1:50" ht="15" customHeight="1">
      <c r="A20"/>
      <c r="B20" s="91"/>
      <c r="C20" s="91"/>
      <c r="D20" s="91"/>
      <c r="E20" s="91" t="s">
        <v>62</v>
      </c>
      <c r="F20" s="91"/>
      <c r="G20" s="89" t="str">
        <f>CONCATENATE($I$9,"m nominal")</f>
        <v>£m nominal</v>
      </c>
      <c r="H20" s="91"/>
      <c r="I20" s="91"/>
      <c r="J20" s="91"/>
      <c r="K20" s="275">
        <v>0</v>
      </c>
      <c r="L20" s="275">
        <v>4.2914820000000006E-2</v>
      </c>
      <c r="M20" s="275">
        <v>0.25841051999999998</v>
      </c>
      <c r="N20" s="275">
        <v>0.70376327000000005</v>
      </c>
      <c r="O20" s="275">
        <v>1.1280101900000001</v>
      </c>
      <c r="P20" s="275">
        <v>1.88373799</v>
      </c>
      <c r="Q20" s="275">
        <v>3.8218000700000001</v>
      </c>
      <c r="R20" s="275">
        <v>2.1858180343102038</v>
      </c>
      <c r="S20" s="275">
        <v>0</v>
      </c>
      <c r="T20" s="275">
        <v>0</v>
      </c>
      <c r="U20" s="275">
        <v>0</v>
      </c>
      <c r="V20" s="275">
        <v>0</v>
      </c>
      <c r="W20" s="275">
        <v>0</v>
      </c>
      <c r="X20" s="275">
        <v>0</v>
      </c>
      <c r="Y20" s="275">
        <v>0</v>
      </c>
      <c r="Z20" s="275">
        <v>0</v>
      </c>
      <c r="AA20" s="275">
        <v>0</v>
      </c>
      <c r="AB20" s="275">
        <v>0</v>
      </c>
      <c r="AC20" s="275">
        <v>0</v>
      </c>
      <c r="AD20" s="275">
        <v>0</v>
      </c>
      <c r="AE20" s="275">
        <v>0</v>
      </c>
      <c r="AF20" s="275">
        <v>0</v>
      </c>
      <c r="AG20" s="275">
        <v>0</v>
      </c>
      <c r="AH20" s="275">
        <v>0</v>
      </c>
      <c r="AI20" s="275">
        <v>0</v>
      </c>
      <c r="AJ20" s="275">
        <v>0</v>
      </c>
      <c r="AK20" s="275">
        <v>0</v>
      </c>
      <c r="AL20" s="275">
        <v>0</v>
      </c>
      <c r="AM20" s="275">
        <v>0</v>
      </c>
      <c r="AN20" s="275">
        <v>0</v>
      </c>
      <c r="AO20" s="275">
        <v>0</v>
      </c>
      <c r="AP20" s="275">
        <v>0</v>
      </c>
      <c r="AQ20" s="275">
        <v>0</v>
      </c>
      <c r="AR20" s="275">
        <v>0</v>
      </c>
      <c r="AS20" s="275">
        <v>0</v>
      </c>
      <c r="AT20" s="275">
        <v>0</v>
      </c>
      <c r="AU20" s="275">
        <v>0</v>
      </c>
      <c r="AV20" s="275">
        <v>0</v>
      </c>
      <c r="AW20" s="275">
        <v>0</v>
      </c>
      <c r="AX20" s="275">
        <v>0</v>
      </c>
    </row>
    <row r="21" spans="1:50" ht="15" customHeight="1">
      <c r="A21"/>
      <c r="B21" s="91"/>
      <c r="C21" s="91"/>
      <c r="D21" s="91"/>
      <c r="E21" s="91" t="s">
        <v>6</v>
      </c>
      <c r="F21" s="91"/>
      <c r="G21" s="89" t="str">
        <f t="shared" ref="G21:G22" si="76">CONCATENATE($I$9,"m nominal")</f>
        <v>£m nominal</v>
      </c>
      <c r="H21" s="91"/>
      <c r="I21" s="91"/>
      <c r="J21" s="91"/>
      <c r="K21" s="275">
        <v>0</v>
      </c>
      <c r="L21" s="275">
        <v>0</v>
      </c>
      <c r="M21" s="275">
        <v>0</v>
      </c>
      <c r="N21" s="275">
        <v>0</v>
      </c>
      <c r="O21" s="275">
        <v>0</v>
      </c>
      <c r="P21" s="275">
        <v>0</v>
      </c>
      <c r="Q21" s="275">
        <v>0</v>
      </c>
      <c r="R21" s="275">
        <v>1.57586067</v>
      </c>
      <c r="S21" s="275">
        <v>56.9063338087714</v>
      </c>
      <c r="T21" s="275">
        <v>122.21389563204501</v>
      </c>
      <c r="U21" s="275">
        <v>117.04923724406007</v>
      </c>
      <c r="V21" s="275">
        <v>36.618999013957392</v>
      </c>
      <c r="W21" s="275">
        <v>11.843106274705663</v>
      </c>
      <c r="X21" s="275">
        <v>0</v>
      </c>
      <c r="Y21" s="275">
        <v>0</v>
      </c>
      <c r="Z21" s="275">
        <v>0</v>
      </c>
      <c r="AA21" s="275">
        <v>0</v>
      </c>
      <c r="AB21" s="275">
        <v>0</v>
      </c>
      <c r="AC21" s="275">
        <v>0</v>
      </c>
      <c r="AD21" s="275">
        <v>0</v>
      </c>
      <c r="AE21" s="275">
        <v>0</v>
      </c>
      <c r="AF21" s="275">
        <v>0</v>
      </c>
      <c r="AG21" s="275">
        <v>0</v>
      </c>
      <c r="AH21" s="275">
        <v>0</v>
      </c>
      <c r="AI21" s="275">
        <v>0</v>
      </c>
      <c r="AJ21" s="275">
        <v>0</v>
      </c>
      <c r="AK21" s="275">
        <v>0</v>
      </c>
      <c r="AL21" s="275">
        <v>0</v>
      </c>
      <c r="AM21" s="275">
        <v>0</v>
      </c>
      <c r="AN21" s="275">
        <v>0</v>
      </c>
      <c r="AO21" s="275">
        <v>0</v>
      </c>
      <c r="AP21" s="275">
        <v>0</v>
      </c>
      <c r="AQ21" s="275">
        <v>0</v>
      </c>
      <c r="AR21" s="275">
        <v>0</v>
      </c>
      <c r="AS21" s="275">
        <v>0</v>
      </c>
      <c r="AT21" s="275">
        <v>0</v>
      </c>
      <c r="AU21" s="275">
        <v>0</v>
      </c>
      <c r="AV21" s="275">
        <v>0</v>
      </c>
      <c r="AW21" s="275">
        <v>0</v>
      </c>
      <c r="AX21" s="275">
        <v>0</v>
      </c>
    </row>
    <row r="22" spans="1:50" ht="15" customHeight="1">
      <c r="A22"/>
      <c r="B22" s="91"/>
      <c r="C22" s="91"/>
      <c r="D22" s="91"/>
      <c r="E22" s="89" t="s">
        <v>72</v>
      </c>
      <c r="F22" s="91"/>
      <c r="G22" s="89" t="str">
        <f t="shared" si="76"/>
        <v>£m nominal</v>
      </c>
      <c r="H22" s="91"/>
      <c r="I22" s="91"/>
      <c r="J22" s="91"/>
      <c r="K22" s="275">
        <v>0</v>
      </c>
      <c r="L22" s="275">
        <v>0</v>
      </c>
      <c r="M22" s="275">
        <v>0</v>
      </c>
      <c r="N22" s="275">
        <v>0</v>
      </c>
      <c r="O22" s="275">
        <v>0</v>
      </c>
      <c r="P22" s="275">
        <v>0</v>
      </c>
      <c r="Q22" s="275">
        <v>0</v>
      </c>
      <c r="R22" s="275">
        <v>0</v>
      </c>
      <c r="S22" s="275">
        <v>0.19703424244839995</v>
      </c>
      <c r="T22" s="275">
        <v>0.70869762715399998</v>
      </c>
      <c r="U22" s="275">
        <v>2.4388806829314906</v>
      </c>
      <c r="V22" s="275">
        <v>0.46020275837388985</v>
      </c>
      <c r="W22" s="275">
        <v>1.4612415089732733</v>
      </c>
      <c r="X22" s="275">
        <v>0</v>
      </c>
      <c r="Y22" s="275">
        <v>0</v>
      </c>
      <c r="Z22" s="275">
        <v>0</v>
      </c>
      <c r="AA22" s="275">
        <v>0</v>
      </c>
      <c r="AB22" s="275">
        <v>0</v>
      </c>
      <c r="AC22" s="275">
        <v>0</v>
      </c>
      <c r="AD22" s="275">
        <v>0</v>
      </c>
      <c r="AE22" s="275">
        <v>0</v>
      </c>
      <c r="AF22" s="275">
        <v>0</v>
      </c>
      <c r="AG22" s="275">
        <v>0</v>
      </c>
      <c r="AH22" s="275">
        <v>0</v>
      </c>
      <c r="AI22" s="275">
        <v>0</v>
      </c>
      <c r="AJ22" s="275">
        <v>0</v>
      </c>
      <c r="AK22" s="275">
        <v>0</v>
      </c>
      <c r="AL22" s="275">
        <v>0</v>
      </c>
      <c r="AM22" s="275">
        <v>0</v>
      </c>
      <c r="AN22" s="275">
        <v>0</v>
      </c>
      <c r="AO22" s="275">
        <v>0</v>
      </c>
      <c r="AP22" s="275">
        <v>0</v>
      </c>
      <c r="AQ22" s="275">
        <v>0</v>
      </c>
      <c r="AR22" s="275">
        <v>0</v>
      </c>
      <c r="AS22" s="275">
        <v>0</v>
      </c>
      <c r="AT22" s="275">
        <v>0</v>
      </c>
      <c r="AU22" s="275">
        <v>0</v>
      </c>
      <c r="AV22" s="275">
        <v>0</v>
      </c>
      <c r="AW22" s="275">
        <v>0</v>
      </c>
      <c r="AX22" s="275">
        <v>0</v>
      </c>
    </row>
    <row r="23" spans="1:50" ht="15" customHeight="1">
      <c r="A23" s="89"/>
      <c r="B23" s="89"/>
      <c r="C23" s="89"/>
      <c r="D23" s="89"/>
      <c r="E23" s="89"/>
      <c r="F23" s="89"/>
      <c r="G23" s="89"/>
      <c r="H23" s="89"/>
      <c r="I23" s="89"/>
      <c r="J23" s="89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</row>
    <row r="24" spans="1:50" ht="26">
      <c r="A24"/>
      <c r="B24" s="91"/>
      <c r="C24" s="91"/>
      <c r="D24" s="91"/>
      <c r="E24" s="193" t="s">
        <v>312</v>
      </c>
      <c r="F24" s="89"/>
      <c r="G24" s="194" t="s">
        <v>42</v>
      </c>
      <c r="H24" s="194" t="s">
        <v>319</v>
      </c>
      <c r="I24" s="275">
        <v>264.99166666666673</v>
      </c>
      <c r="J24" s="89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</row>
    <row r="25" spans="1:50" ht="13">
      <c r="A25"/>
      <c r="B25" s="91"/>
      <c r="C25" s="91"/>
      <c r="D25" s="91"/>
      <c r="E25" s="192"/>
      <c r="F25" s="89"/>
      <c r="G25" s="191"/>
      <c r="H25" s="191"/>
      <c r="I25" s="276"/>
      <c r="J25" s="89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/>
      <c r="W25" s="294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</row>
    <row r="26" spans="1:50" ht="13">
      <c r="A26"/>
      <c r="B26" s="91"/>
      <c r="C26" s="91"/>
      <c r="D26" s="91"/>
      <c r="E26" s="192"/>
      <c r="F26" s="89"/>
      <c r="G26" s="191"/>
      <c r="H26" s="191"/>
      <c r="I26" s="276"/>
      <c r="J26" s="89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244"/>
      <c r="X26" s="7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ht="15" customHeight="1">
      <c r="A27"/>
      <c r="B27" s="91"/>
      <c r="C27" s="91"/>
      <c r="D27" s="91"/>
      <c r="E27" s="89"/>
      <c r="F27" s="89"/>
      <c r="G27" s="89"/>
      <c r="H27" s="89"/>
      <c r="I27" s="89"/>
      <c r="J27" s="89"/>
      <c r="K27" s="78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ht="13">
      <c r="A28"/>
      <c r="B28" s="91"/>
      <c r="C28" s="91"/>
      <c r="D28" s="91"/>
      <c r="E28" s="193" t="s">
        <v>311</v>
      </c>
      <c r="F28" s="89"/>
      <c r="G28" s="106" t="str">
        <f>G24</f>
        <v>Jan 1987 = 100</v>
      </c>
      <c r="H28" s="194" t="s">
        <v>122</v>
      </c>
      <c r="I28" s="89"/>
      <c r="J28" s="89"/>
      <c r="K28" s="275">
        <v>215.76666666666662</v>
      </c>
      <c r="L28" s="275">
        <v>226.47499999999999</v>
      </c>
      <c r="M28" s="275">
        <v>237.3416666666667</v>
      </c>
      <c r="N28" s="275">
        <v>244.67499999999998</v>
      </c>
      <c r="O28" s="275">
        <v>251.73333333333335</v>
      </c>
      <c r="P28" s="275">
        <v>256.66666666666669</v>
      </c>
      <c r="Q28" s="275">
        <v>259.43333333333334</v>
      </c>
      <c r="R28" s="275">
        <v>264.99166666666673</v>
      </c>
      <c r="S28" s="275">
        <v>274.90833333333336</v>
      </c>
      <c r="T28" s="275">
        <v>283.30833333333334</v>
      </c>
      <c r="U28" s="275">
        <v>290.64166666666665</v>
      </c>
      <c r="V28" s="292">
        <v>294.16666666666669</v>
      </c>
      <c r="W28" s="295">
        <v>311.1583333333333</v>
      </c>
      <c r="X28" s="280">
        <f t="shared" ref="X28" si="77">W28*(1+$I$103)</f>
        <v>321.23986333333329</v>
      </c>
      <c r="Y28" s="280">
        <f t="shared" ref="Y28" si="78">X28*(1+$I$103)</f>
        <v>331.6480349053333</v>
      </c>
      <c r="Z28" s="280">
        <f t="shared" ref="Z28" si="79">Y28*(1+$I$103)</f>
        <v>342.39343123626611</v>
      </c>
      <c r="AA28" s="280">
        <f t="shared" ref="AA28:AX28" si="80">Z28*(1+$I$103)</f>
        <v>353.48697840832114</v>
      </c>
      <c r="AB28" s="280">
        <f t="shared" si="80"/>
        <v>364.93995650875075</v>
      </c>
      <c r="AC28" s="280">
        <f t="shared" si="80"/>
        <v>376.76401109963427</v>
      </c>
      <c r="AD28" s="280">
        <f t="shared" si="80"/>
        <v>388.97116505926243</v>
      </c>
      <c r="AE28" s="280">
        <f t="shared" si="80"/>
        <v>401.5738308071825</v>
      </c>
      <c r="AF28" s="280">
        <f t="shared" si="80"/>
        <v>414.58482292533523</v>
      </c>
      <c r="AG28" s="280">
        <f t="shared" si="80"/>
        <v>428.0173711881161</v>
      </c>
      <c r="AH28" s="280">
        <f t="shared" si="80"/>
        <v>441.88513401461108</v>
      </c>
      <c r="AI28" s="280">
        <f t="shared" si="80"/>
        <v>456.20221235668447</v>
      </c>
      <c r="AJ28" s="280">
        <f t="shared" si="80"/>
        <v>470.98316403704104</v>
      </c>
      <c r="AK28" s="280">
        <f t="shared" si="80"/>
        <v>486.24301855184115</v>
      </c>
      <c r="AL28" s="280">
        <f t="shared" si="80"/>
        <v>501.99729235292079</v>
      </c>
      <c r="AM28" s="280">
        <f t="shared" si="80"/>
        <v>518.26200462515544</v>
      </c>
      <c r="AN28" s="280">
        <f t="shared" si="80"/>
        <v>535.05369357501047</v>
      </c>
      <c r="AO28" s="280">
        <f t="shared" si="80"/>
        <v>552.38943324684078</v>
      </c>
      <c r="AP28" s="280">
        <f t="shared" si="80"/>
        <v>570.28685088403836</v>
      </c>
      <c r="AQ28" s="280">
        <f t="shared" si="80"/>
        <v>588.76414485268117</v>
      </c>
      <c r="AR28" s="280">
        <f t="shared" si="80"/>
        <v>607.84010314590807</v>
      </c>
      <c r="AS28" s="280">
        <f t="shared" si="80"/>
        <v>627.53412248783548</v>
      </c>
      <c r="AT28" s="280">
        <f t="shared" si="80"/>
        <v>647.86622805644129</v>
      </c>
      <c r="AU28" s="280">
        <f t="shared" si="80"/>
        <v>668.85709384546999</v>
      </c>
      <c r="AV28" s="280">
        <f t="shared" si="80"/>
        <v>690.52806368606321</v>
      </c>
      <c r="AW28" s="280">
        <f t="shared" si="80"/>
        <v>712.90117294949164</v>
      </c>
      <c r="AX28" s="280">
        <f t="shared" si="80"/>
        <v>735.99917095305511</v>
      </c>
    </row>
    <row r="29" spans="1:50" ht="13">
      <c r="A29"/>
      <c r="B29" s="91"/>
      <c r="C29" s="91"/>
      <c r="D29" s="91"/>
      <c r="E29" s="192"/>
      <c r="F29" s="89"/>
      <c r="G29" s="191"/>
      <c r="H29" s="191"/>
      <c r="I29" s="89"/>
      <c r="J29" s="89"/>
      <c r="K29" s="276"/>
      <c r="L29" s="276"/>
      <c r="M29" s="276"/>
      <c r="N29" s="276"/>
      <c r="O29" s="276"/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C29" s="276"/>
      <c r="AD29" s="276"/>
      <c r="AE29" s="276"/>
      <c r="AF29" s="276"/>
      <c r="AG29" s="276"/>
      <c r="AH29" s="276"/>
      <c r="AI29" s="276"/>
      <c r="AJ29" s="276"/>
      <c r="AK29" s="276"/>
      <c r="AL29" s="276"/>
      <c r="AM29" s="276"/>
      <c r="AN29" s="276"/>
      <c r="AO29" s="276"/>
      <c r="AP29" s="276"/>
      <c r="AQ29" s="276"/>
      <c r="AR29" s="276"/>
      <c r="AS29" s="276"/>
      <c r="AT29" s="276"/>
      <c r="AU29" s="276"/>
      <c r="AV29" s="276"/>
      <c r="AW29" s="276"/>
      <c r="AX29" s="276"/>
    </row>
    <row r="30" spans="1:50" ht="13">
      <c r="A30"/>
      <c r="B30" s="91"/>
      <c r="C30" s="91"/>
      <c r="D30" s="91"/>
      <c r="E30" s="192"/>
      <c r="F30" s="89"/>
      <c r="G30" s="191"/>
      <c r="H30" s="191"/>
      <c r="I30" s="89"/>
      <c r="J30" s="89"/>
      <c r="K30" s="276"/>
      <c r="L30" s="276"/>
      <c r="M30" s="276"/>
      <c r="N30" s="276"/>
      <c r="O30" s="276"/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  <c r="AF30" s="276"/>
      <c r="AG30" s="276"/>
      <c r="AH30" s="276"/>
      <c r="AI30" s="276"/>
      <c r="AJ30" s="276"/>
      <c r="AK30" s="276"/>
      <c r="AL30" s="276"/>
      <c r="AM30" s="276"/>
      <c r="AN30" s="276"/>
      <c r="AO30" s="276"/>
      <c r="AP30" s="276"/>
      <c r="AQ30" s="276"/>
      <c r="AR30" s="276"/>
      <c r="AS30" s="276"/>
      <c r="AT30" s="276"/>
      <c r="AU30" s="276"/>
      <c r="AV30" s="276"/>
      <c r="AW30" s="276"/>
      <c r="AX30" s="276"/>
    </row>
    <row r="31" spans="1:50" ht="15" customHeight="1">
      <c r="A31" s="91"/>
      <c r="B31" s="91"/>
      <c r="C31" s="91"/>
      <c r="D31" s="91"/>
      <c r="E31" s="89"/>
      <c r="F31" s="89"/>
      <c r="G31" s="106"/>
      <c r="H31" s="106"/>
      <c r="I31" s="89"/>
      <c r="J31" s="89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</row>
    <row r="32" spans="1:50" ht="15" customHeight="1">
      <c r="A32"/>
      <c r="B32" s="83"/>
      <c r="C32" s="83"/>
      <c r="D32" s="83"/>
      <c r="E32" s="52" t="s">
        <v>168</v>
      </c>
      <c r="F32" s="52"/>
      <c r="G32" s="108"/>
      <c r="H32" s="92" t="str">
        <f>IF(I6=100%,"CRPIt","PPPIt")</f>
        <v>CRPIt</v>
      </c>
      <c r="I32" s="39"/>
      <c r="J32" s="39"/>
      <c r="K32" s="109">
        <f>IF($I$6=100%,(K28/$I$24),($I$6*(K28/$I$24)+$I$7*(K29/$I$25)/(K30/$I$26)))</f>
        <v>0.81423944149187044</v>
      </c>
      <c r="L32" s="109">
        <f>IF($I$6=100%,(L28/$I$24),($I$6*(L28/$I$24)+$I$7*(L29/$I$25)/(L30/$I$26)))</f>
        <v>0.85464951728041738</v>
      </c>
      <c r="M32" s="109">
        <f>IF($I$6=100%,(M28/$I$24),($I$6*(M28/$I$24)+$I$7*(M29/$I$25)/(M30/$I$26)))</f>
        <v>0.89565709613509847</v>
      </c>
      <c r="N32" s="109">
        <f t="shared" ref="N32:AX32" si="81">IF($I$6=100%,(N28/$I$24),($I$6*(N28/$I$24)+$I$7*(N29/$I$25)/(N30/$I$26)))</f>
        <v>0.92333092235604863</v>
      </c>
      <c r="O32" s="109">
        <f t="shared" si="81"/>
        <v>0.9499669800937135</v>
      </c>
      <c r="P32" s="109">
        <f t="shared" si="81"/>
        <v>0.96858391773326191</v>
      </c>
      <c r="Q32" s="109">
        <f>IF($I$6=100%,(Q28/$I$24),($I$6*(Q28/$I$24)+$I$7*(Q29/$I$25)/(Q30/$I$26)))</f>
        <v>0.97902449762571131</v>
      </c>
      <c r="R32" s="109">
        <f t="shared" si="81"/>
        <v>1</v>
      </c>
      <c r="S32" s="109">
        <f t="shared" si="81"/>
        <v>1.037422560457876</v>
      </c>
      <c r="T32" s="109">
        <f t="shared" si="81"/>
        <v>1.0691216704927826</v>
      </c>
      <c r="U32" s="109">
        <f t="shared" si="81"/>
        <v>1.0967954967137328</v>
      </c>
      <c r="V32" s="109">
        <f t="shared" si="81"/>
        <v>1.110097801817667</v>
      </c>
      <c r="W32" s="109">
        <f t="shared" si="81"/>
        <v>1.1742193150728006</v>
      </c>
      <c r="X32" s="109">
        <f t="shared" si="81"/>
        <v>1.2122640208811593</v>
      </c>
      <c r="Y32" s="109">
        <f t="shared" si="81"/>
        <v>1.2515413751577089</v>
      </c>
      <c r="Z32" s="109">
        <f t="shared" si="81"/>
        <v>1.2920913157128187</v>
      </c>
      <c r="AA32" s="109">
        <f t="shared" si="81"/>
        <v>1.3339550743419142</v>
      </c>
      <c r="AB32" s="109">
        <f t="shared" si="81"/>
        <v>1.3771752187505921</v>
      </c>
      <c r="AC32" s="109">
        <f t="shared" si="81"/>
        <v>1.4217956958381113</v>
      </c>
      <c r="AD32" s="109">
        <f t="shared" si="81"/>
        <v>1.4678618763832663</v>
      </c>
      <c r="AE32" s="109">
        <f t="shared" si="81"/>
        <v>1.515420601178084</v>
      </c>
      <c r="AF32" s="109">
        <f t="shared" si="81"/>
        <v>1.5645202286562538</v>
      </c>
      <c r="AG32" s="109">
        <f t="shared" si="81"/>
        <v>1.6152106840647165</v>
      </c>
      <c r="AH32" s="109">
        <f t="shared" si="81"/>
        <v>1.6675435102284133</v>
      </c>
      <c r="AI32" s="109">
        <f t="shared" si="81"/>
        <v>1.7215719199598138</v>
      </c>
      <c r="AJ32" s="109">
        <f t="shared" si="81"/>
        <v>1.7773508501665118</v>
      </c>
      <c r="AK32" s="109">
        <f t="shared" si="81"/>
        <v>1.8349370177119069</v>
      </c>
      <c r="AL32" s="109">
        <f t="shared" si="81"/>
        <v>1.8943889770857725</v>
      </c>
      <c r="AM32" s="109">
        <f t="shared" si="81"/>
        <v>1.9557671799433516</v>
      </c>
      <c r="AN32" s="109">
        <f t="shared" si="81"/>
        <v>2.019134036573516</v>
      </c>
      <c r="AO32" s="109">
        <f t="shared" si="81"/>
        <v>2.084553979358498</v>
      </c>
      <c r="AP32" s="109">
        <f t="shared" si="81"/>
        <v>2.1520935282897131</v>
      </c>
      <c r="AQ32" s="109">
        <f t="shared" si="81"/>
        <v>2.2218213586062996</v>
      </c>
      <c r="AR32" s="109">
        <f t="shared" si="81"/>
        <v>2.2938083706251438</v>
      </c>
      <c r="AS32" s="109">
        <f t="shared" si="81"/>
        <v>2.3681277618333985</v>
      </c>
      <c r="AT32" s="109">
        <f t="shared" si="81"/>
        <v>2.4448551013168003</v>
      </c>
      <c r="AU32" s="109">
        <f t="shared" si="81"/>
        <v>2.5240684065994645</v>
      </c>
      <c r="AV32" s="109">
        <f t="shared" si="81"/>
        <v>2.6058482229732873</v>
      </c>
      <c r="AW32" s="109">
        <f t="shared" si="81"/>
        <v>2.6902777053976217</v>
      </c>
      <c r="AX32" s="109">
        <f t="shared" si="81"/>
        <v>2.7774427030525044</v>
      </c>
    </row>
    <row r="33" spans="1:53" ht="15" customHeight="1">
      <c r="A33" s="83"/>
      <c r="B33" s="83"/>
      <c r="C33" s="83"/>
      <c r="D33" s="83"/>
      <c r="E33" s="52"/>
      <c r="F33" s="52"/>
      <c r="G33" s="108"/>
      <c r="H33" s="92"/>
      <c r="I33" s="39"/>
      <c r="J33" s="3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</row>
    <row r="34" spans="1:53" ht="13">
      <c r="A34"/>
      <c r="B34" s="83"/>
      <c r="C34" s="83"/>
      <c r="D34" s="83"/>
      <c r="E34" s="83" t="str">
        <f>E20</f>
        <v>Development costs</v>
      </c>
      <c r="F34" s="83"/>
      <c r="G34" s="70" t="str">
        <f>$I$11</f>
        <v>£m 16/17 prices</v>
      </c>
      <c r="H34" s="83"/>
      <c r="I34" s="83"/>
      <c r="J34" s="83"/>
      <c r="K34" s="165">
        <f>IF($I$9="£",K20/K$32,K20/K$32/K$30)</f>
        <v>0</v>
      </c>
      <c r="L34" s="165">
        <f>IF($I$9="£",L20/L$32,L20/L$32/L$30)</f>
        <v>5.0213355454244421E-2</v>
      </c>
      <c r="M34" s="165">
        <f t="shared" ref="M34:AX34" si="82">IF($I$9="£",M20/M$32,M20/M$32/M$30)</f>
        <v>0.28851501441241528</v>
      </c>
      <c r="N34" s="165">
        <f>IF($I$9="£",N20/N$32,N20/N$32/N$30)</f>
        <v>0.76220047759715304</v>
      </c>
      <c r="O34" s="165">
        <f t="shared" si="82"/>
        <v>1.187420419485236</v>
      </c>
      <c r="P34" s="165">
        <f t="shared" si="82"/>
        <v>1.944837154026299</v>
      </c>
      <c r="Q34" s="165">
        <f t="shared" si="82"/>
        <v>3.9036817559401911</v>
      </c>
      <c r="R34" s="165">
        <f t="shared" si="82"/>
        <v>2.1858180343102038</v>
      </c>
      <c r="S34" s="165">
        <f t="shared" si="82"/>
        <v>0</v>
      </c>
      <c r="T34" s="165">
        <f t="shared" si="82"/>
        <v>0</v>
      </c>
      <c r="U34" s="165">
        <f t="shared" si="82"/>
        <v>0</v>
      </c>
      <c r="V34" s="165">
        <f t="shared" si="82"/>
        <v>0</v>
      </c>
      <c r="W34" s="165">
        <f t="shared" si="82"/>
        <v>0</v>
      </c>
      <c r="X34" s="165">
        <f t="shared" si="82"/>
        <v>0</v>
      </c>
      <c r="Y34" s="165">
        <f t="shared" si="82"/>
        <v>0</v>
      </c>
      <c r="Z34" s="165">
        <f t="shared" si="82"/>
        <v>0</v>
      </c>
      <c r="AA34" s="165">
        <f t="shared" si="82"/>
        <v>0</v>
      </c>
      <c r="AB34" s="165">
        <f t="shared" si="82"/>
        <v>0</v>
      </c>
      <c r="AC34" s="165">
        <f t="shared" si="82"/>
        <v>0</v>
      </c>
      <c r="AD34" s="165">
        <f t="shared" si="82"/>
        <v>0</v>
      </c>
      <c r="AE34" s="165">
        <f t="shared" si="82"/>
        <v>0</v>
      </c>
      <c r="AF34" s="165">
        <f t="shared" si="82"/>
        <v>0</v>
      </c>
      <c r="AG34" s="165">
        <f t="shared" si="82"/>
        <v>0</v>
      </c>
      <c r="AH34" s="165">
        <f t="shared" si="82"/>
        <v>0</v>
      </c>
      <c r="AI34" s="165">
        <f t="shared" si="82"/>
        <v>0</v>
      </c>
      <c r="AJ34" s="165">
        <f t="shared" si="82"/>
        <v>0</v>
      </c>
      <c r="AK34" s="165">
        <f t="shared" si="82"/>
        <v>0</v>
      </c>
      <c r="AL34" s="165">
        <f t="shared" si="82"/>
        <v>0</v>
      </c>
      <c r="AM34" s="165">
        <f t="shared" si="82"/>
        <v>0</v>
      </c>
      <c r="AN34" s="165">
        <f t="shared" si="82"/>
        <v>0</v>
      </c>
      <c r="AO34" s="165">
        <f t="shared" si="82"/>
        <v>0</v>
      </c>
      <c r="AP34" s="165">
        <f t="shared" si="82"/>
        <v>0</v>
      </c>
      <c r="AQ34" s="165">
        <f t="shared" si="82"/>
        <v>0</v>
      </c>
      <c r="AR34" s="165">
        <f t="shared" si="82"/>
        <v>0</v>
      </c>
      <c r="AS34" s="165">
        <f t="shared" si="82"/>
        <v>0</v>
      </c>
      <c r="AT34" s="165">
        <f t="shared" si="82"/>
        <v>0</v>
      </c>
      <c r="AU34" s="165">
        <f t="shared" si="82"/>
        <v>0</v>
      </c>
      <c r="AV34" s="165">
        <f t="shared" si="82"/>
        <v>0</v>
      </c>
      <c r="AW34" s="165">
        <f t="shared" si="82"/>
        <v>0</v>
      </c>
      <c r="AX34" s="165">
        <f t="shared" si="82"/>
        <v>0</v>
      </c>
    </row>
    <row r="35" spans="1:53" ht="13">
      <c r="A35"/>
      <c r="B35" s="83"/>
      <c r="C35" s="83"/>
      <c r="D35" s="83"/>
      <c r="E35" s="83" t="str">
        <f t="shared" ref="E35:E36" si="83">E21</f>
        <v>Capex</v>
      </c>
      <c r="F35" s="83"/>
      <c r="G35" s="70" t="str">
        <f t="shared" ref="G35:G36" si="84">$I$11</f>
        <v>£m 16/17 prices</v>
      </c>
      <c r="H35" s="83"/>
      <c r="I35" s="83"/>
      <c r="J35" s="83"/>
      <c r="K35" s="165">
        <f t="shared" ref="K35:AX35" si="85">IF($I$9="£",K21/K$32,K21/K$32/K$30)</f>
        <v>0</v>
      </c>
      <c r="L35" s="165">
        <f t="shared" si="85"/>
        <v>0</v>
      </c>
      <c r="M35" s="165">
        <f t="shared" si="85"/>
        <v>0</v>
      </c>
      <c r="N35" s="165">
        <f t="shared" si="85"/>
        <v>0</v>
      </c>
      <c r="O35" s="165">
        <f t="shared" si="85"/>
        <v>0</v>
      </c>
      <c r="P35" s="165">
        <f>IF($I$9="£",P21/P$32,P21/P$32/P$30)</f>
        <v>0</v>
      </c>
      <c r="Q35" s="165">
        <f t="shared" si="85"/>
        <v>0</v>
      </c>
      <c r="R35" s="165">
        <f t="shared" si="85"/>
        <v>1.57586067</v>
      </c>
      <c r="S35" s="165">
        <f t="shared" si="85"/>
        <v>54.853572669226772</v>
      </c>
      <c r="T35" s="165">
        <f t="shared" si="85"/>
        <v>114.31242954388328</v>
      </c>
      <c r="U35" s="165">
        <f t="shared" si="85"/>
        <v>106.71929051018915</v>
      </c>
      <c r="V35" s="165">
        <f t="shared" si="85"/>
        <v>32.987182709485303</v>
      </c>
      <c r="W35" s="165">
        <f t="shared" si="85"/>
        <v>10.08594060980116</v>
      </c>
      <c r="X35" s="165">
        <f t="shared" si="85"/>
        <v>0</v>
      </c>
      <c r="Y35" s="165">
        <f t="shared" si="85"/>
        <v>0</v>
      </c>
      <c r="Z35" s="165">
        <f t="shared" si="85"/>
        <v>0</v>
      </c>
      <c r="AA35" s="165">
        <f t="shared" si="85"/>
        <v>0</v>
      </c>
      <c r="AB35" s="165">
        <f t="shared" si="85"/>
        <v>0</v>
      </c>
      <c r="AC35" s="165">
        <f t="shared" si="85"/>
        <v>0</v>
      </c>
      <c r="AD35" s="165">
        <f t="shared" si="85"/>
        <v>0</v>
      </c>
      <c r="AE35" s="165">
        <f t="shared" si="85"/>
        <v>0</v>
      </c>
      <c r="AF35" s="165">
        <f t="shared" si="85"/>
        <v>0</v>
      </c>
      <c r="AG35" s="165">
        <f t="shared" si="85"/>
        <v>0</v>
      </c>
      <c r="AH35" s="165">
        <f t="shared" si="85"/>
        <v>0</v>
      </c>
      <c r="AI35" s="165">
        <f t="shared" si="85"/>
        <v>0</v>
      </c>
      <c r="AJ35" s="165">
        <f t="shared" si="85"/>
        <v>0</v>
      </c>
      <c r="AK35" s="165">
        <f t="shared" si="85"/>
        <v>0</v>
      </c>
      <c r="AL35" s="165">
        <f t="shared" si="85"/>
        <v>0</v>
      </c>
      <c r="AM35" s="165">
        <f t="shared" si="85"/>
        <v>0</v>
      </c>
      <c r="AN35" s="165">
        <f t="shared" si="85"/>
        <v>0</v>
      </c>
      <c r="AO35" s="165">
        <f t="shared" si="85"/>
        <v>0</v>
      </c>
      <c r="AP35" s="165">
        <f t="shared" si="85"/>
        <v>0</v>
      </c>
      <c r="AQ35" s="165">
        <f t="shared" si="85"/>
        <v>0</v>
      </c>
      <c r="AR35" s="165">
        <f t="shared" si="85"/>
        <v>0</v>
      </c>
      <c r="AS35" s="165">
        <f t="shared" si="85"/>
        <v>0</v>
      </c>
      <c r="AT35" s="165">
        <f t="shared" si="85"/>
        <v>0</v>
      </c>
      <c r="AU35" s="165">
        <f t="shared" si="85"/>
        <v>0</v>
      </c>
      <c r="AV35" s="165">
        <f t="shared" si="85"/>
        <v>0</v>
      </c>
      <c r="AW35" s="165">
        <f t="shared" si="85"/>
        <v>0</v>
      </c>
      <c r="AX35" s="165">
        <f t="shared" si="85"/>
        <v>0</v>
      </c>
    </row>
    <row r="36" spans="1:53" ht="13">
      <c r="A36"/>
      <c r="B36" s="83"/>
      <c r="C36" s="83"/>
      <c r="D36" s="83"/>
      <c r="E36" s="83" t="str">
        <f t="shared" si="83"/>
        <v>Spares</v>
      </c>
      <c r="F36" s="83"/>
      <c r="G36" s="70" t="str">
        <f t="shared" si="84"/>
        <v>£m 16/17 prices</v>
      </c>
      <c r="H36" s="83"/>
      <c r="I36" s="83"/>
      <c r="J36" s="83"/>
      <c r="K36" s="165">
        <f t="shared" ref="K36:AX36" si="86">IF($I$9="£",K22/K$32,K22/K$32/K$30)</f>
        <v>0</v>
      </c>
      <c r="L36" s="165">
        <f t="shared" si="86"/>
        <v>0</v>
      </c>
      <c r="M36" s="165">
        <f t="shared" si="86"/>
        <v>0</v>
      </c>
      <c r="N36" s="165">
        <f t="shared" si="86"/>
        <v>0</v>
      </c>
      <c r="O36" s="165">
        <f t="shared" si="86"/>
        <v>0</v>
      </c>
      <c r="P36" s="165">
        <f t="shared" si="86"/>
        <v>0</v>
      </c>
      <c r="Q36" s="165">
        <f t="shared" si="86"/>
        <v>0</v>
      </c>
      <c r="R36" s="165">
        <f t="shared" si="86"/>
        <v>0</v>
      </c>
      <c r="S36" s="165">
        <f t="shared" si="86"/>
        <v>0.1899266990698921</v>
      </c>
      <c r="T36" s="165">
        <f t="shared" si="86"/>
        <v>0.66287836708739145</v>
      </c>
      <c r="U36" s="165">
        <f t="shared" si="86"/>
        <v>2.2236421376993003</v>
      </c>
      <c r="V36" s="165">
        <f t="shared" si="86"/>
        <v>0.4145605527912557</v>
      </c>
      <c r="W36" s="165">
        <f t="shared" si="86"/>
        <v>1.2444366143667782</v>
      </c>
      <c r="X36" s="165">
        <f t="shared" si="86"/>
        <v>0</v>
      </c>
      <c r="Y36" s="165">
        <f t="shared" si="86"/>
        <v>0</v>
      </c>
      <c r="Z36" s="165">
        <f t="shared" si="86"/>
        <v>0</v>
      </c>
      <c r="AA36" s="165">
        <f t="shared" si="86"/>
        <v>0</v>
      </c>
      <c r="AB36" s="165">
        <f t="shared" si="86"/>
        <v>0</v>
      </c>
      <c r="AC36" s="165">
        <f t="shared" si="86"/>
        <v>0</v>
      </c>
      <c r="AD36" s="165">
        <f t="shared" si="86"/>
        <v>0</v>
      </c>
      <c r="AE36" s="165">
        <f t="shared" si="86"/>
        <v>0</v>
      </c>
      <c r="AF36" s="165">
        <f t="shared" si="86"/>
        <v>0</v>
      </c>
      <c r="AG36" s="165">
        <f t="shared" si="86"/>
        <v>0</v>
      </c>
      <c r="AH36" s="165">
        <f t="shared" si="86"/>
        <v>0</v>
      </c>
      <c r="AI36" s="165">
        <f t="shared" si="86"/>
        <v>0</v>
      </c>
      <c r="AJ36" s="165">
        <f t="shared" si="86"/>
        <v>0</v>
      </c>
      <c r="AK36" s="165">
        <f t="shared" si="86"/>
        <v>0</v>
      </c>
      <c r="AL36" s="165">
        <f t="shared" si="86"/>
        <v>0</v>
      </c>
      <c r="AM36" s="165">
        <f t="shared" si="86"/>
        <v>0</v>
      </c>
      <c r="AN36" s="165">
        <f t="shared" si="86"/>
        <v>0</v>
      </c>
      <c r="AO36" s="165">
        <f t="shared" si="86"/>
        <v>0</v>
      </c>
      <c r="AP36" s="165">
        <f t="shared" si="86"/>
        <v>0</v>
      </c>
      <c r="AQ36" s="165">
        <f t="shared" si="86"/>
        <v>0</v>
      </c>
      <c r="AR36" s="165">
        <f t="shared" si="86"/>
        <v>0</v>
      </c>
      <c r="AS36" s="165">
        <f t="shared" si="86"/>
        <v>0</v>
      </c>
      <c r="AT36" s="165">
        <f t="shared" si="86"/>
        <v>0</v>
      </c>
      <c r="AU36" s="165">
        <f t="shared" si="86"/>
        <v>0</v>
      </c>
      <c r="AV36" s="165">
        <f t="shared" si="86"/>
        <v>0</v>
      </c>
      <c r="AW36" s="165">
        <f t="shared" si="86"/>
        <v>0</v>
      </c>
      <c r="AX36" s="165">
        <f t="shared" si="86"/>
        <v>0</v>
      </c>
    </row>
    <row r="37" spans="1:53" ht="15" customHeight="1">
      <c r="A37" s="80"/>
      <c r="B37" s="80"/>
      <c r="C37" s="80"/>
      <c r="D37" s="80"/>
      <c r="E37" s="80"/>
      <c r="F37" s="80"/>
      <c r="G37" s="80"/>
      <c r="H37" s="80"/>
      <c r="I37" s="80"/>
      <c r="J37" s="80"/>
      <c r="N37" s="94"/>
      <c r="P37" s="80"/>
      <c r="Q37" s="80"/>
      <c r="R37" s="80"/>
      <c r="S37" s="91"/>
      <c r="T37" s="91"/>
      <c r="U37" s="91"/>
      <c r="V37" s="91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</row>
    <row r="38" spans="1:53" ht="15" customHeight="1">
      <c r="C38" s="13" t="s">
        <v>229</v>
      </c>
      <c r="D38" s="14"/>
      <c r="E38" s="14"/>
      <c r="F38" s="14"/>
      <c r="G38" s="14"/>
      <c r="H38" s="14"/>
      <c r="I38" s="14"/>
      <c r="J38" s="14"/>
      <c r="K38" s="81"/>
      <c r="L38" s="81"/>
      <c r="M38" s="81"/>
      <c r="N38" s="81"/>
      <c r="O38" s="81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</row>
    <row r="39" spans="1:53" ht="15" customHeight="1">
      <c r="A39" s="89"/>
      <c r="B39" s="89"/>
      <c r="C39" s="70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</row>
    <row r="40" spans="1:53" s="187" customFormat="1" ht="15" customHeight="1">
      <c r="A40" s="16"/>
      <c r="B40" s="16"/>
      <c r="C40" s="16"/>
      <c r="D40" s="16"/>
      <c r="E40" s="19" t="s">
        <v>115</v>
      </c>
      <c r="F40" s="18"/>
      <c r="G40" s="18"/>
      <c r="H40" s="18"/>
      <c r="I40" s="18"/>
      <c r="J40" s="19"/>
      <c r="K40" s="186" t="s">
        <v>88</v>
      </c>
      <c r="L40" s="186" t="s">
        <v>89</v>
      </c>
      <c r="M40" s="186" t="s">
        <v>90</v>
      </c>
      <c r="N40" s="186" t="s">
        <v>91</v>
      </c>
      <c r="O40" s="186" t="s">
        <v>92</v>
      </c>
      <c r="P40" s="186" t="s">
        <v>93</v>
      </c>
      <c r="Q40" s="186" t="s">
        <v>94</v>
      </c>
      <c r="R40" s="186" t="s">
        <v>95</v>
      </c>
      <c r="S40" s="186" t="s">
        <v>96</v>
      </c>
      <c r="T40" s="186" t="s">
        <v>97</v>
      </c>
      <c r="U40" s="186" t="s">
        <v>98</v>
      </c>
      <c r="V40" s="186" t="s">
        <v>99</v>
      </c>
      <c r="W40" s="186" t="s">
        <v>100</v>
      </c>
      <c r="X40" s="186" t="s">
        <v>101</v>
      </c>
      <c r="Y40" s="186" t="s">
        <v>102</v>
      </c>
      <c r="Z40" s="186" t="s">
        <v>103</v>
      </c>
      <c r="AA40" s="186" t="s">
        <v>104</v>
      </c>
      <c r="AB40" s="186" t="s">
        <v>105</v>
      </c>
      <c r="AC40" s="186" t="s">
        <v>106</v>
      </c>
      <c r="AD40" s="186" t="s">
        <v>107</v>
      </c>
      <c r="AE40" s="186" t="s">
        <v>108</v>
      </c>
      <c r="AF40" s="186" t="s">
        <v>109</v>
      </c>
      <c r="AG40" s="186" t="s">
        <v>110</v>
      </c>
      <c r="AH40" s="186" t="s">
        <v>111</v>
      </c>
      <c r="AI40" s="186" t="s">
        <v>112</v>
      </c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/>
      <c r="AZ40"/>
      <c r="BA40"/>
    </row>
    <row r="41" spans="1:53" ht="15" customHeight="1">
      <c r="A41" s="91"/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1"/>
      <c r="AS41" s="91"/>
      <c r="AT41" s="91"/>
      <c r="AU41" s="91"/>
      <c r="AV41" s="91"/>
      <c r="AW41" s="91"/>
      <c r="AX41" s="91"/>
    </row>
    <row r="42" spans="1:53" ht="15" customHeight="1">
      <c r="A42" s="89"/>
      <c r="B42" s="83"/>
      <c r="C42" s="83"/>
      <c r="D42" s="83"/>
      <c r="E42" s="52" t="s">
        <v>240</v>
      </c>
      <c r="F42" s="52"/>
      <c r="G42" s="293" t="s">
        <v>322</v>
      </c>
      <c r="H42" s="83"/>
      <c r="I42" s="91"/>
      <c r="J42" s="83"/>
      <c r="K42" s="278">
        <v>0</v>
      </c>
      <c r="L42" s="278">
        <v>0</v>
      </c>
      <c r="M42" s="278">
        <v>0</v>
      </c>
      <c r="N42" s="278">
        <v>0</v>
      </c>
      <c r="O42" s="278">
        <v>0</v>
      </c>
      <c r="P42" s="278">
        <v>0</v>
      </c>
      <c r="Q42" s="278">
        <v>2.6927209456896621</v>
      </c>
      <c r="R42" s="278">
        <v>3.746453609488174</v>
      </c>
      <c r="S42" s="278">
        <v>0</v>
      </c>
      <c r="T42" s="278">
        <v>1.2400721199152915</v>
      </c>
      <c r="U42" s="278">
        <v>0</v>
      </c>
      <c r="V42" s="278">
        <v>0.75698153014861203</v>
      </c>
      <c r="W42" s="278">
        <v>1.2747574877004189</v>
      </c>
      <c r="X42" s="278">
        <v>4.300378786453444</v>
      </c>
      <c r="Y42" s="278">
        <v>0</v>
      </c>
      <c r="Z42" s="278">
        <v>0</v>
      </c>
      <c r="AA42" s="278">
        <v>25.7757780614217</v>
      </c>
      <c r="AB42" s="278">
        <v>0</v>
      </c>
      <c r="AC42" s="278">
        <v>0</v>
      </c>
      <c r="AD42" s="278">
        <v>1.2400721199152915</v>
      </c>
      <c r="AE42" s="278">
        <v>2.6927209456896621</v>
      </c>
      <c r="AF42" s="278">
        <v>0</v>
      </c>
      <c r="AG42" s="278">
        <v>0</v>
      </c>
      <c r="AH42" s="278">
        <v>0</v>
      </c>
      <c r="AI42" s="278">
        <v>0</v>
      </c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</row>
    <row r="43" spans="1:53" ht="15" customHeight="1">
      <c r="A43" s="89"/>
      <c r="B43" s="83"/>
      <c r="C43" s="83"/>
      <c r="D43" s="83"/>
      <c r="E43" s="52" t="s">
        <v>123</v>
      </c>
      <c r="F43" s="52"/>
      <c r="G43" s="293" t="s">
        <v>322</v>
      </c>
      <c r="H43" s="83"/>
      <c r="I43" s="91"/>
      <c r="J43" s="83"/>
      <c r="K43" s="278">
        <v>0</v>
      </c>
      <c r="L43" s="278">
        <v>0</v>
      </c>
      <c r="M43" s="278">
        <v>0</v>
      </c>
      <c r="N43" s="278">
        <v>0</v>
      </c>
      <c r="O43" s="278">
        <v>0</v>
      </c>
      <c r="P43" s="278">
        <v>0</v>
      </c>
      <c r="Q43" s="278">
        <v>0</v>
      </c>
      <c r="R43" s="278">
        <v>0</v>
      </c>
      <c r="S43" s="278">
        <v>0</v>
      </c>
      <c r="T43" s="278">
        <v>0</v>
      </c>
      <c r="U43" s="278">
        <v>0</v>
      </c>
      <c r="V43" s="278">
        <v>0</v>
      </c>
      <c r="W43" s="278">
        <v>0</v>
      </c>
      <c r="X43" s="278">
        <v>0</v>
      </c>
      <c r="Y43" s="278">
        <v>0</v>
      </c>
      <c r="Z43" s="278">
        <v>0</v>
      </c>
      <c r="AA43" s="278">
        <v>0</v>
      </c>
      <c r="AB43" s="278">
        <v>0</v>
      </c>
      <c r="AC43" s="278">
        <v>0</v>
      </c>
      <c r="AD43" s="278">
        <v>0</v>
      </c>
      <c r="AE43" s="278">
        <v>0</v>
      </c>
      <c r="AF43" s="278">
        <v>0</v>
      </c>
      <c r="AG43" s="278">
        <v>0</v>
      </c>
      <c r="AH43" s="278">
        <v>0</v>
      </c>
      <c r="AI43" s="278">
        <v>28.747427544230945</v>
      </c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</row>
    <row r="44" spans="1:53" ht="15" customHeight="1">
      <c r="A44" s="89"/>
      <c r="B44" s="83"/>
      <c r="C44" s="83"/>
      <c r="D44" s="83"/>
      <c r="E44" s="52" t="s">
        <v>237</v>
      </c>
      <c r="F44" s="52"/>
      <c r="G44" s="293" t="s">
        <v>322</v>
      </c>
      <c r="H44" s="83"/>
      <c r="I44" s="91"/>
      <c r="J44" s="83"/>
      <c r="K44" s="278">
        <v>15.840084485280682</v>
      </c>
      <c r="L44" s="278">
        <v>11.903226737350177</v>
      </c>
      <c r="M44" s="278">
        <v>16.272788449454247</v>
      </c>
      <c r="N44" s="278">
        <v>15.961495606189811</v>
      </c>
      <c r="O44" s="278">
        <v>17.027965934354022</v>
      </c>
      <c r="P44" s="278">
        <v>16.984160377456536</v>
      </c>
      <c r="Q44" s="278">
        <v>16.791320854613431</v>
      </c>
      <c r="R44" s="278">
        <v>18.100971695872676</v>
      </c>
      <c r="S44" s="278">
        <v>18.474780111496148</v>
      </c>
      <c r="T44" s="278">
        <v>19.497307881959738</v>
      </c>
      <c r="U44" s="278">
        <v>19.146435810504407</v>
      </c>
      <c r="V44" s="278">
        <v>19.179710071749117</v>
      </c>
      <c r="W44" s="278">
        <v>19.213643003091111</v>
      </c>
      <c r="X44" s="278">
        <v>19.248252509867296</v>
      </c>
      <c r="Y44" s="278">
        <v>20.11213769835604</v>
      </c>
      <c r="Z44" s="278">
        <v>19.596098673269957</v>
      </c>
      <c r="AA44" s="278">
        <v>19.634903630012719</v>
      </c>
      <c r="AB44" s="278">
        <v>19.674503636965607</v>
      </c>
      <c r="AC44" s="278">
        <v>19.714920416388328</v>
      </c>
      <c r="AD44" s="278">
        <v>20.597399181235456</v>
      </c>
      <c r="AE44" s="278">
        <v>20.13746478479597</v>
      </c>
      <c r="AF44" s="278">
        <v>20.182526810674819</v>
      </c>
      <c r="AG44" s="278">
        <v>20.22854061895077</v>
      </c>
      <c r="AH44" s="278">
        <v>20.275532350857169</v>
      </c>
      <c r="AI44" s="278">
        <v>20.499632393118592</v>
      </c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</row>
    <row r="45" spans="1:53" ht="15" customHeight="1">
      <c r="A45" s="89"/>
      <c r="B45" s="83"/>
      <c r="C45" s="83"/>
      <c r="D45" s="83"/>
      <c r="E45" s="52" t="s">
        <v>238</v>
      </c>
      <c r="F45" s="52"/>
      <c r="G45" s="293" t="s">
        <v>322</v>
      </c>
      <c r="H45" s="83"/>
      <c r="I45" s="91"/>
      <c r="J45" s="83"/>
      <c r="K45" s="278">
        <v>1.1642642677693742</v>
      </c>
      <c r="L45" s="278">
        <v>1.149514665072112</v>
      </c>
      <c r="M45" s="278">
        <v>1.138718554127788</v>
      </c>
      <c r="N45" s="278">
        <v>1.1280240341819407</v>
      </c>
      <c r="O45" s="278">
        <v>1.1174301474804942</v>
      </c>
      <c r="P45" s="278">
        <v>1.1069359453149687</v>
      </c>
      <c r="Q45" s="278">
        <v>1.0965404879369025</v>
      </c>
      <c r="R45" s="278">
        <v>1.0862428444730801</v>
      </c>
      <c r="S45" s="278">
        <v>1.076042092841567</v>
      </c>
      <c r="T45" s="278">
        <v>1.0659373196685384</v>
      </c>
      <c r="U45" s="278">
        <v>1.0559276202058969</v>
      </c>
      <c r="V45" s="278">
        <v>1.0460120982496695</v>
      </c>
      <c r="W45" s="278">
        <v>1.0361898660591802</v>
      </c>
      <c r="X45" s="278">
        <v>1.0264600442769873</v>
      </c>
      <c r="Y45" s="278">
        <v>1.0168217618495781</v>
      </c>
      <c r="Z45" s="278">
        <v>1.0072741559488176</v>
      </c>
      <c r="AA45" s="278">
        <v>0.99781637189414019</v>
      </c>
      <c r="AB45" s="278">
        <v>0.98844756307547676</v>
      </c>
      <c r="AC45" s="278">
        <v>0.97916689087691688</v>
      </c>
      <c r="AD45" s="278">
        <v>0.96997352460108877</v>
      </c>
      <c r="AE45" s="278">
        <v>0.96086664139426037</v>
      </c>
      <c r="AF45" s="278">
        <v>0.95184542617214707</v>
      </c>
      <c r="AG45" s="278">
        <v>0.94290907154642301</v>
      </c>
      <c r="AH45" s="278">
        <v>0.93405677775193086</v>
      </c>
      <c r="AI45" s="278">
        <v>0.9252877525745774</v>
      </c>
      <c r="AJ45" s="83"/>
      <c r="AK45" s="83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3"/>
      <c r="AX45" s="83"/>
    </row>
    <row r="46" spans="1:53" ht="15" customHeight="1">
      <c r="A46" s="89"/>
      <c r="B46" s="91"/>
      <c r="C46" s="91"/>
      <c r="D46" s="91"/>
      <c r="E46" s="89"/>
      <c r="F46" s="89"/>
      <c r="G46" s="89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</row>
    <row r="47" spans="1:53" ht="26">
      <c r="A47" s="106"/>
      <c r="B47" s="83"/>
      <c r="C47" s="83"/>
      <c r="D47" s="83"/>
      <c r="E47" s="52" t="str">
        <f>E24</f>
        <v>Base year average UK RPI inflation index value (CHAW)</v>
      </c>
      <c r="F47" s="52"/>
      <c r="G47" s="108" t="str">
        <f>G24</f>
        <v>Jan 1987 = 100</v>
      </c>
      <c r="H47" s="108" t="str">
        <f>H24</f>
        <v>UK RPI index 2016/17</v>
      </c>
      <c r="I47" s="109">
        <f>I24</f>
        <v>264.99166666666673</v>
      </c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3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</row>
    <row r="48" spans="1:53" ht="13">
      <c r="A48" s="106"/>
      <c r="B48" s="83"/>
      <c r="C48" s="83"/>
      <c r="D48" s="83"/>
      <c r="E48" s="192" t="str">
        <f>IF(E25="","",E25)</f>
        <v/>
      </c>
      <c r="F48" s="89"/>
      <c r="G48" s="277" t="str">
        <f t="shared" ref="G48:I49" si="87">IF(G25="","",G25)</f>
        <v/>
      </c>
      <c r="H48" s="277" t="str">
        <f t="shared" si="87"/>
        <v/>
      </c>
      <c r="I48" s="276" t="str">
        <f t="shared" si="87"/>
        <v/>
      </c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</row>
    <row r="49" spans="1:50" ht="13">
      <c r="A49" s="106"/>
      <c r="B49" s="83"/>
      <c r="C49" s="83"/>
      <c r="D49" s="83"/>
      <c r="E49" s="192" t="str">
        <f>IF(E26="","",E26)</f>
        <v/>
      </c>
      <c r="F49" s="89"/>
      <c r="G49" s="277" t="str">
        <f t="shared" si="87"/>
        <v/>
      </c>
      <c r="H49" s="277" t="str">
        <f t="shared" si="87"/>
        <v/>
      </c>
      <c r="I49" s="276" t="str">
        <f t="shared" si="87"/>
        <v/>
      </c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</row>
    <row r="50" spans="1:50" ht="13">
      <c r="A50" s="89"/>
      <c r="B50" s="91"/>
      <c r="C50" s="91"/>
      <c r="D50" s="91"/>
      <c r="E50" s="89"/>
      <c r="F50" s="89"/>
      <c r="G50" s="106"/>
      <c r="H50" s="93"/>
      <c r="I50" s="107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</row>
    <row r="51" spans="1:50" ht="26">
      <c r="A51" s="89"/>
      <c r="B51" s="91"/>
      <c r="C51" s="91"/>
      <c r="D51" s="91"/>
      <c r="E51" s="193" t="s">
        <v>314</v>
      </c>
      <c r="F51" s="89"/>
      <c r="G51" s="71" t="str">
        <f>G24</f>
        <v>Jan 1987 = 100</v>
      </c>
      <c r="H51" s="194" t="s">
        <v>313</v>
      </c>
      <c r="I51" s="275">
        <v>290.64166666666665</v>
      </c>
      <c r="J51" s="68"/>
      <c r="K51" s="195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</row>
    <row r="52" spans="1:50" ht="13">
      <c r="A52" s="106"/>
      <c r="B52" s="89"/>
      <c r="C52" s="89"/>
      <c r="D52" s="89"/>
      <c r="E52" s="192"/>
      <c r="F52" s="89"/>
      <c r="G52" s="279" t="str">
        <f>IF(G25="","",G25)</f>
        <v/>
      </c>
      <c r="H52" s="89"/>
      <c r="I52" s="276"/>
      <c r="J52" s="68"/>
      <c r="K52" s="195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</row>
    <row r="53" spans="1:50" ht="13">
      <c r="A53" s="106"/>
      <c r="B53" s="89"/>
      <c r="C53" s="89"/>
      <c r="D53" s="89"/>
      <c r="E53" s="192"/>
      <c r="F53" s="89"/>
      <c r="G53" s="279" t="str">
        <f>IF(G26="","",G26)</f>
        <v/>
      </c>
      <c r="H53" s="89"/>
      <c r="I53" s="276"/>
      <c r="J53" s="68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</row>
    <row r="54" spans="1:50" ht="15" customHeight="1">
      <c r="A54" s="89"/>
      <c r="B54" s="91"/>
      <c r="C54" s="91"/>
      <c r="D54" s="91"/>
      <c r="E54" s="89"/>
      <c r="F54" s="89"/>
      <c r="G54" s="89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</row>
    <row r="55" spans="1:50" ht="13">
      <c r="A55" s="106"/>
      <c r="B55" s="91"/>
      <c r="C55" s="91"/>
      <c r="D55" s="91"/>
      <c r="E55" s="192" t="str">
        <f>IF(E30="","",E30)</f>
        <v/>
      </c>
      <c r="F55" s="89"/>
      <c r="G55" s="191" t="str">
        <f>IF(G30="","",G30)</f>
        <v/>
      </c>
      <c r="H55" s="191" t="str">
        <f>IF(H30="","",H30)</f>
        <v/>
      </c>
      <c r="I55" s="91"/>
      <c r="J55" s="91"/>
      <c r="K55" s="276"/>
      <c r="L55" s="276"/>
      <c r="M55" s="276"/>
      <c r="N55" s="276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  <c r="AF55" s="276"/>
      <c r="AG55" s="276"/>
      <c r="AH55" s="276"/>
      <c r="AI55" s="276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</row>
    <row r="56" spans="1:50" ht="15" customHeight="1">
      <c r="A56" s="91"/>
      <c r="B56" s="91"/>
      <c r="C56" s="91"/>
      <c r="D56" s="91"/>
      <c r="E56" s="89"/>
      <c r="F56" s="89"/>
      <c r="G56" s="89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</row>
    <row r="57" spans="1:50" ht="15" customHeight="1">
      <c r="A57" s="83"/>
      <c r="B57" s="83"/>
      <c r="C57" s="83"/>
      <c r="D57" s="83"/>
      <c r="E57" s="113" t="s">
        <v>320</v>
      </c>
      <c r="F57" s="52"/>
      <c r="G57" s="52"/>
      <c r="H57" s="83"/>
      <c r="I57" s="109">
        <f>IF($I$6=100%,(I51/$I$47),$I$6*(I51/$I$47)+$I$7*((I52/$I$48)/(I53/$I$49)))</f>
        <v>1.0967954967137328</v>
      </c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  <c r="AD57" s="83"/>
      <c r="AE57" s="83"/>
      <c r="AF57" s="83"/>
      <c r="AG57" s="83"/>
      <c r="AH57" s="83"/>
      <c r="AI57" s="83"/>
      <c r="AJ57" s="83"/>
      <c r="AK57" s="83"/>
      <c r="AL57" s="83"/>
      <c r="AM57" s="83"/>
      <c r="AN57" s="83"/>
      <c r="AO57" s="83"/>
      <c r="AP57" s="83"/>
      <c r="AQ57" s="83"/>
      <c r="AR57" s="83"/>
      <c r="AS57" s="83"/>
      <c r="AT57" s="83"/>
      <c r="AU57" s="83"/>
      <c r="AV57" s="83"/>
      <c r="AW57" s="83"/>
      <c r="AX57" s="83"/>
    </row>
    <row r="58" spans="1:50" ht="15" customHeight="1">
      <c r="A58" s="83"/>
      <c r="B58" s="83"/>
      <c r="C58" s="83"/>
      <c r="D58" s="83"/>
      <c r="E58" s="52"/>
      <c r="F58" s="52"/>
      <c r="G58" s="52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3"/>
    </row>
    <row r="59" spans="1:50" ht="13">
      <c r="A59" s="108"/>
      <c r="B59" s="83"/>
      <c r="C59" s="83"/>
      <c r="D59" s="83"/>
      <c r="E59" s="52" t="str">
        <f>E42</f>
        <v>Replacement Capex</v>
      </c>
      <c r="F59" s="52"/>
      <c r="G59" s="70" t="str">
        <f t="shared" ref="G59:G62" si="88">$I$11</f>
        <v>£m 16/17 prices</v>
      </c>
      <c r="H59" s="83"/>
      <c r="I59" s="83"/>
      <c r="J59" s="83"/>
      <c r="K59" s="166">
        <f t="shared" ref="K59:AI59" si="89">IF($I$9="£",K42/$I$57,K42/K$55/$I$57)</f>
        <v>0</v>
      </c>
      <c r="L59" s="166">
        <f t="shared" si="89"/>
        <v>0</v>
      </c>
      <c r="M59" s="166">
        <f t="shared" si="89"/>
        <v>0</v>
      </c>
      <c r="N59" s="166">
        <f t="shared" si="89"/>
        <v>0</v>
      </c>
      <c r="O59" s="166">
        <f t="shared" si="89"/>
        <v>0</v>
      </c>
      <c r="P59" s="166">
        <f t="shared" si="89"/>
        <v>0</v>
      </c>
      <c r="Q59" s="166">
        <f t="shared" si="89"/>
        <v>2.4550802348821743</v>
      </c>
      <c r="R59" s="166">
        <f t="shared" si="89"/>
        <v>3.4158178263071504</v>
      </c>
      <c r="S59" s="166">
        <f t="shared" si="89"/>
        <v>0</v>
      </c>
      <c r="T59" s="166">
        <f t="shared" si="89"/>
        <v>1.1306320308852931</v>
      </c>
      <c r="U59" s="166">
        <f t="shared" si="89"/>
        <v>0</v>
      </c>
      <c r="V59" s="166">
        <f t="shared" si="89"/>
        <v>0.69017563658559289</v>
      </c>
      <c r="W59" s="166">
        <f t="shared" si="89"/>
        <v>1.1622563107889334</v>
      </c>
      <c r="X59" s="166">
        <f t="shared" si="89"/>
        <v>3.9208574427397171</v>
      </c>
      <c r="Y59" s="166">
        <f t="shared" si="89"/>
        <v>0</v>
      </c>
      <c r="Z59" s="166">
        <f t="shared" si="89"/>
        <v>0</v>
      </c>
      <c r="AA59" s="166">
        <f t="shared" si="89"/>
        <v>23.500988232220344</v>
      </c>
      <c r="AB59" s="166">
        <f t="shared" si="89"/>
        <v>0</v>
      </c>
      <c r="AC59" s="166">
        <f t="shared" si="89"/>
        <v>0</v>
      </c>
      <c r="AD59" s="166">
        <f t="shared" si="89"/>
        <v>1.1306320308852931</v>
      </c>
      <c r="AE59" s="166">
        <f t="shared" si="89"/>
        <v>2.4550802348821743</v>
      </c>
      <c r="AF59" s="166">
        <f t="shared" si="89"/>
        <v>0</v>
      </c>
      <c r="AG59" s="166">
        <f t="shared" si="89"/>
        <v>0</v>
      </c>
      <c r="AH59" s="166">
        <f t="shared" si="89"/>
        <v>0</v>
      </c>
      <c r="AI59" s="166">
        <f t="shared" si="89"/>
        <v>0</v>
      </c>
      <c r="AJ59" s="163"/>
      <c r="AK59" s="16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</row>
    <row r="60" spans="1:50" ht="13">
      <c r="A60" s="108"/>
      <c r="B60" s="83"/>
      <c r="C60" s="83"/>
      <c r="D60" s="83"/>
      <c r="E60" s="52" t="str">
        <f t="shared" ref="E60:E62" si="90">E43</f>
        <v>Decommissioning baseline</v>
      </c>
      <c r="F60" s="52"/>
      <c r="G60" s="70" t="str">
        <f t="shared" si="88"/>
        <v>£m 16/17 prices</v>
      </c>
      <c r="H60" s="83"/>
      <c r="I60" s="83"/>
      <c r="J60" s="83"/>
      <c r="K60" s="166">
        <f t="shared" ref="K60:AI60" si="91">IF($I$9="£",K43/$I$57,K43/K$55/$I$57)</f>
        <v>0</v>
      </c>
      <c r="L60" s="166">
        <f t="shared" si="91"/>
        <v>0</v>
      </c>
      <c r="M60" s="166">
        <f t="shared" si="91"/>
        <v>0</v>
      </c>
      <c r="N60" s="166">
        <f t="shared" si="91"/>
        <v>0</v>
      </c>
      <c r="O60" s="166">
        <f t="shared" si="91"/>
        <v>0</v>
      </c>
      <c r="P60" s="166">
        <f t="shared" si="91"/>
        <v>0</v>
      </c>
      <c r="Q60" s="166">
        <f t="shared" si="91"/>
        <v>0</v>
      </c>
      <c r="R60" s="166">
        <f t="shared" si="91"/>
        <v>0</v>
      </c>
      <c r="S60" s="166">
        <f t="shared" si="91"/>
        <v>0</v>
      </c>
      <c r="T60" s="166">
        <f t="shared" si="91"/>
        <v>0</v>
      </c>
      <c r="U60" s="166">
        <f t="shared" si="91"/>
        <v>0</v>
      </c>
      <c r="V60" s="166">
        <f t="shared" si="91"/>
        <v>0</v>
      </c>
      <c r="W60" s="166">
        <f t="shared" si="91"/>
        <v>0</v>
      </c>
      <c r="X60" s="166">
        <f t="shared" si="91"/>
        <v>0</v>
      </c>
      <c r="Y60" s="166">
        <f t="shared" si="91"/>
        <v>0</v>
      </c>
      <c r="Z60" s="166">
        <f t="shared" si="91"/>
        <v>0</v>
      </c>
      <c r="AA60" s="166">
        <f t="shared" si="91"/>
        <v>0</v>
      </c>
      <c r="AB60" s="166">
        <f t="shared" si="91"/>
        <v>0</v>
      </c>
      <c r="AC60" s="166">
        <f t="shared" si="91"/>
        <v>0</v>
      </c>
      <c r="AD60" s="166">
        <f t="shared" si="91"/>
        <v>0</v>
      </c>
      <c r="AE60" s="166">
        <f t="shared" si="91"/>
        <v>0</v>
      </c>
      <c r="AF60" s="166">
        <f t="shared" si="91"/>
        <v>0</v>
      </c>
      <c r="AG60" s="166">
        <f t="shared" si="91"/>
        <v>0</v>
      </c>
      <c r="AH60" s="166">
        <f t="shared" si="91"/>
        <v>0</v>
      </c>
      <c r="AI60" s="166">
        <f t="shared" si="91"/>
        <v>26.210380723083983</v>
      </c>
      <c r="AJ60" s="163"/>
      <c r="AK60" s="16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</row>
    <row r="61" spans="1:50" ht="13">
      <c r="A61" s="108"/>
      <c r="B61" s="83"/>
      <c r="C61" s="83"/>
      <c r="D61" s="83"/>
      <c r="E61" s="52" t="str">
        <f t="shared" si="90"/>
        <v>Controllable Opex</v>
      </c>
      <c r="F61" s="52"/>
      <c r="G61" s="70" t="str">
        <f t="shared" si="88"/>
        <v>£m 16/17 prices</v>
      </c>
      <c r="H61" s="83"/>
      <c r="I61" s="83"/>
      <c r="J61" s="83"/>
      <c r="K61" s="166">
        <f t="shared" ref="K61:AI61" si="92">IF($I$9="£",K44/$I$57,K44/K$55/$I$57)</f>
        <v>14.44214945515499</v>
      </c>
      <c r="L61" s="166">
        <f>IF($I$9="£",L44/$I$57,L44/L$55/$I$57)</f>
        <v>10.852731227485117</v>
      </c>
      <c r="M61" s="166">
        <f t="shared" si="92"/>
        <v>14.836665994901963</v>
      </c>
      <c r="N61" s="166">
        <f t="shared" si="92"/>
        <v>14.55284567999627</v>
      </c>
      <c r="O61" s="166">
        <f t="shared" si="92"/>
        <v>15.525196798650219</v>
      </c>
      <c r="P61" s="166">
        <f t="shared" si="92"/>
        <v>15.485257213715073</v>
      </c>
      <c r="Q61" s="166">
        <f t="shared" si="92"/>
        <v>15.309436357939406</v>
      </c>
      <c r="R61" s="166">
        <f t="shared" si="92"/>
        <v>16.503506579036483</v>
      </c>
      <c r="S61" s="166">
        <f t="shared" si="92"/>
        <v>16.844325279280508</v>
      </c>
      <c r="T61" s="166">
        <f t="shared" si="92"/>
        <v>17.776611902928519</v>
      </c>
      <c r="U61" s="166">
        <f t="shared" si="92"/>
        <v>17.456705345592507</v>
      </c>
      <c r="V61" s="166">
        <f t="shared" si="92"/>
        <v>17.487043053346056</v>
      </c>
      <c r="W61" s="166">
        <f t="shared" si="92"/>
        <v>17.517981301582545</v>
      </c>
      <c r="X61" s="166">
        <f t="shared" si="92"/>
        <v>17.549536415439125</v>
      </c>
      <c r="Y61" s="166">
        <f t="shared" si="92"/>
        <v>18.337181141440603</v>
      </c>
      <c r="Z61" s="166">
        <f t="shared" si="92"/>
        <v>17.866684110196161</v>
      </c>
      <c r="AA61" s="166">
        <f t="shared" si="92"/>
        <v>17.902064412959103</v>
      </c>
      <c r="AB61" s="166">
        <f t="shared" si="92"/>
        <v>17.938169600363263</v>
      </c>
      <c r="AC61" s="166">
        <f t="shared" si="92"/>
        <v>17.975019477613689</v>
      </c>
      <c r="AD61" s="166">
        <f t="shared" si="92"/>
        <v>18.779616841015756</v>
      </c>
      <c r="AE61" s="166">
        <f t="shared" si="92"/>
        <v>18.360273036434535</v>
      </c>
      <c r="AF61" s="166">
        <f t="shared" si="92"/>
        <v>18.401358203189748</v>
      </c>
      <c r="AG61" s="166">
        <f t="shared" si="92"/>
        <v>18.443311154686921</v>
      </c>
      <c r="AH61" s="166">
        <f t="shared" si="92"/>
        <v>18.486155725117051</v>
      </c>
      <c r="AI61" s="166">
        <f t="shared" si="92"/>
        <v>18.690478265584147</v>
      </c>
      <c r="AJ61" s="163"/>
      <c r="AK61" s="16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</row>
    <row r="62" spans="1:50" ht="13">
      <c r="A62" s="108"/>
      <c r="B62" s="83"/>
      <c r="C62" s="83"/>
      <c r="D62" s="83"/>
      <c r="E62" s="52" t="str">
        <f t="shared" si="90"/>
        <v>Non-controllable Opex baseline</v>
      </c>
      <c r="F62" s="52"/>
      <c r="G62" s="70" t="str">
        <f t="shared" si="88"/>
        <v>£m 16/17 prices</v>
      </c>
      <c r="H62" s="83"/>
      <c r="I62" s="83"/>
      <c r="J62" s="83"/>
      <c r="K62" s="166">
        <f t="shared" ref="K62:AI62" si="93">IF($I$9="£",K45/$I$57,K45/K$55/$I$57)</f>
        <v>1.0615144493734652</v>
      </c>
      <c r="L62" s="166">
        <f t="shared" si="93"/>
        <v>1.0480665434133698</v>
      </c>
      <c r="M62" s="166">
        <f t="shared" si="93"/>
        <v>1.0382232216850515</v>
      </c>
      <c r="N62" s="166">
        <f t="shared" si="93"/>
        <v>1.0284725252444746</v>
      </c>
      <c r="O62" s="166">
        <f t="shared" si="93"/>
        <v>1.0188135808622372</v>
      </c>
      <c r="P62" s="166">
        <f t="shared" si="93"/>
        <v>1.0092455235562319</v>
      </c>
      <c r="Q62" s="166">
        <f t="shared" si="93"/>
        <v>0.9997674965136214</v>
      </c>
      <c r="R62" s="166">
        <f t="shared" si="93"/>
        <v>0.99037865101354716</v>
      </c>
      <c r="S62" s="166">
        <f t="shared" si="93"/>
        <v>0.98107814635057489</v>
      </c>
      <c r="T62" s="166">
        <f t="shared" si="93"/>
        <v>0.97186514975886296</v>
      </c>
      <c r="U62" s="166">
        <f t="shared" si="93"/>
        <v>0.96273883633705104</v>
      </c>
      <c r="V62" s="166">
        <f t="shared" si="93"/>
        <v>0.95369838897385817</v>
      </c>
      <c r="W62" s="166">
        <f t="shared" si="93"/>
        <v>0.94474299827438946</v>
      </c>
      <c r="X62" s="166">
        <f t="shared" si="93"/>
        <v>0.9358718624871385</v>
      </c>
      <c r="Y62" s="166">
        <f t="shared" si="93"/>
        <v>0.92708418743168119</v>
      </c>
      <c r="Z62" s="166">
        <f t="shared" si="93"/>
        <v>0.91837918642705685</v>
      </c>
      <c r="AA62" s="166">
        <f t="shared" si="93"/>
        <v>0.90975608022082677</v>
      </c>
      <c r="AB62" s="166">
        <f t="shared" si="93"/>
        <v>0.90121409691880305</v>
      </c>
      <c r="AC62" s="166">
        <f t="shared" si="93"/>
        <v>0.89275247191544826</v>
      </c>
      <c r="AD62" s="166">
        <f t="shared" si="93"/>
        <v>0.88437044782492846</v>
      </c>
      <c r="AE62" s="166">
        <f t="shared" si="93"/>
        <v>0.87606727441282495</v>
      </c>
      <c r="AF62" s="166">
        <f t="shared" si="93"/>
        <v>0.86784220852848915</v>
      </c>
      <c r="AG62" s="166">
        <f t="shared" si="93"/>
        <v>0.85969451403803987</v>
      </c>
      <c r="AH62" s="166">
        <f t="shared" si="93"/>
        <v>0.85162346175799697</v>
      </c>
      <c r="AI62" s="166">
        <f t="shared" si="93"/>
        <v>0.84362832938954024</v>
      </c>
      <c r="AJ62" s="163"/>
      <c r="AK62" s="16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</row>
    <row r="63" spans="1:50" ht="15" customHeight="1">
      <c r="A63" s="91"/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</row>
    <row r="64" spans="1:50" ht="15" customHeight="1">
      <c r="A64" s="5"/>
      <c r="B64" s="188" t="s">
        <v>75</v>
      </c>
      <c r="C64" s="15"/>
      <c r="D64" s="15"/>
      <c r="E64" s="15"/>
      <c r="F64" s="15"/>
      <c r="G64" s="15"/>
      <c r="H64" s="15"/>
      <c r="I64" s="15"/>
      <c r="J64" s="15"/>
      <c r="K64" s="82"/>
      <c r="L64" s="82"/>
      <c r="M64" s="82"/>
      <c r="N64" s="82"/>
      <c r="O64" s="82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</row>
    <row r="65" spans="1:50" ht="15" customHeight="1">
      <c r="A65" s="5"/>
      <c r="B65" s="5"/>
      <c r="C65" s="5"/>
      <c r="D65" s="5"/>
      <c r="E65" s="5"/>
      <c r="F65" s="5"/>
      <c r="G65" s="5"/>
      <c r="H65" s="5"/>
      <c r="I65" s="6"/>
      <c r="J65" s="6"/>
      <c r="K65" s="5"/>
      <c r="L65" s="5"/>
      <c r="M65" s="5"/>
      <c r="N65" s="5"/>
      <c r="O65" s="5"/>
      <c r="P65" s="6"/>
      <c r="Q65" s="6"/>
      <c r="R65" s="6"/>
      <c r="S65" s="5"/>
      <c r="T65" s="5"/>
      <c r="U65" s="5"/>
      <c r="V65" s="5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</row>
    <row r="66" spans="1:50" ht="15" customHeight="1">
      <c r="A66" s="5"/>
      <c r="B66" s="5"/>
      <c r="C66" s="13" t="s">
        <v>38</v>
      </c>
      <c r="D66" s="14"/>
      <c r="E66" s="14"/>
      <c r="F66" s="14"/>
      <c r="G66" s="14"/>
      <c r="H66" s="14"/>
      <c r="I66" s="14"/>
      <c r="J66" s="14"/>
      <c r="K66" s="81"/>
      <c r="L66" s="81"/>
      <c r="M66" s="81"/>
      <c r="N66" s="81"/>
      <c r="O66" s="81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</row>
    <row r="67" spans="1:50" ht="15" customHeight="1">
      <c r="A67" s="5"/>
      <c r="B67" s="5"/>
      <c r="C67" s="5"/>
      <c r="D67" s="5"/>
      <c r="E67" s="5"/>
      <c r="F67" s="5"/>
      <c r="G67" s="5"/>
      <c r="H67" s="5"/>
      <c r="I67" s="6"/>
      <c r="J67" s="6"/>
      <c r="P67" s="6"/>
      <c r="Q67" s="80"/>
      <c r="R67" s="80"/>
      <c r="S67" s="80"/>
      <c r="T67" s="80"/>
      <c r="U67" s="80"/>
      <c r="V67" s="80"/>
      <c r="W67" s="80"/>
      <c r="X67" s="80"/>
      <c r="Y67" s="7"/>
      <c r="Z67" s="7"/>
      <c r="AA67" s="7"/>
      <c r="AB67" s="7"/>
      <c r="AC67" s="7"/>
      <c r="AD67" s="7"/>
      <c r="AE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</row>
    <row r="68" spans="1:50" ht="13">
      <c r="A68"/>
      <c r="B68" s="83"/>
      <c r="C68" s="83"/>
      <c r="D68" s="83"/>
      <c r="E68" s="52" t="s">
        <v>181</v>
      </c>
      <c r="F68" s="83"/>
      <c r="G68" s="90" t="s">
        <v>56</v>
      </c>
      <c r="H68" s="83"/>
      <c r="I68" s="167">
        <v>8.0999999999999989E-2</v>
      </c>
      <c r="J68" s="83"/>
      <c r="K68" s="83"/>
      <c r="L68" s="83"/>
      <c r="M68" s="83"/>
      <c r="N68" s="83"/>
      <c r="O68" s="83"/>
      <c r="P68" s="6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</row>
    <row r="69" spans="1:50" ht="15" customHeight="1">
      <c r="A69" s="83"/>
      <c r="B69" s="83"/>
      <c r="C69" s="83"/>
      <c r="D69" s="83"/>
      <c r="E69" s="52" t="s">
        <v>182</v>
      </c>
      <c r="F69" s="90"/>
      <c r="G69" s="90" t="s">
        <v>56</v>
      </c>
      <c r="H69" s="83"/>
      <c r="I69" s="167">
        <v>-2.0999999999999999E-3</v>
      </c>
      <c r="J69" s="83"/>
      <c r="K69" s="83"/>
      <c r="L69" s="83"/>
      <c r="M69" s="83"/>
      <c r="N69" s="83"/>
      <c r="O69" s="83"/>
      <c r="P69" s="6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83"/>
      <c r="AJ69" s="83"/>
      <c r="AK69" s="83"/>
      <c r="AL69" s="83"/>
      <c r="AM69" s="83"/>
      <c r="AN69" s="83"/>
      <c r="AO69" s="83"/>
      <c r="AP69" s="83"/>
      <c r="AQ69" s="83"/>
      <c r="AR69" s="83"/>
      <c r="AS69" s="83"/>
      <c r="AT69" s="83"/>
      <c r="AU69" s="83"/>
      <c r="AV69" s="83"/>
      <c r="AW69" s="83"/>
      <c r="AX69" s="83"/>
    </row>
    <row r="70" spans="1:50" ht="15" customHeight="1">
      <c r="A70" s="83"/>
      <c r="B70" s="83"/>
      <c r="C70" s="83"/>
      <c r="D70" s="83"/>
      <c r="E70" s="52" t="s">
        <v>183</v>
      </c>
      <c r="F70" s="83"/>
      <c r="G70" s="90" t="s">
        <v>56</v>
      </c>
      <c r="H70" s="83"/>
      <c r="I70" s="167">
        <v>6.7500000000000004E-2</v>
      </c>
      <c r="J70" s="83"/>
      <c r="K70" s="83"/>
      <c r="L70" s="83"/>
      <c r="M70" s="83"/>
      <c r="N70" s="83"/>
      <c r="O70" s="83"/>
      <c r="P70" s="6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3"/>
    </row>
    <row r="71" spans="1:50" ht="15" customHeight="1">
      <c r="A71" s="83"/>
      <c r="B71" s="83"/>
      <c r="C71" s="83"/>
      <c r="D71" s="83"/>
      <c r="E71" s="83" t="s">
        <v>63</v>
      </c>
      <c r="F71" s="83"/>
      <c r="G71" s="90" t="s">
        <v>56</v>
      </c>
      <c r="H71" s="83"/>
      <c r="I71" s="122">
        <f>I69</f>
        <v>-2.0999999999999999E-3</v>
      </c>
      <c r="J71" s="83"/>
      <c r="K71" s="83"/>
      <c r="L71" s="83"/>
      <c r="M71" s="83"/>
      <c r="N71" s="83"/>
      <c r="O71" s="83"/>
      <c r="P71" s="6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3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3"/>
    </row>
    <row r="72" spans="1:50" ht="15" customHeight="1">
      <c r="A72" s="83"/>
      <c r="B72" s="83"/>
      <c r="C72" s="83"/>
      <c r="D72" s="83"/>
      <c r="E72" s="83"/>
      <c r="F72" s="83"/>
      <c r="G72" s="90"/>
      <c r="H72" s="83"/>
      <c r="I72" s="122"/>
      <c r="J72" s="83"/>
      <c r="K72" s="83"/>
      <c r="L72" s="83"/>
      <c r="M72" s="83"/>
      <c r="N72" s="83"/>
      <c r="O72" s="83"/>
      <c r="P72" s="6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3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83"/>
      <c r="AW72" s="83"/>
      <c r="AX72" s="83"/>
    </row>
    <row r="73" spans="1:50" ht="13">
      <c r="A73"/>
      <c r="B73" s="83"/>
      <c r="C73" s="83"/>
      <c r="D73" s="83"/>
      <c r="E73" s="83" t="s">
        <v>69</v>
      </c>
      <c r="F73" s="83"/>
      <c r="G73" s="90" t="s">
        <v>11</v>
      </c>
      <c r="H73" s="83"/>
      <c r="I73" s="167">
        <v>0.40610000000000002</v>
      </c>
      <c r="J73" s="83"/>
      <c r="K73" s="83"/>
      <c r="L73" s="83"/>
      <c r="M73" s="83"/>
      <c r="N73" s="83"/>
      <c r="O73" s="83"/>
      <c r="P73" s="6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3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83"/>
      <c r="AW73" s="83"/>
      <c r="AX73" s="83"/>
    </row>
    <row r="74" spans="1:50" ht="13">
      <c r="A74"/>
      <c r="B74" s="83"/>
      <c r="C74" s="83"/>
      <c r="D74" s="83"/>
      <c r="E74" s="83" t="s">
        <v>12</v>
      </c>
      <c r="F74" s="83"/>
      <c r="G74" s="90" t="s">
        <v>11</v>
      </c>
      <c r="H74" s="83"/>
      <c r="I74" s="167">
        <v>0.5</v>
      </c>
      <c r="J74" s="83"/>
      <c r="K74" s="83"/>
      <c r="L74" s="83"/>
      <c r="M74" s="83"/>
      <c r="N74" s="83"/>
      <c r="O74" s="83"/>
      <c r="P74" s="6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3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83"/>
      <c r="AW74" s="83"/>
      <c r="AX74" s="83"/>
    </row>
    <row r="75" spans="1:50" ht="15" customHeight="1">
      <c r="A75" s="83"/>
      <c r="B75" s="83"/>
      <c r="C75" s="83"/>
      <c r="D75" s="83"/>
      <c r="E75" s="73"/>
      <c r="F75" s="83"/>
      <c r="G75" s="90"/>
      <c r="H75" s="83"/>
      <c r="I75" s="121"/>
      <c r="J75" s="83"/>
      <c r="K75" s="83"/>
      <c r="L75" s="83"/>
      <c r="M75" s="83"/>
      <c r="N75" s="83"/>
      <c r="O75" s="83"/>
      <c r="P75" s="6"/>
      <c r="Q75" s="6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3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3"/>
      <c r="AV75" s="83"/>
      <c r="AW75" s="83"/>
      <c r="AX75" s="83"/>
    </row>
    <row r="76" spans="1:50" ht="15" customHeight="1">
      <c r="A76" s="83"/>
      <c r="B76" s="83"/>
      <c r="C76" s="83"/>
      <c r="D76" s="83"/>
      <c r="E76" s="83" t="s">
        <v>17</v>
      </c>
      <c r="F76" s="83"/>
      <c r="G76" s="90" t="s">
        <v>11</v>
      </c>
      <c r="H76" s="83"/>
      <c r="I76" s="167">
        <v>0.05</v>
      </c>
      <c r="J76" s="83"/>
      <c r="K76" s="83"/>
      <c r="L76" s="83"/>
      <c r="M76" s="83"/>
      <c r="N76" s="83"/>
      <c r="O76" s="83"/>
      <c r="P76" s="6"/>
      <c r="Q76" s="6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</row>
    <row r="77" spans="1:50" ht="15" customHeight="1">
      <c r="A77" s="83"/>
      <c r="B77" s="83"/>
      <c r="C77" s="83"/>
      <c r="D77" s="83"/>
      <c r="E77" s="83" t="s">
        <v>18</v>
      </c>
      <c r="F77" s="83"/>
      <c r="G77" s="90" t="s">
        <v>11</v>
      </c>
      <c r="H77" s="83"/>
      <c r="I77" s="167">
        <v>2.5000000000000001E-2</v>
      </c>
      <c r="J77" s="83"/>
      <c r="K77" s="83"/>
      <c r="L77" s="83"/>
      <c r="M77" s="83"/>
      <c r="N77" s="83"/>
      <c r="O77" s="83"/>
      <c r="P77" s="6"/>
      <c r="Q77" s="6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3"/>
      <c r="AK77" s="83"/>
      <c r="AL77" s="83"/>
      <c r="AM77" s="83"/>
      <c r="AN77" s="83"/>
      <c r="AO77" s="83"/>
      <c r="AP77" s="83"/>
      <c r="AQ77" s="83"/>
      <c r="AR77" s="83"/>
      <c r="AS77" s="83"/>
      <c r="AT77" s="83"/>
      <c r="AU77" s="83"/>
      <c r="AV77" s="83"/>
      <c r="AW77" s="83"/>
      <c r="AX77" s="83"/>
    </row>
    <row r="78" spans="1:50" ht="15" customHeight="1">
      <c r="A78" s="52"/>
      <c r="B78" s="52"/>
      <c r="C78" s="52"/>
      <c r="D78" s="52"/>
      <c r="E78" s="52"/>
      <c r="F78" s="52"/>
      <c r="G78" s="70"/>
      <c r="H78" s="52"/>
      <c r="I78" s="71"/>
      <c r="J78" s="52"/>
      <c r="K78" s="52"/>
      <c r="L78" s="52"/>
      <c r="M78" s="52"/>
      <c r="N78" s="52"/>
      <c r="O78" s="52"/>
      <c r="P78" s="153"/>
      <c r="Q78" s="153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</row>
    <row r="79" spans="1:50" ht="15" customHeight="1">
      <c r="A79" s="5"/>
      <c r="B79" s="5"/>
      <c r="C79" s="14" t="s">
        <v>13</v>
      </c>
      <c r="D79" s="14"/>
      <c r="E79" s="14"/>
      <c r="F79" s="14"/>
      <c r="G79" s="14"/>
      <c r="H79" s="14"/>
      <c r="I79" s="14"/>
      <c r="J79" s="14"/>
      <c r="K79" s="81"/>
      <c r="L79" s="81"/>
      <c r="M79" s="81"/>
      <c r="N79" s="81"/>
      <c r="O79" s="81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</row>
    <row r="80" spans="1:50" ht="15" customHeight="1">
      <c r="A80" s="5"/>
      <c r="B80" s="5"/>
      <c r="C80" s="3" t="s">
        <v>58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1" ht="15" customHeight="1">
      <c r="A81" s="99"/>
      <c r="B81" s="99"/>
      <c r="C81" s="99"/>
      <c r="D81" s="99"/>
      <c r="E81" s="11" t="s">
        <v>80</v>
      </c>
      <c r="F81" s="101"/>
      <c r="G81" s="101"/>
      <c r="H81" s="101"/>
      <c r="I81" s="101"/>
      <c r="J81" s="100"/>
      <c r="K81" s="252">
        <f>$I$84</f>
        <v>39904</v>
      </c>
      <c r="L81" s="12">
        <f>+K82+1</f>
        <v>40269</v>
      </c>
      <c r="M81" s="12">
        <f>+L82+1</f>
        <v>40634</v>
      </c>
      <c r="N81" s="12">
        <f t="shared" ref="N81" si="94">+M82+1</f>
        <v>41000</v>
      </c>
      <c r="O81" s="12">
        <f t="shared" ref="O81" si="95">+N82+1</f>
        <v>41365</v>
      </c>
      <c r="P81" s="12">
        <f t="shared" ref="P81" si="96">+O82+1</f>
        <v>41730</v>
      </c>
      <c r="Q81" s="12">
        <f t="shared" ref="Q81" si="97">+P82+1</f>
        <v>42095</v>
      </c>
      <c r="R81" s="12">
        <f t="shared" ref="R81" si="98">+Q82+1</f>
        <v>42461</v>
      </c>
      <c r="S81" s="12">
        <f t="shared" ref="S81" si="99">+R82+1</f>
        <v>42826</v>
      </c>
      <c r="T81" s="12">
        <f t="shared" ref="T81" si="100">+S82+1</f>
        <v>43191</v>
      </c>
      <c r="U81" s="12">
        <f>+T82+1</f>
        <v>43556</v>
      </c>
      <c r="V81" s="12">
        <f t="shared" ref="V81" si="101">+U82+1</f>
        <v>43922</v>
      </c>
      <c r="W81" s="12">
        <f t="shared" ref="W81" si="102">+V82+1</f>
        <v>44287</v>
      </c>
      <c r="X81" s="12">
        <f t="shared" ref="X81" si="103">+W82+1</f>
        <v>44652</v>
      </c>
      <c r="Y81" s="12">
        <f t="shared" ref="Y81" si="104">+X82+1</f>
        <v>45017</v>
      </c>
      <c r="Z81" s="12">
        <f t="shared" ref="Z81" si="105">+Y82+1</f>
        <v>45383</v>
      </c>
      <c r="AA81" s="12">
        <f t="shared" ref="AA81" si="106">+Z82+1</f>
        <v>45748</v>
      </c>
      <c r="AB81" s="12">
        <f t="shared" ref="AB81" si="107">+AA82+1</f>
        <v>46113</v>
      </c>
      <c r="AC81" s="12">
        <f t="shared" ref="AC81" si="108">+AB82+1</f>
        <v>46478</v>
      </c>
      <c r="AD81" s="12">
        <f t="shared" ref="AD81" si="109">+AC82+1</f>
        <v>46844</v>
      </c>
      <c r="AE81" s="12">
        <f t="shared" ref="AE81" si="110">+AD82+1</f>
        <v>47209</v>
      </c>
      <c r="AF81" s="12">
        <f t="shared" ref="AF81" si="111">+AE82+1</f>
        <v>47574</v>
      </c>
      <c r="AG81" s="12">
        <f t="shared" ref="AG81" si="112">+AF82+1</f>
        <v>47939</v>
      </c>
      <c r="AH81" s="12">
        <f t="shared" ref="AH81" si="113">+AG82+1</f>
        <v>48305</v>
      </c>
      <c r="AI81" s="12">
        <f t="shared" ref="AI81" si="114">+AH82+1</f>
        <v>48670</v>
      </c>
      <c r="AJ81" s="12">
        <f t="shared" ref="AJ81" si="115">+AI82+1</f>
        <v>49035</v>
      </c>
      <c r="AK81" s="12">
        <f t="shared" ref="AK81" si="116">+AJ82+1</f>
        <v>49400</v>
      </c>
      <c r="AL81" s="12">
        <f t="shared" ref="AL81" si="117">+AK82+1</f>
        <v>49766</v>
      </c>
      <c r="AM81" s="12">
        <f t="shared" ref="AM81" si="118">+AL82+1</f>
        <v>50131</v>
      </c>
      <c r="AN81" s="12">
        <f t="shared" ref="AN81" si="119">+AM82+1</f>
        <v>50496</v>
      </c>
      <c r="AO81" s="12">
        <f t="shared" ref="AO81" si="120">+AN82+1</f>
        <v>50861</v>
      </c>
      <c r="AP81" s="12">
        <f t="shared" ref="AP81" si="121">+AO82+1</f>
        <v>51227</v>
      </c>
      <c r="AQ81" s="12">
        <f t="shared" ref="AQ81" si="122">+AP82+1</f>
        <v>51592</v>
      </c>
      <c r="AR81" s="12">
        <f t="shared" ref="AR81" si="123">+AQ82+1</f>
        <v>51957</v>
      </c>
      <c r="AS81" s="12">
        <f t="shared" ref="AS81" si="124">+AR82+1</f>
        <v>52322</v>
      </c>
      <c r="AT81" s="12">
        <f t="shared" ref="AT81" si="125">+AS82+1</f>
        <v>52688</v>
      </c>
      <c r="AU81" s="12">
        <f t="shared" ref="AU81" si="126">+AT82+1</f>
        <v>53053</v>
      </c>
      <c r="AV81" s="12">
        <f t="shared" ref="AV81" si="127">+AU82+1</f>
        <v>53418</v>
      </c>
      <c r="AW81" s="12">
        <f t="shared" ref="AW81" si="128">+AV82+1</f>
        <v>53783</v>
      </c>
      <c r="AX81" s="12">
        <f t="shared" ref="AX81" si="129">+AW82+1</f>
        <v>54149</v>
      </c>
    </row>
    <row r="82" spans="1:51" ht="15" customHeight="1">
      <c r="A82" s="102"/>
      <c r="B82" s="102"/>
      <c r="C82" s="102"/>
      <c r="D82" s="102"/>
      <c r="E82" s="11" t="s">
        <v>5</v>
      </c>
      <c r="F82" s="102"/>
      <c r="G82" s="102"/>
      <c r="H82" s="102"/>
      <c r="I82" s="103"/>
      <c r="J82" s="102"/>
      <c r="K82" s="252">
        <f>EOMONTH(K81,11)</f>
        <v>40268</v>
      </c>
      <c r="L82" s="12">
        <f t="shared" ref="L82" si="130">DATE(YEAR(K82) + 1, MONTH(K82), DAY(K82))</f>
        <v>40633</v>
      </c>
      <c r="M82" s="12">
        <f t="shared" ref="M82" si="131">DATE(YEAR(L82) + 1, MONTH(L82), DAY(L82))</f>
        <v>40999</v>
      </c>
      <c r="N82" s="12">
        <f t="shared" ref="N82" si="132">DATE(YEAR(M82) + 1, MONTH(M82), DAY(M82))</f>
        <v>41364</v>
      </c>
      <c r="O82" s="12">
        <f t="shared" ref="O82" si="133">DATE(YEAR(N82) + 1, MONTH(N82), DAY(N82))</f>
        <v>41729</v>
      </c>
      <c r="P82" s="12">
        <f t="shared" ref="P82" si="134">DATE(YEAR(O82) + 1, MONTH(O82), DAY(O82))</f>
        <v>42094</v>
      </c>
      <c r="Q82" s="12">
        <f t="shared" ref="Q82" si="135">DATE(YEAR(P82) + 1, MONTH(P82), DAY(P82))</f>
        <v>42460</v>
      </c>
      <c r="R82" s="12">
        <f t="shared" ref="R82" si="136">DATE(YEAR(Q82) + 1, MONTH(Q82), DAY(Q82))</f>
        <v>42825</v>
      </c>
      <c r="S82" s="12">
        <f t="shared" ref="S82" si="137">DATE(YEAR(R82) + 1, MONTH(R82), DAY(R82))</f>
        <v>43190</v>
      </c>
      <c r="T82" s="12">
        <f t="shared" ref="T82" si="138">DATE(YEAR(S82) + 1, MONTH(S82), DAY(S82))</f>
        <v>43555</v>
      </c>
      <c r="U82" s="12">
        <f t="shared" ref="U82" si="139">DATE(YEAR(T82) + 1, MONTH(T82), DAY(T82))</f>
        <v>43921</v>
      </c>
      <c r="V82" s="12">
        <f t="shared" ref="V82" si="140">DATE(YEAR(U82) + 1, MONTH(U82), DAY(U82))</f>
        <v>44286</v>
      </c>
      <c r="W82" s="12">
        <f t="shared" ref="W82" si="141">DATE(YEAR(V82) + 1, MONTH(V82), DAY(V82))</f>
        <v>44651</v>
      </c>
      <c r="X82" s="12">
        <f t="shared" ref="X82" si="142">DATE(YEAR(W82) + 1, MONTH(W82), DAY(W82))</f>
        <v>45016</v>
      </c>
      <c r="Y82" s="12">
        <f t="shared" ref="Y82" si="143">DATE(YEAR(X82) + 1, MONTH(X82), DAY(X82))</f>
        <v>45382</v>
      </c>
      <c r="Z82" s="12">
        <f t="shared" ref="Z82" si="144">DATE(YEAR(Y82) + 1, MONTH(Y82), DAY(Y82))</f>
        <v>45747</v>
      </c>
      <c r="AA82" s="12">
        <f t="shared" ref="AA82" si="145">DATE(YEAR(Z82) + 1, MONTH(Z82), DAY(Z82))</f>
        <v>46112</v>
      </c>
      <c r="AB82" s="12">
        <f t="shared" ref="AB82" si="146">DATE(YEAR(AA82) + 1, MONTH(AA82), DAY(AA82))</f>
        <v>46477</v>
      </c>
      <c r="AC82" s="12">
        <f t="shared" ref="AC82" si="147">DATE(YEAR(AB82) + 1, MONTH(AB82), DAY(AB82))</f>
        <v>46843</v>
      </c>
      <c r="AD82" s="12">
        <f t="shared" ref="AD82" si="148">DATE(YEAR(AC82) + 1, MONTH(AC82), DAY(AC82))</f>
        <v>47208</v>
      </c>
      <c r="AE82" s="12">
        <f t="shared" ref="AE82" si="149">DATE(YEAR(AD82) + 1, MONTH(AD82), DAY(AD82))</f>
        <v>47573</v>
      </c>
      <c r="AF82" s="12">
        <f t="shared" ref="AF82" si="150">DATE(YEAR(AE82) + 1, MONTH(AE82), DAY(AE82))</f>
        <v>47938</v>
      </c>
      <c r="AG82" s="12">
        <f t="shared" ref="AG82" si="151">DATE(YEAR(AF82) + 1, MONTH(AF82), DAY(AF82))</f>
        <v>48304</v>
      </c>
      <c r="AH82" s="12">
        <f t="shared" ref="AH82" si="152">DATE(YEAR(AG82) + 1, MONTH(AG82), DAY(AG82))</f>
        <v>48669</v>
      </c>
      <c r="AI82" s="12">
        <f t="shared" ref="AI82" si="153">DATE(YEAR(AH82) + 1, MONTH(AH82), DAY(AH82))</f>
        <v>49034</v>
      </c>
      <c r="AJ82" s="12">
        <f t="shared" ref="AJ82" si="154">DATE(YEAR(AI82) + 1, MONTH(AI82), DAY(AI82))</f>
        <v>49399</v>
      </c>
      <c r="AK82" s="12">
        <f t="shared" ref="AK82" si="155">DATE(YEAR(AJ82) + 1, MONTH(AJ82), DAY(AJ82))</f>
        <v>49765</v>
      </c>
      <c r="AL82" s="12">
        <f t="shared" ref="AL82" si="156">DATE(YEAR(AK82) + 1, MONTH(AK82), DAY(AK82))</f>
        <v>50130</v>
      </c>
      <c r="AM82" s="12">
        <f t="shared" ref="AM82" si="157">DATE(YEAR(AL82) + 1, MONTH(AL82), DAY(AL82))</f>
        <v>50495</v>
      </c>
      <c r="AN82" s="12">
        <f t="shared" ref="AN82" si="158">DATE(YEAR(AM82) + 1, MONTH(AM82), DAY(AM82))</f>
        <v>50860</v>
      </c>
      <c r="AO82" s="12">
        <f t="shared" ref="AO82" si="159">DATE(YEAR(AN82) + 1, MONTH(AN82), DAY(AN82))</f>
        <v>51226</v>
      </c>
      <c r="AP82" s="12">
        <f t="shared" ref="AP82" si="160">DATE(YEAR(AO82) + 1, MONTH(AO82), DAY(AO82))</f>
        <v>51591</v>
      </c>
      <c r="AQ82" s="12">
        <f t="shared" ref="AQ82" si="161">DATE(YEAR(AP82) + 1, MONTH(AP82), DAY(AP82))</f>
        <v>51956</v>
      </c>
      <c r="AR82" s="12">
        <f t="shared" ref="AR82" si="162">DATE(YEAR(AQ82) + 1, MONTH(AQ82), DAY(AQ82))</f>
        <v>52321</v>
      </c>
      <c r="AS82" s="12">
        <f t="shared" ref="AS82" si="163">DATE(YEAR(AR82) + 1, MONTH(AR82), DAY(AR82))</f>
        <v>52687</v>
      </c>
      <c r="AT82" s="12">
        <f t="shared" ref="AT82" si="164">DATE(YEAR(AS82) + 1, MONTH(AS82), DAY(AS82))</f>
        <v>53052</v>
      </c>
      <c r="AU82" s="12">
        <f t="shared" ref="AU82" si="165">DATE(YEAR(AT82) + 1, MONTH(AT82), DAY(AT82))</f>
        <v>53417</v>
      </c>
      <c r="AV82" s="12">
        <f t="shared" ref="AV82" si="166">DATE(YEAR(AU82) + 1, MONTH(AU82), DAY(AU82))</f>
        <v>53782</v>
      </c>
      <c r="AW82" s="12">
        <f t="shared" ref="AW82" si="167">DATE(YEAR(AV82) + 1, MONTH(AV82), DAY(AV82))</f>
        <v>54148</v>
      </c>
      <c r="AX82" s="12">
        <f t="shared" ref="AX82" si="168">DATE(YEAR(AW82) + 1, MONTH(AW82), DAY(AW82))</f>
        <v>54513</v>
      </c>
    </row>
    <row r="83" spans="1:51" ht="15" customHeight="1"/>
    <row r="84" spans="1:51" ht="15" customHeight="1">
      <c r="A84" s="83"/>
      <c r="B84" s="83"/>
      <c r="C84" s="83"/>
      <c r="D84" s="83"/>
      <c r="E84" s="83" t="s">
        <v>79</v>
      </c>
      <c r="F84" s="83"/>
      <c r="G84" s="83" t="s">
        <v>14</v>
      </c>
      <c r="H84" s="83"/>
      <c r="I84" s="253">
        <v>39904</v>
      </c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  <c r="AB84" s="83"/>
      <c r="AC84" s="83"/>
      <c r="AD84" s="83"/>
      <c r="AE84" s="83"/>
      <c r="AF84" s="83"/>
      <c r="AG84" s="83"/>
      <c r="AH84" s="83"/>
      <c r="AI84" s="83"/>
      <c r="AJ84" s="83"/>
      <c r="AK84" s="83"/>
      <c r="AL84" s="83"/>
      <c r="AM84" s="83"/>
      <c r="AN84" s="83"/>
      <c r="AO84" s="83"/>
      <c r="AP84" s="83"/>
      <c r="AQ84" s="83"/>
      <c r="AR84" s="83"/>
      <c r="AS84" s="83"/>
      <c r="AT84" s="83"/>
      <c r="AU84" s="83"/>
      <c r="AV84" s="83"/>
      <c r="AW84" s="83"/>
      <c r="AX84" s="83"/>
    </row>
    <row r="85" spans="1:51" ht="15" customHeight="1">
      <c r="A85" s="83"/>
      <c r="B85" s="83"/>
      <c r="C85" s="83"/>
      <c r="D85" s="83"/>
      <c r="E85" s="83" t="s">
        <v>83</v>
      </c>
      <c r="F85" s="83"/>
      <c r="G85" s="83" t="s">
        <v>14</v>
      </c>
      <c r="H85" s="83"/>
      <c r="I85" s="253">
        <v>44197</v>
      </c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  <c r="AD85" s="83"/>
      <c r="AE85" s="83"/>
      <c r="AF85" s="83"/>
      <c r="AG85" s="83"/>
      <c r="AH85" s="83"/>
      <c r="AI85" s="83"/>
      <c r="AJ85" s="83"/>
      <c r="AK85" s="83"/>
      <c r="AL85" s="83"/>
      <c r="AM85" s="83"/>
      <c r="AN85" s="83"/>
      <c r="AO85" s="83"/>
      <c r="AP85" s="83"/>
      <c r="AQ85" s="83"/>
      <c r="AR85" s="83"/>
      <c r="AS85" s="83"/>
      <c r="AT85" s="83"/>
      <c r="AU85" s="83"/>
      <c r="AV85" s="83"/>
      <c r="AW85" s="83"/>
      <c r="AX85" s="83"/>
    </row>
    <row r="86" spans="1:51" ht="15" customHeight="1">
      <c r="A86" s="83"/>
      <c r="B86" s="83"/>
      <c r="C86" s="83"/>
      <c r="D86" s="83"/>
      <c r="E86" s="83" t="s">
        <v>184</v>
      </c>
      <c r="F86" s="83"/>
      <c r="G86" s="83" t="s">
        <v>14</v>
      </c>
      <c r="H86" s="83"/>
      <c r="I86" s="253">
        <v>44217</v>
      </c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  <c r="AD86" s="83"/>
      <c r="AE86" s="83"/>
      <c r="AF86" s="83"/>
      <c r="AG86" s="83"/>
      <c r="AH86" s="83"/>
      <c r="AI86" s="83"/>
      <c r="AJ86" s="83"/>
      <c r="AK86" s="83"/>
      <c r="AL86" s="83"/>
      <c r="AM86" s="83"/>
      <c r="AN86" s="83"/>
      <c r="AO86" s="83"/>
      <c r="AP86" s="83"/>
      <c r="AQ86" s="83"/>
      <c r="AR86" s="83"/>
      <c r="AS86" s="83"/>
      <c r="AT86" s="83"/>
      <c r="AU86" s="83"/>
      <c r="AV86" s="83"/>
      <c r="AW86" s="83"/>
      <c r="AX86" s="83"/>
    </row>
    <row r="87" spans="1:51" ht="15" customHeight="1">
      <c r="A87" s="83"/>
      <c r="B87" s="83"/>
      <c r="C87" s="83"/>
      <c r="D87" s="83"/>
      <c r="E87" s="83" t="s">
        <v>185</v>
      </c>
      <c r="F87" s="83"/>
      <c r="G87" s="83" t="s">
        <v>14</v>
      </c>
      <c r="H87" s="83"/>
      <c r="I87" s="253">
        <v>44218</v>
      </c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</row>
    <row r="88" spans="1:51" ht="15" customHeight="1">
      <c r="A88" s="83"/>
      <c r="B88" s="83"/>
      <c r="C88" s="83"/>
      <c r="D88" s="83"/>
      <c r="E88" s="83" t="s">
        <v>84</v>
      </c>
      <c r="F88" s="83"/>
      <c r="G88" s="83" t="s">
        <v>14</v>
      </c>
      <c r="H88" s="83"/>
      <c r="I88" s="112">
        <f>DATE(YEAR($I$85)+I89,MONTH($I$85),DAY($I$85))-1</f>
        <v>53327</v>
      </c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83"/>
      <c r="AJ88" s="83"/>
      <c r="AK88" s="83"/>
      <c r="AL88" s="83"/>
      <c r="AM88" s="83"/>
      <c r="AN88" s="83"/>
      <c r="AO88" s="83"/>
      <c r="AP88" s="83"/>
      <c r="AQ88" s="83"/>
      <c r="AR88" s="83"/>
      <c r="AS88" s="83"/>
      <c r="AT88" s="83"/>
      <c r="AU88" s="83"/>
      <c r="AV88" s="83"/>
      <c r="AW88" s="83"/>
      <c r="AX88" s="83"/>
    </row>
    <row r="89" spans="1:51" ht="15" customHeight="1">
      <c r="A89" s="83"/>
      <c r="B89" s="83"/>
      <c r="C89" s="83"/>
      <c r="D89" s="83"/>
      <c r="E89" s="83" t="s">
        <v>16</v>
      </c>
      <c r="F89" s="83"/>
      <c r="G89" s="83" t="s">
        <v>15</v>
      </c>
      <c r="H89" s="83"/>
      <c r="I89" s="254">
        <v>25</v>
      </c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  <c r="AK89" s="83"/>
      <c r="AL89" s="83"/>
      <c r="AM89" s="83"/>
      <c r="AN89" s="83"/>
      <c r="AO89" s="83"/>
      <c r="AP89" s="83"/>
      <c r="AQ89" s="83"/>
      <c r="AR89" s="83"/>
      <c r="AS89" s="83"/>
      <c r="AT89" s="83"/>
      <c r="AU89" s="83"/>
      <c r="AV89" s="83"/>
      <c r="AW89" s="83"/>
      <c r="AX89" s="83"/>
    </row>
    <row r="90" spans="1:51" ht="15" customHeight="1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</row>
    <row r="91" spans="1:51" ht="15" customHeight="1">
      <c r="A91" s="83"/>
      <c r="B91" s="83"/>
      <c r="C91" s="83"/>
      <c r="D91" s="83"/>
      <c r="E91" s="83" t="s">
        <v>81</v>
      </c>
      <c r="F91" s="83"/>
      <c r="G91" s="83" t="s">
        <v>82</v>
      </c>
      <c r="H91" s="83"/>
      <c r="I91" s="86"/>
      <c r="J91" s="83"/>
      <c r="K91" s="88">
        <f t="shared" ref="K91:L91" si="169">K$82-K$81+1</f>
        <v>365</v>
      </c>
      <c r="L91" s="88">
        <f t="shared" si="169"/>
        <v>365</v>
      </c>
      <c r="M91" s="88">
        <f>M$82-M$81+1</f>
        <v>366</v>
      </c>
      <c r="N91" s="88">
        <f t="shared" ref="N91:AX91" si="170">N$82-N$81+1</f>
        <v>365</v>
      </c>
      <c r="O91" s="88">
        <f t="shared" si="170"/>
        <v>365</v>
      </c>
      <c r="P91" s="88">
        <f t="shared" si="170"/>
        <v>365</v>
      </c>
      <c r="Q91" s="88">
        <f t="shared" si="170"/>
        <v>366</v>
      </c>
      <c r="R91" s="88">
        <f t="shared" si="170"/>
        <v>365</v>
      </c>
      <c r="S91" s="88">
        <f t="shared" si="170"/>
        <v>365</v>
      </c>
      <c r="T91" s="88">
        <f t="shared" si="170"/>
        <v>365</v>
      </c>
      <c r="U91" s="88">
        <f t="shared" si="170"/>
        <v>366</v>
      </c>
      <c r="V91" s="88">
        <f t="shared" si="170"/>
        <v>365</v>
      </c>
      <c r="W91" s="88">
        <f t="shared" si="170"/>
        <v>365</v>
      </c>
      <c r="X91" s="88">
        <f t="shared" si="170"/>
        <v>365</v>
      </c>
      <c r="Y91" s="88">
        <f t="shared" si="170"/>
        <v>366</v>
      </c>
      <c r="Z91" s="88">
        <f t="shared" si="170"/>
        <v>365</v>
      </c>
      <c r="AA91" s="88">
        <f t="shared" si="170"/>
        <v>365</v>
      </c>
      <c r="AB91" s="88">
        <f t="shared" si="170"/>
        <v>365</v>
      </c>
      <c r="AC91" s="88">
        <f t="shared" si="170"/>
        <v>366</v>
      </c>
      <c r="AD91" s="88">
        <f t="shared" si="170"/>
        <v>365</v>
      </c>
      <c r="AE91" s="88">
        <f t="shared" si="170"/>
        <v>365</v>
      </c>
      <c r="AF91" s="88">
        <f t="shared" si="170"/>
        <v>365</v>
      </c>
      <c r="AG91" s="88">
        <f t="shared" si="170"/>
        <v>366</v>
      </c>
      <c r="AH91" s="88">
        <f t="shared" si="170"/>
        <v>365</v>
      </c>
      <c r="AI91" s="88">
        <f t="shared" si="170"/>
        <v>365</v>
      </c>
      <c r="AJ91" s="88">
        <f t="shared" si="170"/>
        <v>365</v>
      </c>
      <c r="AK91" s="88">
        <f t="shared" si="170"/>
        <v>366</v>
      </c>
      <c r="AL91" s="88">
        <f t="shared" si="170"/>
        <v>365</v>
      </c>
      <c r="AM91" s="88">
        <f t="shared" si="170"/>
        <v>365</v>
      </c>
      <c r="AN91" s="88">
        <f t="shared" si="170"/>
        <v>365</v>
      </c>
      <c r="AO91" s="88">
        <f t="shared" si="170"/>
        <v>366</v>
      </c>
      <c r="AP91" s="88">
        <f t="shared" si="170"/>
        <v>365</v>
      </c>
      <c r="AQ91" s="88">
        <f t="shared" si="170"/>
        <v>365</v>
      </c>
      <c r="AR91" s="88">
        <f t="shared" si="170"/>
        <v>365</v>
      </c>
      <c r="AS91" s="88">
        <f t="shared" si="170"/>
        <v>366</v>
      </c>
      <c r="AT91" s="88">
        <f t="shared" si="170"/>
        <v>365</v>
      </c>
      <c r="AU91" s="88">
        <f t="shared" si="170"/>
        <v>365</v>
      </c>
      <c r="AV91" s="88">
        <f t="shared" si="170"/>
        <v>365</v>
      </c>
      <c r="AW91" s="88">
        <f t="shared" si="170"/>
        <v>366</v>
      </c>
      <c r="AX91" s="88">
        <f t="shared" si="170"/>
        <v>365</v>
      </c>
    </row>
    <row r="92" spans="1:51" ht="15" customHeight="1">
      <c r="A92" s="83"/>
      <c r="B92" s="83"/>
      <c r="C92" s="83"/>
      <c r="D92" s="83"/>
      <c r="E92" s="83" t="s">
        <v>187</v>
      </c>
      <c r="F92" s="83"/>
      <c r="G92" s="83" t="s">
        <v>7</v>
      </c>
      <c r="H92" s="83"/>
      <c r="I92" s="86"/>
      <c r="J92" s="83"/>
      <c r="K92" s="288">
        <f t="shared" ref="K92:AX92" si="171">IF($I$86&gt;=K$82,1,IF($I$86&gt;=K$81,($I$86-K$81+1)/K$91,0))</f>
        <v>1</v>
      </c>
      <c r="L92" s="288">
        <f t="shared" si="171"/>
        <v>1</v>
      </c>
      <c r="M92" s="288">
        <f t="shared" si="171"/>
        <v>1</v>
      </c>
      <c r="N92" s="288">
        <f t="shared" si="171"/>
        <v>1</v>
      </c>
      <c r="O92" s="288">
        <f t="shared" si="171"/>
        <v>1</v>
      </c>
      <c r="P92" s="288">
        <f t="shared" si="171"/>
        <v>1</v>
      </c>
      <c r="Q92" s="288">
        <f t="shared" si="171"/>
        <v>1</v>
      </c>
      <c r="R92" s="288">
        <f t="shared" si="171"/>
        <v>1</v>
      </c>
      <c r="S92" s="288">
        <f t="shared" si="171"/>
        <v>1</v>
      </c>
      <c r="T92" s="288">
        <f t="shared" si="171"/>
        <v>1</v>
      </c>
      <c r="U92" s="288">
        <f t="shared" si="171"/>
        <v>1</v>
      </c>
      <c r="V92" s="288">
        <f t="shared" si="171"/>
        <v>0.81095890410958904</v>
      </c>
      <c r="W92" s="288">
        <f t="shared" si="171"/>
        <v>0</v>
      </c>
      <c r="X92" s="288">
        <f t="shared" si="171"/>
        <v>0</v>
      </c>
      <c r="Y92" s="288">
        <f t="shared" si="171"/>
        <v>0</v>
      </c>
      <c r="Z92" s="288">
        <f t="shared" si="171"/>
        <v>0</v>
      </c>
      <c r="AA92" s="288">
        <f t="shared" si="171"/>
        <v>0</v>
      </c>
      <c r="AB92" s="288">
        <f t="shared" si="171"/>
        <v>0</v>
      </c>
      <c r="AC92" s="288">
        <f t="shared" si="171"/>
        <v>0</v>
      </c>
      <c r="AD92" s="288">
        <f t="shared" si="171"/>
        <v>0</v>
      </c>
      <c r="AE92" s="288">
        <f t="shared" si="171"/>
        <v>0</v>
      </c>
      <c r="AF92" s="288">
        <f t="shared" si="171"/>
        <v>0</v>
      </c>
      <c r="AG92" s="288">
        <f t="shared" si="171"/>
        <v>0</v>
      </c>
      <c r="AH92" s="288">
        <f t="shared" si="171"/>
        <v>0</v>
      </c>
      <c r="AI92" s="288">
        <f t="shared" si="171"/>
        <v>0</v>
      </c>
      <c r="AJ92" s="288">
        <f t="shared" si="171"/>
        <v>0</v>
      </c>
      <c r="AK92" s="288">
        <f t="shared" si="171"/>
        <v>0</v>
      </c>
      <c r="AL92" s="288">
        <f t="shared" si="171"/>
        <v>0</v>
      </c>
      <c r="AM92" s="288">
        <f t="shared" si="171"/>
        <v>0</v>
      </c>
      <c r="AN92" s="288">
        <f t="shared" si="171"/>
        <v>0</v>
      </c>
      <c r="AO92" s="288">
        <f t="shared" si="171"/>
        <v>0</v>
      </c>
      <c r="AP92" s="288">
        <f t="shared" si="171"/>
        <v>0</v>
      </c>
      <c r="AQ92" s="288">
        <f t="shared" si="171"/>
        <v>0</v>
      </c>
      <c r="AR92" s="288">
        <f t="shared" si="171"/>
        <v>0</v>
      </c>
      <c r="AS92" s="288">
        <f t="shared" si="171"/>
        <v>0</v>
      </c>
      <c r="AT92" s="288">
        <f t="shared" si="171"/>
        <v>0</v>
      </c>
      <c r="AU92" s="288">
        <f t="shared" si="171"/>
        <v>0</v>
      </c>
      <c r="AV92" s="288">
        <f t="shared" si="171"/>
        <v>0</v>
      </c>
      <c r="AW92" s="288">
        <f t="shared" si="171"/>
        <v>0</v>
      </c>
      <c r="AX92" s="288">
        <f t="shared" si="171"/>
        <v>0</v>
      </c>
    </row>
    <row r="93" spans="1:51" ht="15" customHeight="1">
      <c r="A93" s="83"/>
      <c r="B93" s="83"/>
      <c r="C93" s="83"/>
      <c r="D93" s="83"/>
      <c r="E93" s="83" t="s">
        <v>186</v>
      </c>
      <c r="F93" s="83"/>
      <c r="G93" s="83" t="s">
        <v>7</v>
      </c>
      <c r="H93" s="83"/>
      <c r="I93" s="86"/>
      <c r="J93" s="83"/>
      <c r="K93" s="288">
        <f>IF(OR(K92=1,K94=1),0,IF($I$87&lt;K81,0,IF($I$87&lt;K82,($I$87-(MAX($I$86+1,K81)))/K91,MIN(1,(K82-$I$86)/K91))))</f>
        <v>0</v>
      </c>
      <c r="L93" s="288">
        <f t="shared" ref="L93:AX93" si="172">IF(OR(L92=1,L94=1),0,IF($I$87&lt;L81,0,IF($I$87&lt;L82,($I$87-(MAX($I$86+1,L81)))/L91,MIN(1,(L82-$I$86)/L91))))</f>
        <v>0</v>
      </c>
      <c r="M93" s="288">
        <f t="shared" si="172"/>
        <v>0</v>
      </c>
      <c r="N93" s="288">
        <f t="shared" si="172"/>
        <v>0</v>
      </c>
      <c r="O93" s="288">
        <f t="shared" si="172"/>
        <v>0</v>
      </c>
      <c r="P93" s="288">
        <f t="shared" si="172"/>
        <v>0</v>
      </c>
      <c r="Q93" s="288">
        <f t="shared" si="172"/>
        <v>0</v>
      </c>
      <c r="R93" s="288">
        <f t="shared" si="172"/>
        <v>0</v>
      </c>
      <c r="S93" s="288">
        <f t="shared" si="172"/>
        <v>0</v>
      </c>
      <c r="T93" s="288">
        <f t="shared" si="172"/>
        <v>0</v>
      </c>
      <c r="U93" s="288">
        <f t="shared" si="172"/>
        <v>0</v>
      </c>
      <c r="V93" s="288">
        <f t="shared" si="172"/>
        <v>0</v>
      </c>
      <c r="W93" s="288">
        <f t="shared" si="172"/>
        <v>0</v>
      </c>
      <c r="X93" s="288">
        <f t="shared" si="172"/>
        <v>0</v>
      </c>
      <c r="Y93" s="288">
        <f t="shared" si="172"/>
        <v>0</v>
      </c>
      <c r="Z93" s="288">
        <f t="shared" si="172"/>
        <v>0</v>
      </c>
      <c r="AA93" s="288">
        <f t="shared" si="172"/>
        <v>0</v>
      </c>
      <c r="AB93" s="288">
        <f t="shared" si="172"/>
        <v>0</v>
      </c>
      <c r="AC93" s="288">
        <f t="shared" si="172"/>
        <v>0</v>
      </c>
      <c r="AD93" s="288">
        <f t="shared" si="172"/>
        <v>0</v>
      </c>
      <c r="AE93" s="288">
        <f t="shared" si="172"/>
        <v>0</v>
      </c>
      <c r="AF93" s="288">
        <f t="shared" si="172"/>
        <v>0</v>
      </c>
      <c r="AG93" s="288">
        <f t="shared" si="172"/>
        <v>0</v>
      </c>
      <c r="AH93" s="288">
        <f t="shared" si="172"/>
        <v>0</v>
      </c>
      <c r="AI93" s="288">
        <f t="shared" si="172"/>
        <v>0</v>
      </c>
      <c r="AJ93" s="288">
        <f t="shared" si="172"/>
        <v>0</v>
      </c>
      <c r="AK93" s="288">
        <f t="shared" si="172"/>
        <v>0</v>
      </c>
      <c r="AL93" s="288">
        <f t="shared" si="172"/>
        <v>0</v>
      </c>
      <c r="AM93" s="288">
        <f t="shared" si="172"/>
        <v>0</v>
      </c>
      <c r="AN93" s="288">
        <f t="shared" si="172"/>
        <v>0</v>
      </c>
      <c r="AO93" s="288">
        <f t="shared" si="172"/>
        <v>0</v>
      </c>
      <c r="AP93" s="288">
        <f t="shared" si="172"/>
        <v>0</v>
      </c>
      <c r="AQ93" s="288">
        <f t="shared" si="172"/>
        <v>0</v>
      </c>
      <c r="AR93" s="288">
        <f t="shared" si="172"/>
        <v>0</v>
      </c>
      <c r="AS93" s="288">
        <f t="shared" si="172"/>
        <v>0</v>
      </c>
      <c r="AT93" s="288">
        <f t="shared" si="172"/>
        <v>0</v>
      </c>
      <c r="AU93" s="288">
        <f t="shared" si="172"/>
        <v>0</v>
      </c>
      <c r="AV93" s="288">
        <f t="shared" si="172"/>
        <v>0</v>
      </c>
      <c r="AW93" s="288">
        <f t="shared" si="172"/>
        <v>0</v>
      </c>
      <c r="AX93" s="288">
        <f t="shared" si="172"/>
        <v>0</v>
      </c>
    </row>
    <row r="94" spans="1:51" ht="15" customHeight="1">
      <c r="A94" s="83"/>
      <c r="B94" s="83"/>
      <c r="C94" s="83"/>
      <c r="D94" s="83"/>
      <c r="E94" s="83" t="s">
        <v>188</v>
      </c>
      <c r="F94" s="83"/>
      <c r="G94" s="83" t="s">
        <v>7</v>
      </c>
      <c r="H94" s="83"/>
      <c r="I94" s="86"/>
      <c r="J94" s="83"/>
      <c r="K94" s="288">
        <f t="shared" ref="K94:AX94" si="173">IF(OR($I$87&gt;K$82,$I$88&lt;K$81),0,IF($I$87&gt;=K$81,(K$82-$I$87+1)/K$91,IF($I$88&lt;=K$82,($I$88-K$81+1)/K$91,1)))</f>
        <v>0</v>
      </c>
      <c r="L94" s="288">
        <f t="shared" si="173"/>
        <v>0</v>
      </c>
      <c r="M94" s="288">
        <f t="shared" si="173"/>
        <v>0</v>
      </c>
      <c r="N94" s="288">
        <f t="shared" si="173"/>
        <v>0</v>
      </c>
      <c r="O94" s="288">
        <f t="shared" si="173"/>
        <v>0</v>
      </c>
      <c r="P94" s="288">
        <f t="shared" si="173"/>
        <v>0</v>
      </c>
      <c r="Q94" s="288">
        <f t="shared" si="173"/>
        <v>0</v>
      </c>
      <c r="R94" s="288">
        <f t="shared" si="173"/>
        <v>0</v>
      </c>
      <c r="S94" s="288">
        <f t="shared" si="173"/>
        <v>0</v>
      </c>
      <c r="T94" s="288">
        <f t="shared" si="173"/>
        <v>0</v>
      </c>
      <c r="U94" s="288">
        <f t="shared" si="173"/>
        <v>0</v>
      </c>
      <c r="V94" s="288">
        <f t="shared" si="173"/>
        <v>0.18904109589041096</v>
      </c>
      <c r="W94" s="288">
        <f t="shared" si="173"/>
        <v>1</v>
      </c>
      <c r="X94" s="288">
        <f t="shared" si="173"/>
        <v>1</v>
      </c>
      <c r="Y94" s="288">
        <f t="shared" si="173"/>
        <v>1</v>
      </c>
      <c r="Z94" s="288">
        <f t="shared" si="173"/>
        <v>1</v>
      </c>
      <c r="AA94" s="288">
        <f t="shared" si="173"/>
        <v>1</v>
      </c>
      <c r="AB94" s="288">
        <f t="shared" si="173"/>
        <v>1</v>
      </c>
      <c r="AC94" s="288">
        <f t="shared" si="173"/>
        <v>1</v>
      </c>
      <c r="AD94" s="288">
        <f t="shared" si="173"/>
        <v>1</v>
      </c>
      <c r="AE94" s="288">
        <f t="shared" si="173"/>
        <v>1</v>
      </c>
      <c r="AF94" s="288">
        <f t="shared" si="173"/>
        <v>1</v>
      </c>
      <c r="AG94" s="288">
        <f t="shared" si="173"/>
        <v>1</v>
      </c>
      <c r="AH94" s="288">
        <f t="shared" si="173"/>
        <v>1</v>
      </c>
      <c r="AI94" s="288">
        <f t="shared" si="173"/>
        <v>1</v>
      </c>
      <c r="AJ94" s="288">
        <f t="shared" si="173"/>
        <v>1</v>
      </c>
      <c r="AK94" s="288">
        <f t="shared" si="173"/>
        <v>1</v>
      </c>
      <c r="AL94" s="288">
        <f t="shared" si="173"/>
        <v>1</v>
      </c>
      <c r="AM94" s="288">
        <f t="shared" si="173"/>
        <v>1</v>
      </c>
      <c r="AN94" s="288">
        <f t="shared" si="173"/>
        <v>1</v>
      </c>
      <c r="AO94" s="288">
        <f t="shared" si="173"/>
        <v>1</v>
      </c>
      <c r="AP94" s="288">
        <f t="shared" si="173"/>
        <v>1</v>
      </c>
      <c r="AQ94" s="288">
        <f t="shared" si="173"/>
        <v>1</v>
      </c>
      <c r="AR94" s="288">
        <f t="shared" si="173"/>
        <v>1</v>
      </c>
      <c r="AS94" s="288">
        <f t="shared" si="173"/>
        <v>1</v>
      </c>
      <c r="AT94" s="288">
        <f t="shared" si="173"/>
        <v>1</v>
      </c>
      <c r="AU94" s="288">
        <f t="shared" si="173"/>
        <v>0.75342465753424659</v>
      </c>
      <c r="AV94" s="288">
        <f t="shared" si="173"/>
        <v>0</v>
      </c>
      <c r="AW94" s="288">
        <f t="shared" si="173"/>
        <v>0</v>
      </c>
      <c r="AX94" s="288">
        <f t="shared" si="173"/>
        <v>0</v>
      </c>
    </row>
    <row r="95" spans="1:51" s="271" customFormat="1" ht="15" customHeight="1">
      <c r="A95" s="52"/>
      <c r="B95" s="52"/>
      <c r="C95" s="52"/>
      <c r="D95" s="52"/>
      <c r="E95" s="52" t="s">
        <v>189</v>
      </c>
      <c r="F95" s="52"/>
      <c r="G95" s="52" t="s">
        <v>7</v>
      </c>
      <c r="H95" s="52" t="s">
        <v>218</v>
      </c>
      <c r="I95" s="86"/>
      <c r="J95" s="52"/>
      <c r="K95" s="168">
        <f>IF(AND(SUM(K34:K36)&lt;&gt;0,SUM(L34:$AX36)=0),1,0)</f>
        <v>0</v>
      </c>
      <c r="L95" s="168">
        <f>IF(AND(SUM(L34:L36)&lt;&gt;0,SUM(M34:$AX36)=0),1,0)</f>
        <v>0</v>
      </c>
      <c r="M95" s="168">
        <f>IF(AND(SUM(M34:M36)&lt;&gt;0,SUM(N34:$AX36)=0),1,0)</f>
        <v>0</v>
      </c>
      <c r="N95" s="168">
        <f>IF(AND(SUM(N34:N36)&lt;&gt;0,SUM(O34:$AX36)=0),1,0)</f>
        <v>0</v>
      </c>
      <c r="O95" s="168">
        <f>IF(AND(SUM(O34:O36)&lt;&gt;0,SUM(P34:$AX36)=0),1,0)</f>
        <v>0</v>
      </c>
      <c r="P95" s="168">
        <f>IF(AND(SUM(P34:P36)&lt;&gt;0,SUM(Q34:$AX36)=0),1,0)</f>
        <v>0</v>
      </c>
      <c r="Q95" s="168">
        <f>IF(AND(SUM(Q34:Q36)&lt;&gt;0,SUM(R34:$AX36)=0),1,0)</f>
        <v>0</v>
      </c>
      <c r="R95" s="168">
        <f>IF(AND(SUM(R34:R36)&lt;&gt;0,SUM(S34:$AX36)=0),1,0)</f>
        <v>0</v>
      </c>
      <c r="S95" s="168">
        <f>IF(AND(SUM(S34:S36)&lt;&gt;0,SUM(T34:$AX36)=0),1,0)</f>
        <v>0</v>
      </c>
      <c r="T95" s="168">
        <f>IF(AND(SUM(T34:T36)&lt;&gt;0,SUM(U34:$AX36)=0),1,0)</f>
        <v>0</v>
      </c>
      <c r="U95" s="168">
        <f>IF(AND(SUM(U34:U36)&lt;&gt;0,SUM(V34:$AX36)=0),1,0)</f>
        <v>0</v>
      </c>
      <c r="V95" s="168">
        <f>IF(AND(SUM(V34:V36)&lt;&gt;0,SUM(W34:$AX36)=0),1,0)</f>
        <v>0</v>
      </c>
      <c r="W95" s="168">
        <f>IF(AND(SUM(W34:W36)&lt;&gt;0,SUM(X34:$AX36)=0),1,0)</f>
        <v>1</v>
      </c>
      <c r="X95" s="168">
        <f>IF(AND(SUM(X34:X36)&lt;&gt;0,SUM(Y34:$AX36)=0),1,0)</f>
        <v>0</v>
      </c>
      <c r="Y95" s="168">
        <f>IF(AND(SUM(Y34:Y36)&lt;&gt;0,SUM(Z34:$AX36)=0),1,0)</f>
        <v>0</v>
      </c>
      <c r="Z95" s="168">
        <f>IF(AND(SUM(Z34:Z36)&lt;&gt;0,SUM(AA34:$AX36)=0),1,0)</f>
        <v>0</v>
      </c>
      <c r="AA95" s="168">
        <f>IF(AND(SUM(AA34:AA36)&lt;&gt;0,SUM(AB34:$AX36)=0),1,0)</f>
        <v>0</v>
      </c>
      <c r="AB95" s="168">
        <f>IF(AND(SUM(AB34:AB36)&lt;&gt;0,SUM(AC34:$AX36)=0),1,0)</f>
        <v>0</v>
      </c>
      <c r="AC95" s="168">
        <f>IF(AND(SUM(AC34:AC36)&lt;&gt;0,SUM(AD34:$AX36)=0),1,0)</f>
        <v>0</v>
      </c>
      <c r="AD95" s="168">
        <f>IF(AND(SUM(AD34:AD36)&lt;&gt;0,SUM(AE34:$AX36)=0),1,0)</f>
        <v>0</v>
      </c>
      <c r="AE95" s="168">
        <f>IF(AND(SUM(AE34:AE36)&lt;&gt;0,SUM(AF34:$AX36)=0),1,0)</f>
        <v>0</v>
      </c>
      <c r="AF95" s="168">
        <f>IF(AND(SUM(AF34:AF36)&lt;&gt;0,SUM(AG34:$AX36)=0),1,0)</f>
        <v>0</v>
      </c>
      <c r="AG95" s="168">
        <f>IF(AND(SUM(AG34:AG36)&lt;&gt;0,SUM(AH34:$AX36)=0),1,0)</f>
        <v>0</v>
      </c>
      <c r="AH95" s="168">
        <f>IF(AND(SUM(AH34:AH36)&lt;&gt;0,SUM(AI34:$AX36)=0),1,0)</f>
        <v>0</v>
      </c>
      <c r="AI95" s="168">
        <f>IF(AND(SUM(AI34:AI36)&lt;&gt;0,SUM(AJ34:$AX36)=0),1,0)</f>
        <v>0</v>
      </c>
      <c r="AJ95" s="168">
        <f>IF(AND(SUM(AJ34:AJ36)&lt;&gt;0,SUM(AK34:$AX36)=0),1,0)</f>
        <v>0</v>
      </c>
      <c r="AK95" s="168">
        <f>IF(AND(SUM(AK34:AK36)&lt;&gt;0,SUM(AL34:$AX36)=0),1,0)</f>
        <v>0</v>
      </c>
      <c r="AL95" s="168">
        <f>IF(AND(SUM(AL34:AL36)&lt;&gt;0,SUM(AM34:$AX36)=0),1,0)</f>
        <v>0</v>
      </c>
      <c r="AM95" s="168">
        <f>IF(AND(SUM(AM34:AM36)&lt;&gt;0,SUM(AN34:$AX36)=0),1,0)</f>
        <v>0</v>
      </c>
      <c r="AN95" s="168">
        <f>IF(AND(SUM(AN34:AN36)&lt;&gt;0,SUM(AO34:$AX36)=0),1,0)</f>
        <v>0</v>
      </c>
      <c r="AO95" s="168">
        <f>IF(AND(SUM(AO34:AO36)&lt;&gt;0,SUM(AP34:$AX36)=0),1,0)</f>
        <v>0</v>
      </c>
      <c r="AP95" s="168">
        <f>IF(AND(SUM(AP34:AP36)&lt;&gt;0,SUM(AQ34:$AX36)=0),1,0)</f>
        <v>0</v>
      </c>
      <c r="AQ95" s="168">
        <f>IF(AND(SUM(AQ34:AQ36)&lt;&gt;0,SUM(AR34:$AX36)=0),1,0)</f>
        <v>0</v>
      </c>
      <c r="AR95" s="168">
        <f>IF(AND(SUM(AR34:AR36)&lt;&gt;0,SUM(AS34:$AX36)=0),1,0)</f>
        <v>0</v>
      </c>
      <c r="AS95" s="168">
        <f>IF(AND(SUM(AS34:AS36)&lt;&gt;0,SUM(AT34:$AX36)=0),1,0)</f>
        <v>0</v>
      </c>
      <c r="AT95" s="168">
        <f>IF(AND(SUM(AT34:AT36)&lt;&gt;0,SUM(AU34:$AX36)=0),1,0)</f>
        <v>0</v>
      </c>
      <c r="AU95" s="168">
        <f>IF(AND(SUM(AU34:AU36)&lt;&gt;0,SUM(AV34:$AX36)=0),1,0)</f>
        <v>0</v>
      </c>
      <c r="AV95" s="168">
        <f>IF(AND(SUM(AV34:AV36)&lt;&gt;0,SUM(AW34:$AX36)=0),1,0)</f>
        <v>0</v>
      </c>
      <c r="AW95" s="168">
        <f>IF(AND(SUM(AW34:AW36)&lt;&gt;0,SUM(AX34:$AX36)=0),1,0)</f>
        <v>0</v>
      </c>
      <c r="AX95" s="168">
        <f>IF(AND(SUM(AX34:AX36)&lt;&gt;0,SUM($AX34:AZ36)=0),1,0)</f>
        <v>0</v>
      </c>
      <c r="AY95"/>
    </row>
    <row r="96" spans="1:51" ht="15" customHeight="1">
      <c r="A96" s="83"/>
      <c r="B96" s="83"/>
      <c r="C96" s="83"/>
      <c r="D96" s="83"/>
      <c r="E96" s="83" t="s">
        <v>190</v>
      </c>
      <c r="F96" s="83"/>
      <c r="G96" s="83" t="s">
        <v>7</v>
      </c>
      <c r="H96" s="83"/>
      <c r="I96" s="86"/>
      <c r="J96" s="83"/>
      <c r="K96" s="288">
        <f>IF(AND(SUM($J35:K35)=0,L35&gt;0),1,0)</f>
        <v>0</v>
      </c>
      <c r="L96" s="288">
        <f>IF(AND(SUM($J35:L35)=0,M35&gt;0),1,0)</f>
        <v>0</v>
      </c>
      <c r="M96" s="288">
        <f>IF(AND(SUM($J35:M35)=0,N35&gt;0),1,0)</f>
        <v>0</v>
      </c>
      <c r="N96" s="288">
        <f>IF(AND(SUM($J35:N35)=0,O35&gt;0),1,0)</f>
        <v>0</v>
      </c>
      <c r="O96" s="288">
        <f>IF(AND(SUM($J35:O35)=0,P35&gt;0),1,0)</f>
        <v>0</v>
      </c>
      <c r="P96" s="288">
        <f>IF(AND(SUM($J35:P35)=0,Q35&gt;0),1,0)</f>
        <v>0</v>
      </c>
      <c r="Q96" s="288">
        <f>IF(AND(SUM($J35:Q35)=0,R35&gt;0),1,0)</f>
        <v>1</v>
      </c>
      <c r="R96" s="288">
        <f>IF(AND(SUM($J35:R35)=0,S35&gt;0),1,0)</f>
        <v>0</v>
      </c>
      <c r="S96" s="288">
        <f>IF(AND(SUM($J35:S35)=0,T35&gt;0),1,0)</f>
        <v>0</v>
      </c>
      <c r="T96" s="288">
        <f>IF(AND(SUM($J35:T35)=0,U35&gt;0),1,0)</f>
        <v>0</v>
      </c>
      <c r="U96" s="288">
        <f>IF(AND(SUM($J35:U35)=0,V35&gt;0),1,0)</f>
        <v>0</v>
      </c>
      <c r="V96" s="288">
        <f>IF(AND(SUM($J35:V35)=0,W35&gt;0),1,0)</f>
        <v>0</v>
      </c>
      <c r="W96" s="288">
        <f>IF(AND(SUM($J35:W35)=0,X35&gt;0),1,0)</f>
        <v>0</v>
      </c>
      <c r="X96" s="288">
        <f>IF(AND(SUM($J35:X35)=0,Y35&gt;0),1,0)</f>
        <v>0</v>
      </c>
      <c r="Y96" s="288">
        <f>IF(AND(SUM($J35:Y35)=0,Z35&gt;0),1,0)</f>
        <v>0</v>
      </c>
      <c r="Z96" s="288">
        <f>IF(AND(SUM($J35:Z35)=0,AA35&gt;0),1,0)</f>
        <v>0</v>
      </c>
      <c r="AA96" s="288">
        <f>IF(AND(SUM($J35:AA35)=0,AB35&gt;0),1,0)</f>
        <v>0</v>
      </c>
      <c r="AB96" s="288">
        <f>IF(AND(SUM($J35:AB35)=0,AC35&gt;0),1,0)</f>
        <v>0</v>
      </c>
      <c r="AC96" s="288">
        <f>IF(AND(SUM($J35:AC35)=0,AD35&gt;0),1,0)</f>
        <v>0</v>
      </c>
      <c r="AD96" s="288">
        <f>IF(AND(SUM($J35:AD35)=0,AE35&gt;0),1,0)</f>
        <v>0</v>
      </c>
      <c r="AE96" s="288">
        <f>IF(AND(SUM($J35:AE35)=0,AF35&gt;0),1,0)</f>
        <v>0</v>
      </c>
      <c r="AF96" s="288">
        <f>IF(AND(SUM($J35:AF35)=0,AG35&gt;0),1,0)</f>
        <v>0</v>
      </c>
      <c r="AG96" s="288">
        <f>IF(AND(SUM($J35:AG35)=0,AH35&gt;0),1,0)</f>
        <v>0</v>
      </c>
      <c r="AH96" s="288">
        <f>IF(AND(SUM($J35:AH35)=0,AI35&gt;0),1,0)</f>
        <v>0</v>
      </c>
      <c r="AI96" s="288">
        <f>IF(AND(SUM($J35:AI35)=0,AJ35&gt;0),1,0)</f>
        <v>0</v>
      </c>
      <c r="AJ96" s="288">
        <f>IF(AND(SUM($J35:AJ35)=0,AK35&gt;0),1,0)</f>
        <v>0</v>
      </c>
      <c r="AK96" s="288">
        <f>IF(AND(SUM($J35:AK35)=0,AL35&gt;0),1,0)</f>
        <v>0</v>
      </c>
      <c r="AL96" s="288">
        <f>IF(AND(SUM($J35:AL35)=0,AM35&gt;0),1,0)</f>
        <v>0</v>
      </c>
      <c r="AM96" s="288">
        <f>IF(AND(SUM($J35:AM35)=0,AN35&gt;0),1,0)</f>
        <v>0</v>
      </c>
      <c r="AN96" s="288">
        <f>IF(AND(SUM($J35:AN35)=0,AO35&gt;0),1,0)</f>
        <v>0</v>
      </c>
      <c r="AO96" s="288">
        <f>IF(AND(SUM($J35:AO35)=0,AP35&gt;0),1,0)</f>
        <v>0</v>
      </c>
      <c r="AP96" s="288">
        <f>IF(AND(SUM($J35:AP35)=0,AQ35&gt;0),1,0)</f>
        <v>0</v>
      </c>
      <c r="AQ96" s="288">
        <f>IF(AND(SUM($J35:AQ35)=0,AR35&gt;0),1,0)</f>
        <v>0</v>
      </c>
      <c r="AR96" s="288">
        <f>IF(AND(SUM($J35:AR35)=0,AS35&gt;0),1,0)</f>
        <v>0</v>
      </c>
      <c r="AS96" s="288">
        <f>IF(AND(SUM($J35:AS35)=0,AT35&gt;0),1,0)</f>
        <v>0</v>
      </c>
      <c r="AT96" s="288">
        <f>IF(AND(SUM($J35:AT35)=0,AU35&gt;0),1,0)</f>
        <v>0</v>
      </c>
      <c r="AU96" s="288">
        <f>IF(AND(SUM($J35:AU35)=0,AV35&gt;0),1,0)</f>
        <v>0</v>
      </c>
      <c r="AV96" s="288">
        <f>IF(AND(SUM($J35:AV35)=0,AW35&gt;0),1,0)</f>
        <v>0</v>
      </c>
      <c r="AW96" s="288">
        <f>IF(AND(SUM($J35:AW35)=0,AX35&gt;0),1,0)</f>
        <v>0</v>
      </c>
      <c r="AX96" s="288">
        <f>IF(AND(SUM($J35:AX35)=0,AZ35&gt;0),1,0)</f>
        <v>0</v>
      </c>
    </row>
    <row r="97" spans="1:53" ht="15" customHeight="1">
      <c r="A97" s="83"/>
      <c r="B97" s="83"/>
      <c r="C97" s="83"/>
      <c r="D97" s="83"/>
      <c r="E97" s="83"/>
      <c r="F97" s="83"/>
      <c r="G97" s="83"/>
      <c r="H97" s="83"/>
      <c r="I97" s="86"/>
      <c r="J97" s="83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</row>
    <row r="98" spans="1:53" ht="15" customHeight="1">
      <c r="A98" s="90"/>
      <c r="B98" s="90"/>
      <c r="C98" s="81" t="s">
        <v>191</v>
      </c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</row>
    <row r="99" spans="1:53" ht="15" customHeight="1">
      <c r="A99" s="83"/>
      <c r="B99" s="83"/>
      <c r="C99" s="83"/>
      <c r="D99" s="83"/>
      <c r="E99" s="83"/>
      <c r="F99" s="83"/>
      <c r="G99" s="90"/>
      <c r="H99" s="83"/>
      <c r="I99" s="71"/>
      <c r="J99" s="83"/>
      <c r="K99" s="83"/>
      <c r="L99" s="83"/>
      <c r="M99" s="83"/>
      <c r="N99" s="83"/>
      <c r="O99" s="83"/>
      <c r="P99" s="6"/>
      <c r="Q99" s="6"/>
      <c r="R99" s="83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  <c r="AD99" s="83"/>
      <c r="AE99" s="83"/>
      <c r="AF99" s="83"/>
      <c r="AG99" s="83"/>
      <c r="AH99" s="83"/>
      <c r="AI99" s="83"/>
      <c r="AJ99" s="83"/>
      <c r="AK99" s="83"/>
      <c r="AL99" s="83"/>
      <c r="AM99" s="83"/>
      <c r="AN99" s="83"/>
      <c r="AO99" s="83"/>
      <c r="AP99" s="83"/>
      <c r="AQ99" s="83"/>
      <c r="AR99" s="83"/>
      <c r="AS99" s="83"/>
      <c r="AT99" s="83"/>
      <c r="AU99" s="83"/>
      <c r="AV99" s="83"/>
      <c r="AW99" s="83"/>
      <c r="AX99" s="83"/>
    </row>
    <row r="100" spans="1:53" ht="15" customHeight="1">
      <c r="A100" s="99"/>
      <c r="B100" s="99"/>
      <c r="C100" s="99"/>
      <c r="D100" s="99"/>
      <c r="E100" s="11" t="s">
        <v>80</v>
      </c>
      <c r="F100" s="101"/>
      <c r="G100" s="101"/>
      <c r="H100" s="101"/>
      <c r="I100" s="101"/>
      <c r="J100" s="100"/>
      <c r="K100" s="251">
        <f>K17</f>
        <v>39904</v>
      </c>
      <c r="L100" s="12">
        <f>+K101+1</f>
        <v>40269</v>
      </c>
      <c r="M100" s="12">
        <f>+L101+1</f>
        <v>40634</v>
      </c>
      <c r="N100" s="12">
        <f t="shared" ref="N100:AX100" si="174">+M101+1</f>
        <v>41000</v>
      </c>
      <c r="O100" s="12">
        <f t="shared" si="174"/>
        <v>41365</v>
      </c>
      <c r="P100" s="12">
        <f t="shared" si="174"/>
        <v>41730</v>
      </c>
      <c r="Q100" s="12">
        <f t="shared" si="174"/>
        <v>42095</v>
      </c>
      <c r="R100" s="12">
        <f t="shared" si="174"/>
        <v>42461</v>
      </c>
      <c r="S100" s="12">
        <f t="shared" si="174"/>
        <v>42826</v>
      </c>
      <c r="T100" s="12">
        <f t="shared" si="174"/>
        <v>43191</v>
      </c>
      <c r="U100" s="12">
        <f t="shared" si="174"/>
        <v>43556</v>
      </c>
      <c r="V100" s="12">
        <f t="shared" si="174"/>
        <v>43922</v>
      </c>
      <c r="W100" s="12">
        <f t="shared" si="174"/>
        <v>44287</v>
      </c>
      <c r="X100" s="12">
        <f t="shared" si="174"/>
        <v>44652</v>
      </c>
      <c r="Y100" s="12">
        <f t="shared" si="174"/>
        <v>45017</v>
      </c>
      <c r="Z100" s="12">
        <f t="shared" si="174"/>
        <v>45383</v>
      </c>
      <c r="AA100" s="12">
        <f t="shared" si="174"/>
        <v>45748</v>
      </c>
      <c r="AB100" s="12">
        <f t="shared" si="174"/>
        <v>46113</v>
      </c>
      <c r="AC100" s="12">
        <f t="shared" si="174"/>
        <v>46478</v>
      </c>
      <c r="AD100" s="12">
        <f t="shared" si="174"/>
        <v>46844</v>
      </c>
      <c r="AE100" s="12">
        <f t="shared" si="174"/>
        <v>47209</v>
      </c>
      <c r="AF100" s="12">
        <f t="shared" si="174"/>
        <v>47574</v>
      </c>
      <c r="AG100" s="12">
        <f t="shared" si="174"/>
        <v>47939</v>
      </c>
      <c r="AH100" s="12">
        <f t="shared" si="174"/>
        <v>48305</v>
      </c>
      <c r="AI100" s="12">
        <f t="shared" si="174"/>
        <v>48670</v>
      </c>
      <c r="AJ100" s="12">
        <f t="shared" si="174"/>
        <v>49035</v>
      </c>
      <c r="AK100" s="12">
        <f t="shared" si="174"/>
        <v>49400</v>
      </c>
      <c r="AL100" s="12">
        <f t="shared" si="174"/>
        <v>49766</v>
      </c>
      <c r="AM100" s="12">
        <f t="shared" si="174"/>
        <v>50131</v>
      </c>
      <c r="AN100" s="12">
        <f t="shared" si="174"/>
        <v>50496</v>
      </c>
      <c r="AO100" s="12">
        <f t="shared" si="174"/>
        <v>50861</v>
      </c>
      <c r="AP100" s="12">
        <f t="shared" si="174"/>
        <v>51227</v>
      </c>
      <c r="AQ100" s="12">
        <f t="shared" si="174"/>
        <v>51592</v>
      </c>
      <c r="AR100" s="12">
        <f t="shared" si="174"/>
        <v>51957</v>
      </c>
      <c r="AS100" s="12">
        <f t="shared" si="174"/>
        <v>52322</v>
      </c>
      <c r="AT100" s="12">
        <f t="shared" si="174"/>
        <v>52688</v>
      </c>
      <c r="AU100" s="12">
        <f t="shared" si="174"/>
        <v>53053</v>
      </c>
      <c r="AV100" s="12">
        <f t="shared" si="174"/>
        <v>53418</v>
      </c>
      <c r="AW100" s="12">
        <f t="shared" si="174"/>
        <v>53783</v>
      </c>
      <c r="AX100" s="12">
        <f t="shared" si="174"/>
        <v>54149</v>
      </c>
    </row>
    <row r="101" spans="1:53" ht="15" customHeight="1">
      <c r="A101" s="102"/>
      <c r="B101" s="102"/>
      <c r="C101" s="102"/>
      <c r="D101" s="102"/>
      <c r="E101" s="11" t="s">
        <v>5</v>
      </c>
      <c r="F101" s="102"/>
      <c r="G101" s="102"/>
      <c r="H101" s="102"/>
      <c r="I101" s="103"/>
      <c r="J101" s="102"/>
      <c r="K101" s="251">
        <f>K18</f>
        <v>40268</v>
      </c>
      <c r="L101" s="12">
        <f t="shared" ref="L101:AX101" si="175">DATE(YEAR(K101) + 1, MONTH(K101), DAY(K101))</f>
        <v>40633</v>
      </c>
      <c r="M101" s="12">
        <f t="shared" si="175"/>
        <v>40999</v>
      </c>
      <c r="N101" s="12">
        <f t="shared" si="175"/>
        <v>41364</v>
      </c>
      <c r="O101" s="12">
        <f t="shared" si="175"/>
        <v>41729</v>
      </c>
      <c r="P101" s="12">
        <f t="shared" si="175"/>
        <v>42094</v>
      </c>
      <c r="Q101" s="12">
        <f t="shared" si="175"/>
        <v>42460</v>
      </c>
      <c r="R101" s="12">
        <f t="shared" si="175"/>
        <v>42825</v>
      </c>
      <c r="S101" s="12">
        <f t="shared" si="175"/>
        <v>43190</v>
      </c>
      <c r="T101" s="12">
        <f t="shared" si="175"/>
        <v>43555</v>
      </c>
      <c r="U101" s="12">
        <f t="shared" si="175"/>
        <v>43921</v>
      </c>
      <c r="V101" s="12">
        <f t="shared" si="175"/>
        <v>44286</v>
      </c>
      <c r="W101" s="12">
        <f t="shared" si="175"/>
        <v>44651</v>
      </c>
      <c r="X101" s="12">
        <f t="shared" si="175"/>
        <v>45016</v>
      </c>
      <c r="Y101" s="12">
        <f t="shared" si="175"/>
        <v>45382</v>
      </c>
      <c r="Z101" s="12">
        <f t="shared" si="175"/>
        <v>45747</v>
      </c>
      <c r="AA101" s="12">
        <f t="shared" si="175"/>
        <v>46112</v>
      </c>
      <c r="AB101" s="12">
        <f t="shared" si="175"/>
        <v>46477</v>
      </c>
      <c r="AC101" s="12">
        <f t="shared" si="175"/>
        <v>46843</v>
      </c>
      <c r="AD101" s="12">
        <f t="shared" si="175"/>
        <v>47208</v>
      </c>
      <c r="AE101" s="12">
        <f t="shared" si="175"/>
        <v>47573</v>
      </c>
      <c r="AF101" s="12">
        <f t="shared" si="175"/>
        <v>47938</v>
      </c>
      <c r="AG101" s="12">
        <f t="shared" si="175"/>
        <v>48304</v>
      </c>
      <c r="AH101" s="12">
        <f t="shared" si="175"/>
        <v>48669</v>
      </c>
      <c r="AI101" s="12">
        <f t="shared" si="175"/>
        <v>49034</v>
      </c>
      <c r="AJ101" s="12">
        <f t="shared" si="175"/>
        <v>49399</v>
      </c>
      <c r="AK101" s="12">
        <f t="shared" si="175"/>
        <v>49765</v>
      </c>
      <c r="AL101" s="12">
        <f t="shared" si="175"/>
        <v>50130</v>
      </c>
      <c r="AM101" s="12">
        <f t="shared" si="175"/>
        <v>50495</v>
      </c>
      <c r="AN101" s="12">
        <f t="shared" si="175"/>
        <v>50860</v>
      </c>
      <c r="AO101" s="12">
        <f t="shared" si="175"/>
        <v>51226</v>
      </c>
      <c r="AP101" s="12">
        <f t="shared" si="175"/>
        <v>51591</v>
      </c>
      <c r="AQ101" s="12">
        <f t="shared" si="175"/>
        <v>51956</v>
      </c>
      <c r="AR101" s="12">
        <f t="shared" si="175"/>
        <v>52321</v>
      </c>
      <c r="AS101" s="12">
        <f t="shared" si="175"/>
        <v>52687</v>
      </c>
      <c r="AT101" s="12">
        <f t="shared" si="175"/>
        <v>53052</v>
      </c>
      <c r="AU101" s="12">
        <f t="shared" si="175"/>
        <v>53417</v>
      </c>
      <c r="AV101" s="12">
        <f t="shared" si="175"/>
        <v>53782</v>
      </c>
      <c r="AW101" s="12">
        <f t="shared" si="175"/>
        <v>54148</v>
      </c>
      <c r="AX101" s="12">
        <f t="shared" si="175"/>
        <v>54513</v>
      </c>
    </row>
    <row r="102" spans="1:53" ht="15" customHeight="1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</row>
    <row r="103" spans="1:53" ht="15" customHeight="1">
      <c r="A103" s="61"/>
      <c r="B103" s="40"/>
      <c r="C103" s="61"/>
      <c r="D103" s="61"/>
      <c r="E103" s="91" t="s">
        <v>230</v>
      </c>
      <c r="F103" s="91"/>
      <c r="G103" s="90" t="s">
        <v>11</v>
      </c>
      <c r="H103" s="91"/>
      <c r="I103" s="110">
        <v>3.2399999999999998E-2</v>
      </c>
      <c r="J103" s="41"/>
      <c r="K103" s="9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</row>
    <row r="104" spans="1:53" ht="26">
      <c r="A104"/>
      <c r="B104" s="157"/>
      <c r="C104" s="123"/>
      <c r="D104" s="123"/>
      <c r="E104" s="52" t="str">
        <f>E24</f>
        <v>Base year average UK RPI inflation index value (CHAW)</v>
      </c>
      <c r="F104" s="52"/>
      <c r="G104" s="108" t="str">
        <f>G24</f>
        <v>Jan 1987 = 100</v>
      </c>
      <c r="H104" s="108" t="str">
        <f>H24</f>
        <v>UK RPI index 2016/17</v>
      </c>
      <c r="I104" s="109">
        <f>I24</f>
        <v>264.99166666666673</v>
      </c>
      <c r="J104" s="123"/>
      <c r="K104" s="158"/>
      <c r="L104" s="158"/>
      <c r="M104" s="158"/>
      <c r="N104" s="158"/>
      <c r="O104" s="158"/>
      <c r="P104" s="123"/>
      <c r="Q104" s="123"/>
      <c r="R104" s="123"/>
      <c r="S104" s="158"/>
      <c r="T104" s="158"/>
      <c r="U104" s="89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8"/>
      <c r="AI104" s="158"/>
      <c r="AJ104" s="158"/>
      <c r="AK104" s="158"/>
      <c r="AL104" s="158"/>
      <c r="AM104" s="158"/>
      <c r="AN104" s="158"/>
      <c r="AO104" s="158"/>
      <c r="AP104" s="158"/>
      <c r="AQ104" s="158"/>
      <c r="AR104" s="158"/>
      <c r="AS104" s="158"/>
      <c r="AT104" s="158"/>
      <c r="AU104" s="158"/>
      <c r="AV104" s="158"/>
      <c r="AW104" s="158"/>
      <c r="AX104" s="158"/>
    </row>
    <row r="105" spans="1:53" ht="13">
      <c r="A105"/>
      <c r="B105" s="157"/>
      <c r="C105" s="123"/>
      <c r="D105" s="123"/>
      <c r="E105" s="52"/>
      <c r="F105" s="52"/>
      <c r="G105" s="108"/>
      <c r="H105" s="108"/>
      <c r="I105" s="156"/>
      <c r="J105" s="123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8"/>
      <c r="AI105" s="158"/>
      <c r="AJ105" s="158"/>
      <c r="AK105" s="158"/>
      <c r="AL105" s="158"/>
      <c r="AM105" s="158"/>
      <c r="AN105" s="158"/>
      <c r="AO105" s="158"/>
      <c r="AP105" s="158"/>
      <c r="AQ105" s="158"/>
      <c r="AR105" s="158"/>
      <c r="AS105" s="158"/>
      <c r="AT105" s="158"/>
      <c r="AU105" s="158"/>
      <c r="AV105" s="158"/>
      <c r="AW105" s="158"/>
      <c r="AX105" s="158"/>
    </row>
    <row r="106" spans="1:53" ht="15" customHeight="1">
      <c r="A106"/>
      <c r="B106" s="40"/>
      <c r="C106" s="61"/>
      <c r="D106" s="61"/>
      <c r="E106" s="89" t="str">
        <f>E28</f>
        <v>12-month average UK RPI inflation index value (CHAW)</v>
      </c>
      <c r="F106" s="89"/>
      <c r="G106" s="89" t="str">
        <f>G28</f>
        <v>Jan 1987 = 100</v>
      </c>
      <c r="H106" s="89" t="str">
        <f>H28</f>
        <v>UK RPI index t</v>
      </c>
      <c r="I106" s="61"/>
      <c r="J106" s="61"/>
      <c r="K106" s="280">
        <f>K28</f>
        <v>215.76666666666662</v>
      </c>
      <c r="L106" s="280">
        <f>L28</f>
        <v>226.47499999999999</v>
      </c>
      <c r="M106" s="280">
        <f t="shared" ref="M106:AX106" si="176">M28</f>
        <v>237.3416666666667</v>
      </c>
      <c r="N106" s="280">
        <f t="shared" si="176"/>
        <v>244.67499999999998</v>
      </c>
      <c r="O106" s="280">
        <f t="shared" si="176"/>
        <v>251.73333333333335</v>
      </c>
      <c r="P106" s="280">
        <f t="shared" si="176"/>
        <v>256.66666666666669</v>
      </c>
      <c r="Q106" s="280">
        <f t="shared" si="176"/>
        <v>259.43333333333334</v>
      </c>
      <c r="R106" s="280">
        <f t="shared" si="176"/>
        <v>264.99166666666673</v>
      </c>
      <c r="S106" s="280">
        <f t="shared" si="176"/>
        <v>274.90833333333336</v>
      </c>
      <c r="T106" s="280">
        <f t="shared" si="176"/>
        <v>283.30833333333334</v>
      </c>
      <c r="U106" s="280">
        <f t="shared" si="176"/>
        <v>290.64166666666665</v>
      </c>
      <c r="V106" s="280">
        <f t="shared" si="176"/>
        <v>294.16666666666669</v>
      </c>
      <c r="W106" s="280">
        <f t="shared" si="176"/>
        <v>311.1583333333333</v>
      </c>
      <c r="X106" s="280">
        <f t="shared" si="176"/>
        <v>321.23986333333329</v>
      </c>
      <c r="Y106" s="280">
        <f t="shared" si="176"/>
        <v>331.6480349053333</v>
      </c>
      <c r="Z106" s="280">
        <f t="shared" si="176"/>
        <v>342.39343123626611</v>
      </c>
      <c r="AA106" s="280">
        <f t="shared" si="176"/>
        <v>353.48697840832114</v>
      </c>
      <c r="AB106" s="280">
        <f t="shared" si="176"/>
        <v>364.93995650875075</v>
      </c>
      <c r="AC106" s="280">
        <f t="shared" si="176"/>
        <v>376.76401109963427</v>
      </c>
      <c r="AD106" s="280">
        <f t="shared" si="176"/>
        <v>388.97116505926243</v>
      </c>
      <c r="AE106" s="280">
        <f t="shared" si="176"/>
        <v>401.5738308071825</v>
      </c>
      <c r="AF106" s="280">
        <f t="shared" si="176"/>
        <v>414.58482292533523</v>
      </c>
      <c r="AG106" s="280">
        <f t="shared" si="176"/>
        <v>428.0173711881161</v>
      </c>
      <c r="AH106" s="280">
        <f t="shared" si="176"/>
        <v>441.88513401461108</v>
      </c>
      <c r="AI106" s="280">
        <f t="shared" si="176"/>
        <v>456.20221235668447</v>
      </c>
      <c r="AJ106" s="280">
        <f t="shared" si="176"/>
        <v>470.98316403704104</v>
      </c>
      <c r="AK106" s="280">
        <f t="shared" si="176"/>
        <v>486.24301855184115</v>
      </c>
      <c r="AL106" s="280">
        <f t="shared" si="176"/>
        <v>501.99729235292079</v>
      </c>
      <c r="AM106" s="280">
        <f t="shared" si="176"/>
        <v>518.26200462515544</v>
      </c>
      <c r="AN106" s="280">
        <f t="shared" si="176"/>
        <v>535.05369357501047</v>
      </c>
      <c r="AO106" s="280">
        <f t="shared" si="176"/>
        <v>552.38943324684078</v>
      </c>
      <c r="AP106" s="280">
        <f t="shared" si="176"/>
        <v>570.28685088403836</v>
      </c>
      <c r="AQ106" s="280">
        <f t="shared" si="176"/>
        <v>588.76414485268117</v>
      </c>
      <c r="AR106" s="280">
        <f t="shared" si="176"/>
        <v>607.84010314590807</v>
      </c>
      <c r="AS106" s="280">
        <f t="shared" si="176"/>
        <v>627.53412248783548</v>
      </c>
      <c r="AT106" s="280">
        <f t="shared" si="176"/>
        <v>647.86622805644129</v>
      </c>
      <c r="AU106" s="280">
        <f t="shared" si="176"/>
        <v>668.85709384546999</v>
      </c>
      <c r="AV106" s="280">
        <f t="shared" si="176"/>
        <v>690.52806368606321</v>
      </c>
      <c r="AW106" s="280">
        <f t="shared" si="176"/>
        <v>712.90117294949164</v>
      </c>
      <c r="AX106" s="280">
        <f t="shared" si="176"/>
        <v>735.99917095305511</v>
      </c>
    </row>
    <row r="107" spans="1:53" ht="15" customHeight="1">
      <c r="A107"/>
      <c r="B107" s="40"/>
      <c r="C107" s="61"/>
      <c r="D107" s="61"/>
      <c r="E107" s="193" t="s">
        <v>321</v>
      </c>
      <c r="F107" s="89"/>
      <c r="G107" s="89" t="s">
        <v>29</v>
      </c>
      <c r="H107" s="89"/>
      <c r="I107" s="61"/>
      <c r="J107" s="61"/>
      <c r="K107" s="198">
        <f>K106/$I$104</f>
        <v>0.81423944149187044</v>
      </c>
      <c r="L107" s="198">
        <f t="shared" ref="L107:AX107" si="177">L106/$I$104</f>
        <v>0.85464951728041738</v>
      </c>
      <c r="M107" s="198">
        <f t="shared" si="177"/>
        <v>0.89565709613509847</v>
      </c>
      <c r="N107" s="198">
        <f t="shared" si="177"/>
        <v>0.92333092235604863</v>
      </c>
      <c r="O107" s="198">
        <f t="shared" si="177"/>
        <v>0.9499669800937135</v>
      </c>
      <c r="P107" s="198">
        <f t="shared" si="177"/>
        <v>0.96858391773326191</v>
      </c>
      <c r="Q107" s="198">
        <f t="shared" si="177"/>
        <v>0.97902449762571131</v>
      </c>
      <c r="R107" s="198">
        <f t="shared" si="177"/>
        <v>1</v>
      </c>
      <c r="S107" s="198">
        <f t="shared" si="177"/>
        <v>1.037422560457876</v>
      </c>
      <c r="T107" s="198">
        <f t="shared" si="177"/>
        <v>1.0691216704927826</v>
      </c>
      <c r="U107" s="198">
        <f t="shared" si="177"/>
        <v>1.0967954967137328</v>
      </c>
      <c r="V107" s="198">
        <f t="shared" si="177"/>
        <v>1.110097801817667</v>
      </c>
      <c r="W107" s="198">
        <f t="shared" si="177"/>
        <v>1.1742193150728006</v>
      </c>
      <c r="X107" s="198">
        <f t="shared" si="177"/>
        <v>1.2122640208811593</v>
      </c>
      <c r="Y107" s="198">
        <f t="shared" si="177"/>
        <v>1.2515413751577089</v>
      </c>
      <c r="Z107" s="198">
        <f t="shared" si="177"/>
        <v>1.2920913157128187</v>
      </c>
      <c r="AA107" s="198">
        <f t="shared" si="177"/>
        <v>1.3339550743419142</v>
      </c>
      <c r="AB107" s="198">
        <f t="shared" si="177"/>
        <v>1.3771752187505921</v>
      </c>
      <c r="AC107" s="198">
        <f t="shared" si="177"/>
        <v>1.4217956958381113</v>
      </c>
      <c r="AD107" s="198">
        <f t="shared" si="177"/>
        <v>1.4678618763832663</v>
      </c>
      <c r="AE107" s="198">
        <f t="shared" si="177"/>
        <v>1.515420601178084</v>
      </c>
      <c r="AF107" s="198">
        <f t="shared" si="177"/>
        <v>1.5645202286562538</v>
      </c>
      <c r="AG107" s="198">
        <f t="shared" si="177"/>
        <v>1.6152106840647165</v>
      </c>
      <c r="AH107" s="198">
        <f t="shared" si="177"/>
        <v>1.6675435102284133</v>
      </c>
      <c r="AI107" s="198">
        <f t="shared" si="177"/>
        <v>1.7215719199598138</v>
      </c>
      <c r="AJ107" s="198">
        <f t="shared" si="177"/>
        <v>1.7773508501665118</v>
      </c>
      <c r="AK107" s="198">
        <f t="shared" si="177"/>
        <v>1.8349370177119069</v>
      </c>
      <c r="AL107" s="198">
        <f t="shared" si="177"/>
        <v>1.8943889770857725</v>
      </c>
      <c r="AM107" s="198">
        <f t="shared" si="177"/>
        <v>1.9557671799433516</v>
      </c>
      <c r="AN107" s="198">
        <f t="shared" si="177"/>
        <v>2.019134036573516</v>
      </c>
      <c r="AO107" s="198">
        <f t="shared" si="177"/>
        <v>2.084553979358498</v>
      </c>
      <c r="AP107" s="198">
        <f t="shared" si="177"/>
        <v>2.1520935282897131</v>
      </c>
      <c r="AQ107" s="198">
        <f t="shared" si="177"/>
        <v>2.2218213586062996</v>
      </c>
      <c r="AR107" s="198">
        <f t="shared" si="177"/>
        <v>2.2938083706251438</v>
      </c>
      <c r="AS107" s="198">
        <f t="shared" si="177"/>
        <v>2.3681277618333985</v>
      </c>
      <c r="AT107" s="198">
        <f t="shared" si="177"/>
        <v>2.4448551013168003</v>
      </c>
      <c r="AU107" s="198">
        <f t="shared" si="177"/>
        <v>2.5240684065994645</v>
      </c>
      <c r="AV107" s="198">
        <f t="shared" si="177"/>
        <v>2.6058482229732873</v>
      </c>
      <c r="AW107" s="198">
        <f t="shared" si="177"/>
        <v>2.6902777053976217</v>
      </c>
      <c r="AX107" s="198">
        <f t="shared" si="177"/>
        <v>2.7774427030525044</v>
      </c>
    </row>
    <row r="108" spans="1:53" ht="15" customHeight="1">
      <c r="A108" s="52"/>
      <c r="B108" s="52"/>
      <c r="C108" s="52"/>
      <c r="D108" s="52"/>
      <c r="E108" s="52"/>
      <c r="F108" s="52"/>
      <c r="G108" s="70"/>
      <c r="H108" s="52"/>
      <c r="I108" s="71"/>
      <c r="J108" s="52"/>
      <c r="K108" s="52"/>
      <c r="L108" s="52"/>
      <c r="M108" s="52"/>
      <c r="N108" s="52"/>
      <c r="O108" s="52"/>
      <c r="P108" s="153"/>
      <c r="Q108" s="153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</row>
    <row r="109" spans="1:53" ht="15" customHeight="1">
      <c r="A109" s="90"/>
      <c r="B109" s="90"/>
      <c r="C109" s="81" t="s">
        <v>222</v>
      </c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  <c r="AA109" s="81"/>
      <c r="AB109" s="81"/>
      <c r="AC109" s="81"/>
      <c r="AD109" s="81"/>
      <c r="AE109" s="81"/>
      <c r="AF109" s="81"/>
      <c r="AG109" s="81"/>
      <c r="AH109" s="81"/>
      <c r="AI109" s="81"/>
      <c r="AJ109" s="81"/>
      <c r="AK109" s="81"/>
      <c r="AL109" s="81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</row>
    <row r="110" spans="1:53" ht="15" customHeight="1">
      <c r="A110" s="90"/>
      <c r="B110" s="90"/>
      <c r="C110" s="90"/>
      <c r="D110" s="90"/>
      <c r="E110" s="90"/>
      <c r="F110" s="90"/>
      <c r="G110" s="90"/>
      <c r="H110" s="90"/>
      <c r="I110" s="90"/>
      <c r="J110" s="6"/>
      <c r="K110" s="90"/>
      <c r="L110" s="90"/>
      <c r="M110" s="90"/>
      <c r="N110" s="90"/>
      <c r="O110" s="90"/>
      <c r="P110" s="6"/>
      <c r="Q110" s="6"/>
      <c r="R110" s="6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</row>
    <row r="111" spans="1:53" s="187" customFormat="1" ht="15" customHeight="1">
      <c r="A111" s="16"/>
      <c r="B111" s="16"/>
      <c r="C111" s="16"/>
      <c r="D111" s="16"/>
      <c r="E111" s="19" t="s">
        <v>115</v>
      </c>
      <c r="F111" s="18"/>
      <c r="G111" s="18"/>
      <c r="H111" s="18"/>
      <c r="I111" s="18"/>
      <c r="J111" s="19"/>
      <c r="K111" s="186" t="s">
        <v>88</v>
      </c>
      <c r="L111" s="186" t="s">
        <v>89</v>
      </c>
      <c r="M111" s="186" t="s">
        <v>90</v>
      </c>
      <c r="N111" s="186" t="s">
        <v>91</v>
      </c>
      <c r="O111" s="186" t="s">
        <v>92</v>
      </c>
      <c r="P111" s="186" t="s">
        <v>93</v>
      </c>
      <c r="Q111" s="186" t="s">
        <v>94</v>
      </c>
      <c r="R111" s="186" t="s">
        <v>95</v>
      </c>
      <c r="S111" s="186" t="s">
        <v>96</v>
      </c>
      <c r="T111" s="186" t="s">
        <v>97</v>
      </c>
      <c r="U111" s="186" t="s">
        <v>98</v>
      </c>
      <c r="V111" s="186" t="s">
        <v>99</v>
      </c>
      <c r="W111" s="186" t="s">
        <v>100</v>
      </c>
      <c r="X111" s="186" t="s">
        <v>101</v>
      </c>
      <c r="Y111" s="186" t="s">
        <v>102</v>
      </c>
      <c r="Z111" s="186" t="s">
        <v>103</v>
      </c>
      <c r="AA111" s="186" t="s">
        <v>104</v>
      </c>
      <c r="AB111" s="186" t="s">
        <v>105</v>
      </c>
      <c r="AC111" s="186" t="s">
        <v>106</v>
      </c>
      <c r="AD111" s="186" t="s">
        <v>107</v>
      </c>
      <c r="AE111" s="186" t="s">
        <v>108</v>
      </c>
      <c r="AF111" s="186" t="s">
        <v>109</v>
      </c>
      <c r="AG111" s="186" t="s">
        <v>110</v>
      </c>
      <c r="AH111" s="186" t="s">
        <v>111</v>
      </c>
      <c r="AI111" s="186" t="s">
        <v>112</v>
      </c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/>
      <c r="AZ111"/>
      <c r="BA111"/>
    </row>
    <row r="112" spans="1:53" ht="15" customHeight="1">
      <c r="A112" s="90"/>
      <c r="B112" s="90"/>
      <c r="C112" s="90"/>
      <c r="D112" s="90"/>
      <c r="E112" s="90"/>
      <c r="F112" s="90"/>
      <c r="G112" s="90"/>
      <c r="H112" s="90"/>
      <c r="I112" s="90"/>
      <c r="J112" s="6"/>
      <c r="K112" s="90"/>
      <c r="L112" s="90"/>
      <c r="M112" s="90"/>
      <c r="N112" s="90"/>
      <c r="O112" s="90"/>
      <c r="P112" s="6"/>
      <c r="Q112" s="6"/>
      <c r="R112" s="6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</row>
    <row r="113" spans="1:50" ht="15" customHeight="1">
      <c r="A113" s="90"/>
      <c r="B113" s="90"/>
      <c r="C113" s="90"/>
      <c r="D113" s="90"/>
      <c r="E113" s="91" t="s">
        <v>157</v>
      </c>
      <c r="F113" s="91"/>
      <c r="G113" s="90" t="s">
        <v>11</v>
      </c>
      <c r="H113" s="90"/>
      <c r="I113" s="90"/>
      <c r="J113" s="6"/>
      <c r="K113" s="122">
        <v>0.19</v>
      </c>
      <c r="L113" s="122">
        <v>0.19</v>
      </c>
      <c r="M113" s="122">
        <v>0.19</v>
      </c>
      <c r="N113" s="122">
        <v>0.19</v>
      </c>
      <c r="O113" s="122">
        <v>0.19</v>
      </c>
      <c r="P113" s="122">
        <v>0.19</v>
      </c>
      <c r="Q113" s="122">
        <v>0.19</v>
      </c>
      <c r="R113" s="122">
        <v>0.19</v>
      </c>
      <c r="S113" s="122">
        <v>0.19</v>
      </c>
      <c r="T113" s="122">
        <v>0.19</v>
      </c>
      <c r="U113" s="122">
        <v>0.19</v>
      </c>
      <c r="V113" s="122">
        <v>0.19</v>
      </c>
      <c r="W113" s="122">
        <v>0.19</v>
      </c>
      <c r="X113" s="122">
        <v>0.19</v>
      </c>
      <c r="Y113" s="122">
        <v>0.19</v>
      </c>
      <c r="Z113" s="122">
        <v>0.19</v>
      </c>
      <c r="AA113" s="122">
        <v>0.19</v>
      </c>
      <c r="AB113" s="122">
        <v>0.19</v>
      </c>
      <c r="AC113" s="122">
        <v>0.19</v>
      </c>
      <c r="AD113" s="122">
        <v>0.19</v>
      </c>
      <c r="AE113" s="122">
        <v>0.19</v>
      </c>
      <c r="AF113" s="122">
        <v>0.19</v>
      </c>
      <c r="AG113" s="122">
        <v>0.19</v>
      </c>
      <c r="AH113" s="122">
        <v>0.19</v>
      </c>
      <c r="AI113" s="122">
        <v>0.19</v>
      </c>
      <c r="AJ113" s="71"/>
      <c r="AK113" s="71"/>
      <c r="AL113" s="71"/>
      <c r="AM113" s="71"/>
      <c r="AN113" s="71"/>
      <c r="AO113" s="71"/>
      <c r="AP113" s="71"/>
      <c r="AQ113" s="71"/>
      <c r="AR113" s="71"/>
      <c r="AS113" s="71"/>
      <c r="AT113" s="71"/>
      <c r="AU113" s="71"/>
      <c r="AV113" s="71"/>
      <c r="AW113" s="71"/>
      <c r="AX113" s="71"/>
    </row>
    <row r="114" spans="1:50" ht="15" customHeight="1">
      <c r="A114" s="90"/>
      <c r="B114" s="90"/>
      <c r="C114" s="90"/>
      <c r="D114" s="90"/>
      <c r="E114" s="91" t="s">
        <v>134</v>
      </c>
      <c r="F114" s="91"/>
      <c r="G114" s="91" t="s">
        <v>11</v>
      </c>
      <c r="H114" s="90"/>
      <c r="I114" s="90"/>
      <c r="J114" s="6"/>
      <c r="K114" s="122">
        <v>0.08</v>
      </c>
      <c r="L114" s="122">
        <v>0.08</v>
      </c>
      <c r="M114" s="122">
        <v>0.08</v>
      </c>
      <c r="N114" s="122">
        <v>0.08</v>
      </c>
      <c r="O114" s="122">
        <v>0.08</v>
      </c>
      <c r="P114" s="122">
        <v>0.08</v>
      </c>
      <c r="Q114" s="122">
        <v>0.08</v>
      </c>
      <c r="R114" s="122">
        <v>0.08</v>
      </c>
      <c r="S114" s="122">
        <v>0.08</v>
      </c>
      <c r="T114" s="122">
        <v>0.08</v>
      </c>
      <c r="U114" s="122">
        <v>0.08</v>
      </c>
      <c r="V114" s="122">
        <v>0.08</v>
      </c>
      <c r="W114" s="122">
        <v>0.08</v>
      </c>
      <c r="X114" s="122">
        <v>0.08</v>
      </c>
      <c r="Y114" s="122">
        <v>0.08</v>
      </c>
      <c r="Z114" s="122">
        <v>0.08</v>
      </c>
      <c r="AA114" s="122">
        <v>0.08</v>
      </c>
      <c r="AB114" s="122">
        <v>0.08</v>
      </c>
      <c r="AC114" s="122">
        <v>0.08</v>
      </c>
      <c r="AD114" s="122">
        <v>0.08</v>
      </c>
      <c r="AE114" s="122">
        <v>0.08</v>
      </c>
      <c r="AF114" s="122">
        <v>0.08</v>
      </c>
      <c r="AG114" s="122">
        <v>0.08</v>
      </c>
      <c r="AH114" s="122">
        <v>0.08</v>
      </c>
      <c r="AI114" s="122">
        <v>0.08</v>
      </c>
      <c r="AJ114" s="71"/>
      <c r="AK114" s="71"/>
      <c r="AL114" s="71"/>
      <c r="AM114" s="71"/>
      <c r="AN114" s="71"/>
      <c r="AO114" s="71"/>
      <c r="AP114" s="71"/>
      <c r="AQ114" s="71"/>
      <c r="AR114" s="71"/>
      <c r="AS114" s="71"/>
      <c r="AT114" s="71"/>
      <c r="AU114" s="71"/>
      <c r="AV114" s="71"/>
      <c r="AW114" s="71"/>
      <c r="AX114" s="71"/>
    </row>
    <row r="115" spans="1:50" ht="15" customHeight="1">
      <c r="A115" s="90"/>
      <c r="B115" s="90"/>
      <c r="C115" s="90"/>
      <c r="D115" s="90"/>
      <c r="E115" s="90"/>
      <c r="F115" s="90"/>
      <c r="G115" s="90"/>
      <c r="H115" s="90"/>
      <c r="I115" s="90"/>
      <c r="J115" s="6"/>
      <c r="K115" s="90"/>
      <c r="L115" s="90"/>
      <c r="M115" s="90"/>
      <c r="N115" s="90"/>
      <c r="O115" s="90"/>
      <c r="P115" s="6"/>
      <c r="Q115" s="6"/>
      <c r="R115" s="6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</row>
    <row r="116" spans="1:50" ht="15" customHeight="1">
      <c r="A116" s="61"/>
      <c r="B116" s="40"/>
      <c r="C116" s="61"/>
      <c r="D116" s="61"/>
      <c r="E116" s="91" t="str">
        <f>E103</f>
        <v>Long-term expected UK RPI inflation</v>
      </c>
      <c r="F116" s="91"/>
      <c r="G116" s="90" t="s">
        <v>11</v>
      </c>
      <c r="H116" s="91"/>
      <c r="I116" s="122">
        <f>I103</f>
        <v>3.2399999999999998E-2</v>
      </c>
      <c r="J116" s="41"/>
      <c r="K116" s="9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</row>
    <row r="117" spans="1:50" ht="15" customHeight="1">
      <c r="A117"/>
      <c r="B117" s="40"/>
      <c r="C117" s="61"/>
      <c r="D117" s="61"/>
      <c r="E117" s="91" t="s">
        <v>219</v>
      </c>
      <c r="F117" s="91"/>
      <c r="G117" s="90" t="s">
        <v>14</v>
      </c>
      <c r="H117" s="91"/>
      <c r="I117" s="111">
        <v>42461</v>
      </c>
      <c r="J117" s="41"/>
      <c r="K117" s="9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</row>
    <row r="118" spans="1:50" ht="15" customHeight="1">
      <c r="A118"/>
      <c r="B118" s="40"/>
      <c r="C118" s="61"/>
      <c r="D118" s="61"/>
      <c r="E118" s="91" t="s">
        <v>220</v>
      </c>
      <c r="F118" s="91"/>
      <c r="G118" s="90" t="s">
        <v>14</v>
      </c>
      <c r="H118" s="91"/>
      <c r="I118" s="86">
        <f>EOMONTH(I117,11)</f>
        <v>42825</v>
      </c>
      <c r="J118" s="41"/>
      <c r="K118" s="9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</row>
    <row r="119" spans="1:50" ht="15" customHeight="1">
      <c r="A119"/>
      <c r="B119" s="91"/>
      <c r="C119" s="91"/>
      <c r="D119" s="91"/>
      <c r="E119" s="193" t="s">
        <v>323</v>
      </c>
      <c r="F119" s="89"/>
      <c r="G119" s="89" t="s">
        <v>29</v>
      </c>
      <c r="H119" s="89"/>
      <c r="I119" s="168">
        <f>(1+$I$116)^((I85-AVERAGE(I117,I118))/365.25)</f>
        <v>1.1452965748301245</v>
      </c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  <c r="AF119" s="91"/>
      <c r="AG119" s="91"/>
      <c r="AH119" s="91"/>
      <c r="AI119" s="91"/>
      <c r="AJ119" s="91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</row>
    <row r="120" spans="1:50" ht="15" customHeight="1">
      <c r="A120"/>
      <c r="G120" s="5"/>
      <c r="J120" s="6"/>
      <c r="P120" s="6"/>
      <c r="Q120" s="6"/>
      <c r="R120" s="6"/>
      <c r="S120" s="5"/>
    </row>
    <row r="121" spans="1:50" ht="15" customHeight="1">
      <c r="A121"/>
      <c r="B121" s="90"/>
      <c r="C121" s="81" t="s">
        <v>211</v>
      </c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</row>
    <row r="122" spans="1:50" ht="15" customHeight="1">
      <c r="A122"/>
      <c r="B122" s="90"/>
      <c r="C122" s="90"/>
      <c r="D122" s="90"/>
      <c r="E122" s="90"/>
      <c r="F122" s="90"/>
      <c r="G122" s="90"/>
      <c r="H122" s="90"/>
      <c r="I122" s="90"/>
      <c r="J122" s="6"/>
      <c r="K122" s="90"/>
      <c r="L122" s="90"/>
      <c r="M122" s="90"/>
      <c r="N122" s="90"/>
      <c r="O122" s="90"/>
      <c r="P122" s="6"/>
      <c r="Q122" s="6"/>
      <c r="R122" s="6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</row>
    <row r="123" spans="1:50" ht="15" customHeight="1">
      <c r="A123"/>
      <c r="B123" s="91"/>
      <c r="C123" s="91"/>
      <c r="D123" s="91"/>
      <c r="E123" s="91" t="s">
        <v>231</v>
      </c>
      <c r="F123" s="91"/>
      <c r="G123" s="90" t="s">
        <v>212</v>
      </c>
      <c r="H123" s="91"/>
      <c r="I123" s="255" t="s">
        <v>304</v>
      </c>
      <c r="J123" s="6"/>
      <c r="K123" s="91"/>
      <c r="L123" s="91"/>
      <c r="M123" s="91"/>
      <c r="N123" s="91"/>
      <c r="O123" s="91"/>
      <c r="P123" s="6"/>
      <c r="Q123" s="6"/>
      <c r="R123" s="6"/>
      <c r="S123" s="90"/>
      <c r="T123" s="91"/>
      <c r="U123" s="91"/>
      <c r="V123" s="91"/>
      <c r="W123" s="91"/>
      <c r="X123" s="91"/>
      <c r="Y123" s="91"/>
      <c r="Z123" s="91"/>
      <c r="AA123" s="91"/>
      <c r="AB123" s="91"/>
      <c r="AC123" s="91"/>
      <c r="AD123" s="91"/>
      <c r="AE123" s="91"/>
      <c r="AF123" s="91"/>
      <c r="AG123" s="91"/>
      <c r="AH123" s="91"/>
      <c r="AI123" s="91"/>
      <c r="AJ123" s="91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</row>
    <row r="124" spans="1:50" ht="15" customHeight="1">
      <c r="A124" s="91"/>
      <c r="B124" s="91"/>
      <c r="C124" s="91"/>
      <c r="D124" s="91"/>
      <c r="E124" s="91"/>
      <c r="F124" s="91"/>
      <c r="G124" s="90"/>
      <c r="H124" s="91"/>
      <c r="I124" s="91"/>
      <c r="J124" s="6"/>
      <c r="K124" s="91"/>
      <c r="L124" s="91"/>
      <c r="M124" s="91"/>
      <c r="N124" s="91"/>
      <c r="O124" s="91"/>
      <c r="P124" s="6"/>
      <c r="Q124" s="6"/>
      <c r="R124" s="6"/>
      <c r="S124" s="90"/>
      <c r="T124" s="91"/>
      <c r="U124" s="91"/>
      <c r="V124" s="91"/>
      <c r="W124" s="91"/>
      <c r="X124" s="91"/>
      <c r="Y124" s="91"/>
      <c r="Z124" s="91"/>
      <c r="AA124" s="91"/>
      <c r="AB124" s="91"/>
      <c r="AC124" s="91"/>
      <c r="AD124" s="91"/>
      <c r="AE124" s="91"/>
      <c r="AF124" s="91"/>
      <c r="AG124" s="91"/>
      <c r="AH124" s="91"/>
      <c r="AI124" s="91"/>
      <c r="AJ124" s="91"/>
      <c r="AK124" s="91"/>
      <c r="AL124" s="91"/>
      <c r="AM124" s="91"/>
      <c r="AN124" s="91"/>
      <c r="AO124" s="91"/>
      <c r="AP124" s="91"/>
      <c r="AQ124" s="91"/>
      <c r="AR124" s="91"/>
      <c r="AS124" s="91"/>
      <c r="AT124" s="91"/>
      <c r="AU124" s="91"/>
      <c r="AV124" s="91"/>
      <c r="AW124" s="91"/>
      <c r="AX124" s="91"/>
    </row>
    <row r="125" spans="1:50" ht="15" customHeight="1">
      <c r="A125" s="83"/>
      <c r="B125" s="188" t="s">
        <v>8</v>
      </c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</row>
    <row r="126" spans="1:50" ht="15" customHeight="1"/>
  </sheetData>
  <dataValidations disablePrompts="1" count="3">
    <dataValidation type="custom" allowBlank="1" showErrorMessage="1" errorTitle="Invalid value" error="Please enter value between 0% and 100%" sqref="I6" xr:uid="{00000000-0002-0000-0200-000000000000}">
      <formula1>AND(I6&gt;=0%,I6&lt;=100%)</formula1>
    </dataValidation>
    <dataValidation type="list" allowBlank="1" showInputMessage="1" showErrorMessage="1" sqref="I9" xr:uid="{00000000-0002-0000-0200-000001000000}">
      <formula1>"£,€,kr."</formula1>
    </dataValidation>
    <dataValidation type="list" allowBlank="1" showInputMessage="1" showErrorMessage="1" sqref="I123" xr:uid="{00000000-0002-0000-0200-000002000000}">
      <formula1>"Yes,No"</formula1>
    </dataValidation>
  </dataValidations>
  <pageMargins left="0.23622047244094491" right="0.23622047244094491" top="0.74803149606299213" bottom="0.74803149606299213" header="0.31496062992125984" footer="0.31496062992125984"/>
  <pageSetup paperSize="8" scale="3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FFFFCC"/>
    <pageSetUpPr fitToPage="1"/>
  </sheetPr>
  <dimension ref="A1:XFA144"/>
  <sheetViews>
    <sheetView zoomScaleNormal="100" workbookViewId="0">
      <pane xSplit="10" ySplit="2" topLeftCell="K3" activePane="bottomRight" state="frozen"/>
      <selection activeCell="H41" sqref="H41"/>
      <selection pane="topRight" activeCell="H41" sqref="H41"/>
      <selection pane="bottomLeft" activeCell="H41" sqref="H41"/>
      <selection pane="bottomRight" activeCell="G43" sqref="G43"/>
    </sheetView>
  </sheetViews>
  <sheetFormatPr defaultColWidth="0" defaultRowHeight="15" customHeight="1" zeroHeight="1"/>
  <cols>
    <col min="1" max="4" width="2.59765625" style="91" customWidth="1"/>
    <col min="5" max="5" width="54.09765625" style="91" bestFit="1" customWidth="1"/>
    <col min="6" max="6" width="1.59765625" style="91" customWidth="1"/>
    <col min="7" max="7" width="15.59765625" style="91" customWidth="1"/>
    <col min="8" max="8" width="22.3984375" style="91" bestFit="1" customWidth="1"/>
    <col min="9" max="9" width="16.09765625" style="91" bestFit="1" customWidth="1"/>
    <col min="10" max="10" width="1.59765625" style="91" customWidth="1"/>
    <col min="11" max="11" width="55.296875" style="229" bestFit="1" customWidth="1"/>
    <col min="12" max="12" width="40.09765625" style="229" customWidth="1"/>
    <col min="13" max="13" width="3.09765625" customWidth="1"/>
    <col min="14" max="31" width="10.59765625" hidden="1"/>
    <col min="32" max="32" width="11.59765625" hidden="1"/>
    <col min="33" max="48" width="10.59765625" hidden="1"/>
    <col min="49" max="50" width="10.8984375" hidden="1"/>
    <col min="51" max="52" width="10.09765625" hidden="1"/>
    <col min="53" max="16381" width="9.09765625" hidden="1"/>
    <col min="16382" max="16384" width="2.09765625" hidden="1"/>
  </cols>
  <sheetData>
    <row r="1" spans="1:12" ht="14.5">
      <c r="A1" s="242" t="s">
        <v>279</v>
      </c>
      <c r="B1" s="16"/>
      <c r="C1" s="16"/>
      <c r="D1" s="16"/>
      <c r="E1" s="16"/>
      <c r="F1" s="16"/>
      <c r="G1" s="16"/>
      <c r="H1" s="16" t="s">
        <v>73</v>
      </c>
      <c r="I1" s="240" t="s">
        <v>277</v>
      </c>
      <c r="J1" s="17"/>
      <c r="K1" s="227"/>
      <c r="L1" s="227"/>
    </row>
    <row r="2" spans="1:12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41" t="s">
        <v>278</v>
      </c>
      <c r="J2" s="19"/>
      <c r="K2" s="228" t="s">
        <v>275</v>
      </c>
      <c r="L2" s="228" t="s">
        <v>276</v>
      </c>
    </row>
    <row r="3" spans="1:12" ht="15" customHeight="1"/>
    <row r="4" spans="1:12" ht="15" customHeight="1">
      <c r="B4" s="188" t="s">
        <v>216</v>
      </c>
      <c r="C4" s="72"/>
      <c r="D4" s="72"/>
      <c r="E4" s="72"/>
      <c r="F4" s="72"/>
      <c r="G4" s="72"/>
      <c r="H4" s="72"/>
      <c r="I4" s="215"/>
      <c r="J4" s="72"/>
      <c r="K4" s="230"/>
      <c r="L4" s="230"/>
    </row>
    <row r="5" spans="1:12" ht="15" customHeight="1">
      <c r="I5" s="216"/>
    </row>
    <row r="6" spans="1:12" ht="15" customHeight="1">
      <c r="E6" s="89" t="str">
        <f>Inputs!E6</f>
        <v>GB indexed portion of interconnector</v>
      </c>
      <c r="F6" s="89"/>
      <c r="G6" s="89" t="str">
        <f>Inputs!G6</f>
        <v>choice %</v>
      </c>
      <c r="H6" s="89"/>
      <c r="I6" s="217">
        <f>ROW(Inputs!E6)</f>
        <v>6</v>
      </c>
      <c r="K6" s="234" t="s">
        <v>316</v>
      </c>
      <c r="L6" s="245"/>
    </row>
    <row r="7" spans="1:12" ht="15" customHeight="1">
      <c r="A7"/>
      <c r="E7" s="89" t="str">
        <f>Inputs!E9</f>
        <v>Currency of cost inputs</v>
      </c>
      <c r="G7" s="89" t="str">
        <f>Inputs!G9</f>
        <v>choice</v>
      </c>
      <c r="I7" s="217">
        <f>ROW(Inputs!E9)</f>
        <v>9</v>
      </c>
      <c r="K7" s="234" t="s">
        <v>315</v>
      </c>
      <c r="L7" s="234"/>
    </row>
    <row r="8" spans="1:12" ht="15" customHeight="1">
      <c r="A8"/>
      <c r="B8" s="83"/>
      <c r="C8" s="83"/>
      <c r="D8" s="83"/>
      <c r="E8" s="89" t="str">
        <f>Inputs!E11</f>
        <v>Base year price term</v>
      </c>
      <c r="F8" s="83"/>
      <c r="G8" s="89" t="str">
        <f>Inputs!G11</f>
        <v>choice</v>
      </c>
      <c r="H8" s="83"/>
      <c r="I8" s="217">
        <f>ROW(Inputs!E11)</f>
        <v>11</v>
      </c>
      <c r="J8" s="83"/>
      <c r="K8" s="234" t="s">
        <v>316</v>
      </c>
      <c r="L8" s="245"/>
    </row>
    <row r="9" spans="1:12" ht="15" customHeight="1">
      <c r="A9" s="52"/>
      <c r="B9" s="52"/>
      <c r="C9" s="52"/>
      <c r="D9" s="52"/>
      <c r="E9" s="52"/>
      <c r="F9" s="52"/>
      <c r="G9" s="52"/>
      <c r="H9" s="52"/>
      <c r="I9" s="219"/>
      <c r="J9" s="52"/>
      <c r="K9" s="232"/>
      <c r="L9" s="232"/>
    </row>
    <row r="10" spans="1:12" ht="15" customHeight="1">
      <c r="A10" s="83"/>
      <c r="B10" s="188" t="s">
        <v>57</v>
      </c>
      <c r="C10" s="72"/>
      <c r="D10" s="72"/>
      <c r="E10" s="72"/>
      <c r="F10" s="72"/>
      <c r="G10" s="72"/>
      <c r="H10" s="72"/>
      <c r="I10" s="215"/>
      <c r="J10" s="72"/>
      <c r="K10" s="230"/>
      <c r="L10" s="230"/>
    </row>
    <row r="11" spans="1:12" ht="15" customHeight="1">
      <c r="A11" s="83"/>
      <c r="B11" s="83"/>
      <c r="C11" s="83"/>
      <c r="D11" s="83"/>
      <c r="E11" s="83"/>
      <c r="F11" s="83"/>
      <c r="G11" s="83"/>
      <c r="H11" s="83"/>
      <c r="I11" s="218"/>
      <c r="J11" s="83"/>
      <c r="K11" s="231"/>
      <c r="L11" s="231"/>
    </row>
    <row r="12" spans="1:12" ht="15" customHeight="1">
      <c r="A12" s="83"/>
      <c r="B12" s="83"/>
      <c r="C12" s="13" t="s">
        <v>228</v>
      </c>
      <c r="D12" s="81"/>
      <c r="E12" s="81"/>
      <c r="F12" s="81"/>
      <c r="G12" s="81"/>
      <c r="H12" s="81"/>
      <c r="I12" s="220"/>
      <c r="J12" s="81"/>
      <c r="K12" s="233"/>
      <c r="L12" s="233"/>
    </row>
    <row r="13" spans="1:12" ht="15" customHeight="1">
      <c r="I13" s="216"/>
    </row>
    <row r="14" spans="1:12" ht="15" customHeight="1">
      <c r="A14"/>
      <c r="E14" s="91" t="str">
        <f>Inputs!E20</f>
        <v>Development costs</v>
      </c>
      <c r="G14" s="91" t="str">
        <f>Inputs!G20</f>
        <v>£m nominal</v>
      </c>
      <c r="I14" s="216">
        <f>ROW(Inputs!E20)</f>
        <v>20</v>
      </c>
      <c r="K14" s="234" t="s">
        <v>315</v>
      </c>
      <c r="L14" s="234"/>
    </row>
    <row r="15" spans="1:12" ht="15" customHeight="1">
      <c r="A15"/>
      <c r="E15" s="91" t="str">
        <f>Inputs!E21</f>
        <v>Capex</v>
      </c>
      <c r="G15" s="91" t="str">
        <f>Inputs!G21</f>
        <v>£m nominal</v>
      </c>
      <c r="I15" s="216">
        <f>ROW(Inputs!E21)</f>
        <v>21</v>
      </c>
      <c r="K15" s="234" t="s">
        <v>315</v>
      </c>
      <c r="L15" s="234"/>
    </row>
    <row r="16" spans="1:12" ht="15" customHeight="1">
      <c r="A16"/>
      <c r="E16" s="91" t="str">
        <f>Inputs!E22</f>
        <v>Spares</v>
      </c>
      <c r="G16" s="91" t="str">
        <f>Inputs!G22</f>
        <v>£m nominal</v>
      </c>
      <c r="I16" s="216">
        <f>ROW(Inputs!E22)</f>
        <v>22</v>
      </c>
      <c r="K16" s="234" t="s">
        <v>315</v>
      </c>
      <c r="L16" s="234"/>
    </row>
    <row r="17" spans="1:12" ht="15" customHeight="1">
      <c r="A17" s="89"/>
      <c r="B17" s="89"/>
      <c r="C17" s="89"/>
      <c r="D17" s="89"/>
      <c r="E17" s="89"/>
      <c r="F17" s="89"/>
      <c r="G17" s="89"/>
      <c r="H17" s="89"/>
      <c r="I17" s="221"/>
      <c r="J17" s="89"/>
      <c r="K17" s="232"/>
      <c r="L17" s="232"/>
    </row>
    <row r="18" spans="1:12" ht="13">
      <c r="A18"/>
      <c r="E18" s="89" t="str">
        <f>Inputs!E24</f>
        <v>Base year average UK RPI inflation index value (CHAW)</v>
      </c>
      <c r="F18" s="89"/>
      <c r="G18" s="89" t="str">
        <f>Inputs!G24</f>
        <v>Jan 1987 = 100</v>
      </c>
      <c r="H18" s="89" t="str">
        <f>Inputs!H24</f>
        <v>UK RPI index 2016/17</v>
      </c>
      <c r="I18" s="222">
        <f>ROW(Inputs!E24)</f>
        <v>24</v>
      </c>
      <c r="J18" s="89"/>
      <c r="K18" s="234" t="s">
        <v>280</v>
      </c>
      <c r="L18" s="246" t="s">
        <v>281</v>
      </c>
    </row>
    <row r="19" spans="1:12" ht="13" hidden="1">
      <c r="A19"/>
      <c r="E19" s="89"/>
      <c r="F19" s="89"/>
      <c r="G19" s="89"/>
      <c r="H19" s="89"/>
      <c r="I19" s="222"/>
      <c r="J19" s="89"/>
      <c r="K19" s="234"/>
      <c r="L19" s="245"/>
    </row>
    <row r="20" spans="1:12" ht="13" hidden="1">
      <c r="A20"/>
      <c r="E20" s="89"/>
      <c r="F20" s="89"/>
      <c r="G20" s="89"/>
      <c r="H20" s="89"/>
      <c r="I20" s="222"/>
      <c r="J20" s="89"/>
      <c r="K20" s="234"/>
      <c r="L20" s="246"/>
    </row>
    <row r="21" spans="1:12" ht="15" customHeight="1">
      <c r="A21"/>
      <c r="E21" s="89"/>
      <c r="F21" s="89"/>
      <c r="G21" s="89"/>
      <c r="H21" s="89"/>
      <c r="I21" s="222"/>
      <c r="J21" s="89"/>
      <c r="K21" s="235"/>
      <c r="L21" s="236"/>
    </row>
    <row r="22" spans="1:12" ht="13">
      <c r="A22"/>
      <c r="E22" s="89" t="str">
        <f>Inputs!E28</f>
        <v>12-month average UK RPI inflation index value (CHAW)</v>
      </c>
      <c r="F22" s="89"/>
      <c r="G22" s="89" t="str">
        <f>Inputs!G28</f>
        <v>Jan 1987 = 100</v>
      </c>
      <c r="H22" s="89" t="str">
        <f>Inputs!H28</f>
        <v>UK RPI index t</v>
      </c>
      <c r="I22" s="222">
        <f>ROW(Inputs!E28)</f>
        <v>28</v>
      </c>
      <c r="J22" s="89"/>
      <c r="K22" s="282" t="s">
        <v>280</v>
      </c>
      <c r="L22" s="246" t="s">
        <v>281</v>
      </c>
    </row>
    <row r="23" spans="1:12" ht="15" customHeight="1">
      <c r="E23" s="89"/>
      <c r="F23" s="89"/>
      <c r="G23" s="106"/>
      <c r="H23" s="106"/>
      <c r="I23" s="221"/>
      <c r="J23" s="89"/>
      <c r="K23" s="235"/>
      <c r="L23" s="235"/>
    </row>
    <row r="24" spans="1:12" ht="15" customHeight="1">
      <c r="C24" s="13" t="s">
        <v>229</v>
      </c>
      <c r="D24" s="81"/>
      <c r="E24" s="81"/>
      <c r="F24" s="81"/>
      <c r="G24" s="81"/>
      <c r="H24" s="81"/>
      <c r="I24" s="220"/>
      <c r="J24" s="81"/>
      <c r="K24" s="233"/>
      <c r="L24" s="233"/>
    </row>
    <row r="25" spans="1:12" ht="15" customHeight="1">
      <c r="I25" s="216"/>
    </row>
    <row r="26" spans="1:12" ht="15" customHeight="1">
      <c r="A26" s="89"/>
      <c r="B26" s="83"/>
      <c r="C26" s="83"/>
      <c r="D26" s="83"/>
      <c r="E26" s="52" t="str">
        <f>Inputs!E42</f>
        <v>Replacement Capex</v>
      </c>
      <c r="F26" s="52"/>
      <c r="G26" s="52" t="str">
        <f>Inputs!G42</f>
        <v>£m 19/20 prices</v>
      </c>
      <c r="H26" s="52"/>
      <c r="I26" s="218">
        <f>ROW(Inputs!E42)</f>
        <v>42</v>
      </c>
      <c r="J26" s="83"/>
      <c r="K26" s="234" t="s">
        <v>315</v>
      </c>
      <c r="L26" s="234"/>
    </row>
    <row r="27" spans="1:12" ht="15" customHeight="1">
      <c r="A27" s="89"/>
      <c r="B27" s="83"/>
      <c r="C27" s="83"/>
      <c r="D27" s="83"/>
      <c r="E27" s="52" t="str">
        <f>Inputs!E43</f>
        <v>Decommissioning baseline</v>
      </c>
      <c r="F27" s="52"/>
      <c r="G27" s="52" t="str">
        <f>Inputs!G43</f>
        <v>£m 19/20 prices</v>
      </c>
      <c r="H27" s="52"/>
      <c r="I27" s="218">
        <f>ROW(Inputs!E43)</f>
        <v>43</v>
      </c>
      <c r="J27" s="83"/>
      <c r="K27" s="234" t="s">
        <v>315</v>
      </c>
      <c r="L27" s="234"/>
    </row>
    <row r="28" spans="1:12" ht="15" customHeight="1">
      <c r="A28" s="89"/>
      <c r="B28" s="83"/>
      <c r="C28" s="83"/>
      <c r="D28" s="83"/>
      <c r="E28" s="52" t="str">
        <f>Inputs!E44</f>
        <v>Controllable Opex</v>
      </c>
      <c r="F28" s="52"/>
      <c r="G28" s="52" t="str">
        <f>Inputs!G44</f>
        <v>£m 19/20 prices</v>
      </c>
      <c r="H28" s="52"/>
      <c r="I28" s="218">
        <f>ROW(Inputs!E44)</f>
        <v>44</v>
      </c>
      <c r="J28" s="83"/>
      <c r="K28" s="234" t="s">
        <v>315</v>
      </c>
      <c r="L28" s="234"/>
    </row>
    <row r="29" spans="1:12" ht="15" customHeight="1">
      <c r="A29" s="89"/>
      <c r="B29" s="83"/>
      <c r="C29" s="83"/>
      <c r="D29" s="83"/>
      <c r="E29" s="52" t="str">
        <f>Inputs!E45</f>
        <v>Non-controllable Opex baseline</v>
      </c>
      <c r="F29" s="52"/>
      <c r="G29" s="52" t="str">
        <f>Inputs!G45</f>
        <v>£m 19/20 prices</v>
      </c>
      <c r="H29" s="52"/>
      <c r="I29" s="218">
        <f>ROW(Inputs!E45)</f>
        <v>45</v>
      </c>
      <c r="J29" s="83"/>
      <c r="K29" s="234" t="s">
        <v>315</v>
      </c>
      <c r="L29" s="234"/>
    </row>
    <row r="30" spans="1:12" ht="15" customHeight="1">
      <c r="A30" s="89"/>
      <c r="E30" s="89"/>
      <c r="F30" s="89"/>
      <c r="G30" s="89"/>
      <c r="I30" s="216"/>
    </row>
    <row r="31" spans="1:12" ht="15" customHeight="1">
      <c r="A31" s="89"/>
      <c r="E31" s="89" t="str">
        <f>Inputs!E51</f>
        <v>2019/20 average UK RPI inflation index value (CHAW)</v>
      </c>
      <c r="F31" s="89"/>
      <c r="G31" s="89" t="str">
        <f>Inputs!G51</f>
        <v>Jan 1987 = 100</v>
      </c>
      <c r="H31" s="89"/>
      <c r="I31" s="218">
        <f>ROW(Inputs!E51)</f>
        <v>51</v>
      </c>
      <c r="J31" s="68"/>
      <c r="K31" s="234" t="s">
        <v>280</v>
      </c>
      <c r="L31" s="246" t="s">
        <v>281</v>
      </c>
    </row>
    <row r="32" spans="1:12" ht="13" hidden="1">
      <c r="A32" s="106"/>
      <c r="B32" s="89"/>
      <c r="C32" s="89"/>
      <c r="D32" s="89"/>
      <c r="E32" s="89">
        <f>Inputs!E52</f>
        <v>0</v>
      </c>
      <c r="F32" s="89"/>
      <c r="G32" s="89" t="str">
        <f>Inputs!G52</f>
        <v/>
      </c>
      <c r="H32" s="89"/>
      <c r="I32" s="218">
        <f>ROW(Inputs!E52)</f>
        <v>52</v>
      </c>
      <c r="J32" s="68"/>
      <c r="K32" s="234"/>
      <c r="L32" s="245"/>
    </row>
    <row r="33" spans="1:12" ht="13" hidden="1">
      <c r="A33" s="106"/>
      <c r="B33" s="89"/>
      <c r="C33" s="89"/>
      <c r="D33" s="89"/>
      <c r="E33" s="89">
        <f>Inputs!E53</f>
        <v>0</v>
      </c>
      <c r="F33" s="89"/>
      <c r="G33" s="89" t="str">
        <f>Inputs!G53</f>
        <v/>
      </c>
      <c r="H33" s="89"/>
      <c r="I33" s="218">
        <f>ROW(Inputs!E53)</f>
        <v>53</v>
      </c>
      <c r="J33" s="68"/>
      <c r="K33" s="234"/>
      <c r="L33" s="246"/>
    </row>
    <row r="34" spans="1:12" ht="15" hidden="1" customHeight="1">
      <c r="A34" s="89"/>
      <c r="E34" s="89"/>
      <c r="F34" s="89"/>
      <c r="G34" s="89"/>
      <c r="H34" s="89"/>
      <c r="I34" s="218"/>
    </row>
    <row r="35" spans="1:12" ht="13" hidden="1">
      <c r="A35" s="106"/>
      <c r="E35" s="89" t="str">
        <f>Inputs!E55</f>
        <v/>
      </c>
      <c r="F35" s="89"/>
      <c r="G35" s="89" t="str">
        <f>Inputs!G55</f>
        <v/>
      </c>
      <c r="H35" s="89" t="str">
        <f>Inputs!H55</f>
        <v/>
      </c>
      <c r="I35" s="218">
        <f>ROW(Inputs!E55)</f>
        <v>55</v>
      </c>
      <c r="K35" s="234"/>
      <c r="L35" s="246"/>
    </row>
    <row r="36" spans="1:12" ht="15" customHeight="1">
      <c r="E36" s="89"/>
      <c r="F36" s="89"/>
      <c r="G36" s="89"/>
      <c r="I36" s="216"/>
    </row>
    <row r="37" spans="1:12" ht="15" customHeight="1">
      <c r="A37" s="90"/>
      <c r="B37" s="188" t="s">
        <v>75</v>
      </c>
      <c r="C37" s="82"/>
      <c r="D37" s="82"/>
      <c r="E37" s="82"/>
      <c r="F37" s="82"/>
      <c r="G37" s="82"/>
      <c r="H37" s="82"/>
      <c r="I37" s="224"/>
      <c r="J37" s="82"/>
      <c r="K37" s="237"/>
      <c r="L37" s="237"/>
    </row>
    <row r="38" spans="1:12" ht="15" customHeight="1">
      <c r="A38" s="90"/>
      <c r="B38" s="90"/>
      <c r="C38" s="90"/>
      <c r="D38" s="90"/>
      <c r="E38" s="90"/>
      <c r="F38" s="90"/>
      <c r="G38" s="90"/>
      <c r="H38" s="90"/>
      <c r="I38" s="225"/>
      <c r="J38" s="6"/>
      <c r="K38" s="231"/>
      <c r="L38" s="231"/>
    </row>
    <row r="39" spans="1:12" ht="15" customHeight="1">
      <c r="A39" s="90"/>
      <c r="B39" s="90"/>
      <c r="C39" s="13" t="s">
        <v>38</v>
      </c>
      <c r="D39" s="81"/>
      <c r="E39" s="81"/>
      <c r="F39" s="81"/>
      <c r="G39" s="81"/>
      <c r="H39" s="81"/>
      <c r="I39" s="220"/>
      <c r="J39" s="81"/>
      <c r="K39" s="233"/>
      <c r="L39" s="233"/>
    </row>
    <row r="40" spans="1:12" ht="15" customHeight="1">
      <c r="A40" s="90"/>
      <c r="B40" s="90"/>
      <c r="C40" s="90"/>
      <c r="D40" s="90"/>
      <c r="E40" s="90"/>
      <c r="F40" s="90"/>
      <c r="G40" s="90"/>
      <c r="H40" s="90"/>
      <c r="I40" s="225"/>
      <c r="J40" s="6"/>
    </row>
    <row r="41" spans="1:12" ht="13">
      <c r="A41"/>
      <c r="B41" s="83"/>
      <c r="C41" s="83"/>
      <c r="D41" s="83"/>
      <c r="E41" s="52" t="str">
        <f>Inputs!E68</f>
        <v>Cap return rate</v>
      </c>
      <c r="F41" s="52"/>
      <c r="G41" s="52" t="str">
        <f>Inputs!G68</f>
        <v>real annual %</v>
      </c>
      <c r="H41" s="83"/>
      <c r="I41" s="218">
        <f>ROW(Inputs!E68)</f>
        <v>68</v>
      </c>
      <c r="J41" s="83"/>
      <c r="K41" s="234" t="s">
        <v>317</v>
      </c>
      <c r="L41" s="245"/>
    </row>
    <row r="42" spans="1:12" ht="15" customHeight="1">
      <c r="A42" s="83"/>
      <c r="B42" s="83"/>
      <c r="C42" s="83"/>
      <c r="D42" s="83"/>
      <c r="E42" s="52" t="str">
        <f>Inputs!E69</f>
        <v>Floor return rate</v>
      </c>
      <c r="F42" s="52"/>
      <c r="G42" s="52" t="str">
        <f>Inputs!G69</f>
        <v>real annual %</v>
      </c>
      <c r="H42" s="83"/>
      <c r="I42" s="218">
        <f>ROW(Inputs!E69)</f>
        <v>69</v>
      </c>
      <c r="J42" s="83"/>
      <c r="K42" s="234" t="s">
        <v>317</v>
      </c>
      <c r="L42" s="245"/>
    </row>
    <row r="43" spans="1:12" ht="15" customHeight="1">
      <c r="A43" s="83"/>
      <c r="B43" s="83"/>
      <c r="C43" s="83"/>
      <c r="D43" s="83"/>
      <c r="E43" s="52" t="str">
        <f>Inputs!E70</f>
        <v>Interest during construction (IDC) rate</v>
      </c>
      <c r="F43" s="52"/>
      <c r="G43" s="52" t="str">
        <f>Inputs!G70</f>
        <v>real annual %</v>
      </c>
      <c r="H43" s="83"/>
      <c r="I43" s="218">
        <f>ROW(Inputs!E70)</f>
        <v>70</v>
      </c>
      <c r="J43" s="83"/>
      <c r="K43" s="234" t="s">
        <v>317</v>
      </c>
      <c r="L43" s="245"/>
    </row>
    <row r="44" spans="1:12" ht="15" customHeight="1">
      <c r="A44" s="83"/>
      <c r="B44" s="83"/>
      <c r="C44" s="83"/>
      <c r="D44" s="83"/>
      <c r="E44" s="52"/>
      <c r="F44" s="52"/>
      <c r="G44" s="52"/>
      <c r="H44" s="83"/>
      <c r="I44" s="218"/>
      <c r="J44" s="83"/>
      <c r="K44" s="231"/>
      <c r="L44" s="231"/>
    </row>
    <row r="45" spans="1:12" ht="13">
      <c r="A45"/>
      <c r="B45" s="83"/>
      <c r="C45" s="83"/>
      <c r="D45" s="83"/>
      <c r="E45" s="52" t="str">
        <f>Inputs!E73</f>
        <v>Pre-operational notional gearing</v>
      </c>
      <c r="F45" s="52"/>
      <c r="G45" s="52" t="str">
        <f>Inputs!G73</f>
        <v>%</v>
      </c>
      <c r="H45" s="83"/>
      <c r="I45" s="218">
        <f>ROW(Inputs!E73)</f>
        <v>73</v>
      </c>
      <c r="J45" s="83"/>
      <c r="K45" s="234" t="s">
        <v>317</v>
      </c>
      <c r="L45" s="245"/>
    </row>
    <row r="46" spans="1:12" ht="13">
      <c r="A46"/>
      <c r="B46" s="83"/>
      <c r="C46" s="83"/>
      <c r="D46" s="83"/>
      <c r="E46" s="52" t="str">
        <f>Inputs!E74</f>
        <v>Operational notional gearing</v>
      </c>
      <c r="F46" s="52"/>
      <c r="G46" s="52" t="str">
        <f>Inputs!G74</f>
        <v>%</v>
      </c>
      <c r="H46" s="83"/>
      <c r="I46" s="218">
        <f>ROW(Inputs!E74)</f>
        <v>74</v>
      </c>
      <c r="J46" s="83"/>
      <c r="K46" s="234" t="s">
        <v>317</v>
      </c>
      <c r="L46" s="245"/>
    </row>
    <row r="47" spans="1:12" ht="15" customHeight="1">
      <c r="A47" s="83"/>
      <c r="B47" s="83"/>
      <c r="C47" s="83"/>
      <c r="D47" s="83"/>
      <c r="E47" s="52"/>
      <c r="F47" s="52"/>
      <c r="G47" s="52"/>
      <c r="H47" s="83"/>
      <c r="I47" s="218"/>
      <c r="J47" s="83"/>
      <c r="K47" s="231"/>
      <c r="L47" s="231"/>
    </row>
    <row r="48" spans="1:12" ht="15" customHeight="1">
      <c r="A48" s="83"/>
      <c r="B48" s="83"/>
      <c r="C48" s="83"/>
      <c r="D48" s="83"/>
      <c r="E48" s="52" t="str">
        <f>Inputs!E76</f>
        <v>Equity transaction costs</v>
      </c>
      <c r="F48" s="52"/>
      <c r="G48" s="52" t="str">
        <f>Inputs!G76</f>
        <v>%</v>
      </c>
      <c r="H48" s="83"/>
      <c r="I48" s="218">
        <f>ROW(Inputs!E76)</f>
        <v>76</v>
      </c>
      <c r="J48" s="83"/>
      <c r="K48" s="234" t="s">
        <v>317</v>
      </c>
      <c r="L48" s="245"/>
    </row>
    <row r="49" spans="1:12" ht="15" customHeight="1">
      <c r="A49" s="83"/>
      <c r="B49" s="83"/>
      <c r="C49" s="83"/>
      <c r="D49" s="83"/>
      <c r="E49" s="52" t="str">
        <f>Inputs!E77</f>
        <v>Debt transaction costs</v>
      </c>
      <c r="F49" s="52"/>
      <c r="G49" s="52" t="str">
        <f>Inputs!G77</f>
        <v>%</v>
      </c>
      <c r="H49" s="83"/>
      <c r="I49" s="218">
        <f>ROW(Inputs!E77)</f>
        <v>77</v>
      </c>
      <c r="J49" s="83"/>
      <c r="K49" s="234" t="s">
        <v>317</v>
      </c>
      <c r="L49" s="245"/>
    </row>
    <row r="50" spans="1:12" ht="15" customHeight="1">
      <c r="A50" s="52"/>
      <c r="B50" s="52"/>
      <c r="C50" s="52"/>
      <c r="D50" s="52"/>
      <c r="E50" s="52"/>
      <c r="F50" s="52"/>
      <c r="G50" s="70"/>
      <c r="H50" s="52"/>
      <c r="I50" s="223"/>
      <c r="J50" s="52"/>
      <c r="K50" s="232"/>
      <c r="L50" s="232"/>
    </row>
    <row r="51" spans="1:12" ht="13">
      <c r="A51" s="90"/>
      <c r="B51" s="90"/>
      <c r="C51" s="81" t="s">
        <v>13</v>
      </c>
      <c r="D51" s="81"/>
      <c r="E51" s="81"/>
      <c r="F51" s="81"/>
      <c r="G51" s="81"/>
      <c r="H51" s="81"/>
      <c r="I51" s="220"/>
      <c r="J51" s="81"/>
      <c r="K51" s="233"/>
      <c r="L51" s="233"/>
    </row>
    <row r="52" spans="1:12" ht="15" customHeight="1">
      <c r="I52" s="216"/>
    </row>
    <row r="53" spans="1:12" ht="15" customHeight="1">
      <c r="A53" s="83"/>
      <c r="B53" s="83"/>
      <c r="C53" s="83"/>
      <c r="D53" s="83"/>
      <c r="E53" s="83" t="str">
        <f>Inputs!E85</f>
        <v>Regime start date</v>
      </c>
      <c r="F53" s="83"/>
      <c r="G53" s="83" t="str">
        <f>Inputs!G85</f>
        <v>date</v>
      </c>
      <c r="H53" s="83"/>
      <c r="I53" s="223">
        <f>ROW(Inputs!I85)</f>
        <v>85</v>
      </c>
      <c r="J53" s="83"/>
      <c r="K53" s="234" t="s">
        <v>315</v>
      </c>
      <c r="L53" s="245"/>
    </row>
    <row r="54" spans="1:12" ht="15" customHeight="1">
      <c r="A54" s="83"/>
      <c r="B54" s="83"/>
      <c r="C54" s="83"/>
      <c r="D54" s="83"/>
      <c r="E54" s="83" t="str">
        <f>Inputs!E86</f>
        <v>End date for IDC</v>
      </c>
      <c r="F54" s="83"/>
      <c r="G54" s="83" t="str">
        <f>Inputs!G86</f>
        <v>date</v>
      </c>
      <c r="H54" s="83"/>
      <c r="I54" s="223">
        <f>ROW(Inputs!I86)</f>
        <v>86</v>
      </c>
      <c r="J54" s="83"/>
      <c r="K54" s="234" t="s">
        <v>315</v>
      </c>
      <c r="L54" s="245"/>
    </row>
    <row r="55" spans="1:12" ht="15" customHeight="1">
      <c r="A55" s="83"/>
      <c r="B55" s="83"/>
      <c r="C55" s="83"/>
      <c r="D55" s="83"/>
      <c r="E55" s="83" t="str">
        <f>Inputs!E87</f>
        <v>Start of operations</v>
      </c>
      <c r="F55" s="83"/>
      <c r="G55" s="83" t="str">
        <f>Inputs!G87</f>
        <v>date</v>
      </c>
      <c r="H55" s="83"/>
      <c r="I55" s="223">
        <f>ROW(Inputs!I87)</f>
        <v>87</v>
      </c>
      <c r="J55" s="83"/>
      <c r="K55" s="234" t="s">
        <v>315</v>
      </c>
      <c r="L55" s="245"/>
    </row>
    <row r="56" spans="1:12" ht="15" customHeight="1">
      <c r="A56" s="83"/>
      <c r="B56" s="83"/>
      <c r="C56" s="83"/>
      <c r="D56" s="83"/>
      <c r="E56" s="83" t="str">
        <f>Inputs!E89</f>
        <v>Number of operational years</v>
      </c>
      <c r="F56" s="83"/>
      <c r="G56" s="83" t="str">
        <f>Inputs!G89</f>
        <v>full years</v>
      </c>
      <c r="H56" s="83"/>
      <c r="I56" s="223">
        <f>ROW(Inputs!I89)</f>
        <v>89</v>
      </c>
      <c r="J56" s="83"/>
      <c r="K56" s="234" t="s">
        <v>316</v>
      </c>
      <c r="L56" s="245"/>
    </row>
    <row r="57" spans="1:12" ht="15" customHeight="1">
      <c r="A57" s="83"/>
      <c r="B57" s="83"/>
      <c r="C57" s="83"/>
      <c r="D57" s="83"/>
      <c r="E57" s="83"/>
      <c r="F57" s="83"/>
      <c r="G57" s="83"/>
      <c r="H57" s="83"/>
      <c r="I57" s="223"/>
      <c r="J57" s="83"/>
      <c r="K57" s="238"/>
      <c r="L57" s="238"/>
    </row>
    <row r="58" spans="1:12" ht="15" customHeight="1">
      <c r="A58" s="90"/>
      <c r="B58" s="90"/>
      <c r="C58" s="81" t="s">
        <v>191</v>
      </c>
      <c r="D58" s="81"/>
      <c r="E58" s="81"/>
      <c r="F58" s="81"/>
      <c r="G58" s="81"/>
      <c r="H58" s="81"/>
      <c r="I58" s="220"/>
      <c r="J58" s="81"/>
      <c r="K58" s="233"/>
      <c r="L58" s="233"/>
    </row>
    <row r="59" spans="1:12" ht="15" customHeight="1">
      <c r="A59" s="61"/>
      <c r="B59" s="61"/>
      <c r="C59" s="61"/>
      <c r="D59" s="61"/>
      <c r="E59" s="61"/>
      <c r="F59" s="61"/>
      <c r="G59" s="61"/>
      <c r="H59" s="61"/>
      <c r="I59" s="226"/>
      <c r="J59" s="61"/>
      <c r="K59" s="239"/>
      <c r="L59" s="239"/>
    </row>
    <row r="60" spans="1:12" ht="15" customHeight="1">
      <c r="A60" s="61"/>
      <c r="B60" s="40"/>
      <c r="C60" s="61"/>
      <c r="D60" s="61"/>
      <c r="E60" s="91" t="str">
        <f>Inputs!E103</f>
        <v>Long-term expected UK RPI inflation</v>
      </c>
      <c r="G60" s="91" t="str">
        <f>Inputs!G103</f>
        <v>%</v>
      </c>
      <c r="I60" s="223">
        <f>ROW(Inputs!E103)</f>
        <v>103</v>
      </c>
      <c r="J60" s="41"/>
      <c r="K60" s="234" t="s">
        <v>317</v>
      </c>
      <c r="L60" s="245"/>
    </row>
    <row r="61" spans="1:12" ht="15" customHeight="1">
      <c r="A61" s="52"/>
      <c r="B61" s="52"/>
      <c r="C61" s="52"/>
      <c r="D61" s="52"/>
      <c r="E61" s="52"/>
      <c r="F61" s="52"/>
      <c r="G61" s="70"/>
      <c r="H61" s="52"/>
      <c r="I61" s="223"/>
      <c r="J61" s="52"/>
      <c r="K61" s="232"/>
      <c r="L61" s="232"/>
    </row>
    <row r="62" spans="1:12" ht="15" customHeight="1">
      <c r="A62" s="90"/>
      <c r="B62" s="90"/>
      <c r="C62" s="81" t="s">
        <v>222</v>
      </c>
      <c r="D62" s="81"/>
      <c r="E62" s="81"/>
      <c r="F62" s="81"/>
      <c r="G62" s="81"/>
      <c r="H62" s="81"/>
      <c r="I62" s="220"/>
      <c r="J62" s="81"/>
      <c r="K62" s="233"/>
      <c r="L62" s="233"/>
    </row>
    <row r="63" spans="1:12" ht="15" customHeight="1">
      <c r="A63" s="90"/>
      <c r="B63" s="90"/>
      <c r="C63" s="90"/>
      <c r="D63" s="90"/>
      <c r="E63" s="90"/>
      <c r="F63" s="90"/>
      <c r="G63" s="90"/>
      <c r="H63" s="90"/>
      <c r="I63" s="218"/>
      <c r="J63" s="6"/>
      <c r="K63" s="231"/>
      <c r="L63" s="231"/>
    </row>
    <row r="64" spans="1:12" ht="15" customHeight="1">
      <c r="A64" s="90"/>
      <c r="B64" s="90"/>
      <c r="C64" s="90"/>
      <c r="D64" s="90"/>
      <c r="E64" s="91" t="str">
        <f>Inputs!E113</f>
        <v>Corporation tax rate</v>
      </c>
      <c r="G64" s="91" t="str">
        <f>Inputs!G113</f>
        <v>%</v>
      </c>
      <c r="I64" s="223">
        <f>ROW(Inputs!E113)</f>
        <v>113</v>
      </c>
      <c r="J64" s="6"/>
      <c r="K64" s="234" t="s">
        <v>317</v>
      </c>
      <c r="L64" s="245"/>
    </row>
    <row r="65" spans="1:12" ht="15" customHeight="1">
      <c r="A65" s="90"/>
      <c r="B65" s="90"/>
      <c r="C65" s="90"/>
      <c r="D65" s="90"/>
      <c r="E65" s="91" t="str">
        <f>Inputs!E114</f>
        <v>Capital allowance rate (declining balance)</v>
      </c>
      <c r="G65" s="91" t="str">
        <f>Inputs!G114</f>
        <v>%</v>
      </c>
      <c r="I65" s="223">
        <f>ROW(Inputs!E114)</f>
        <v>114</v>
      </c>
      <c r="J65" s="6"/>
      <c r="K65" s="234" t="s">
        <v>317</v>
      </c>
      <c r="L65" s="245"/>
    </row>
    <row r="66" spans="1:12" ht="15" customHeight="1">
      <c r="A66"/>
      <c r="B66" s="40"/>
      <c r="C66" s="61"/>
      <c r="D66" s="61"/>
      <c r="E66" s="91" t="str">
        <f>Inputs!E117</f>
        <v>Start of price base year</v>
      </c>
      <c r="G66" s="91" t="str">
        <f>Inputs!G117</f>
        <v>date</v>
      </c>
      <c r="I66" s="223">
        <f>ROW(Inputs!E117)</f>
        <v>117</v>
      </c>
      <c r="J66" s="41"/>
      <c r="K66" s="234" t="s">
        <v>316</v>
      </c>
      <c r="L66" s="245"/>
    </row>
    <row r="67" spans="1:12" ht="15" customHeight="1">
      <c r="A67"/>
      <c r="G67" s="90"/>
      <c r="I67" s="216"/>
      <c r="J67" s="6"/>
    </row>
    <row r="68" spans="1:12" ht="15" customHeight="1">
      <c r="A68"/>
      <c r="B68" s="90"/>
      <c r="C68" s="81" t="s">
        <v>211</v>
      </c>
      <c r="D68" s="81"/>
      <c r="E68" s="81"/>
      <c r="F68" s="81"/>
      <c r="G68" s="81"/>
      <c r="H68" s="81"/>
      <c r="I68" s="220"/>
      <c r="J68" s="81"/>
      <c r="K68" s="233"/>
      <c r="L68" s="233"/>
    </row>
    <row r="69" spans="1:12" ht="15" customHeight="1">
      <c r="A69"/>
      <c r="B69" s="90"/>
      <c r="C69" s="90"/>
      <c r="D69" s="90"/>
      <c r="E69" s="90"/>
      <c r="F69" s="90"/>
      <c r="G69" s="90"/>
      <c r="H69" s="90"/>
      <c r="I69" s="218"/>
      <c r="J69" s="6"/>
      <c r="K69" s="231"/>
      <c r="L69" s="231"/>
    </row>
    <row r="70" spans="1:12" ht="15" customHeight="1">
      <c r="A70"/>
      <c r="E70" s="91" t="str">
        <f>Inputs!E123</f>
        <v>Tax element of Cap and Floor annuity previously calculated and fixed</v>
      </c>
      <c r="G70" s="91" t="str">
        <f>Inputs!G123</f>
        <v>choice</v>
      </c>
      <c r="I70" s="223">
        <f>ROW(Inputs!E123)</f>
        <v>123</v>
      </c>
      <c r="J70" s="6"/>
      <c r="K70" s="234" t="s">
        <v>317</v>
      </c>
      <c r="L70" s="245"/>
    </row>
    <row r="71" spans="1:12" ht="15" customHeight="1">
      <c r="G71" s="90"/>
      <c r="I71" s="216"/>
      <c r="J71" s="6"/>
    </row>
    <row r="72" spans="1:12" ht="15" customHeight="1">
      <c r="A72" s="83"/>
      <c r="B72" s="188" t="s">
        <v>8</v>
      </c>
      <c r="C72" s="72"/>
      <c r="D72" s="72"/>
      <c r="E72" s="72"/>
      <c r="F72" s="72"/>
      <c r="G72" s="72"/>
      <c r="H72" s="72"/>
      <c r="I72" s="215"/>
      <c r="J72" s="72"/>
      <c r="K72" s="230"/>
      <c r="L72" s="230"/>
    </row>
    <row r="73" spans="1:12" ht="15" customHeight="1">
      <c r="I73" s="216"/>
    </row>
    <row r="74" spans="1:12" ht="15" hidden="1" customHeight="1">
      <c r="I74" s="216"/>
    </row>
    <row r="75" spans="1:12" ht="15" hidden="1" customHeight="1">
      <c r="I75" s="216"/>
    </row>
    <row r="76" spans="1:12" ht="15" hidden="1" customHeight="1">
      <c r="I76" s="216"/>
    </row>
    <row r="77" spans="1:12" ht="15" hidden="1" customHeight="1">
      <c r="I77" s="216"/>
    </row>
    <row r="78" spans="1:12" ht="15" hidden="1" customHeight="1">
      <c r="I78" s="216"/>
    </row>
    <row r="79" spans="1:12" ht="15" hidden="1" customHeight="1">
      <c r="I79" s="216"/>
    </row>
    <row r="80" spans="1:12" ht="15" hidden="1" customHeight="1">
      <c r="I80" s="216"/>
    </row>
    <row r="81" spans="9:9" ht="15" hidden="1" customHeight="1">
      <c r="I81" s="216"/>
    </row>
    <row r="82" spans="9:9" ht="15" hidden="1" customHeight="1">
      <c r="I82" s="216"/>
    </row>
    <row r="83" spans="9:9" ht="15" hidden="1" customHeight="1">
      <c r="I83" s="216"/>
    </row>
    <row r="84" spans="9:9" ht="15" hidden="1" customHeight="1">
      <c r="I84" s="216"/>
    </row>
    <row r="85" spans="9:9" ht="15" hidden="1" customHeight="1">
      <c r="I85" s="216"/>
    </row>
    <row r="86" spans="9:9" ht="15" hidden="1" customHeight="1">
      <c r="I86" s="216"/>
    </row>
    <row r="87" spans="9:9" ht="15" hidden="1" customHeight="1">
      <c r="I87" s="216"/>
    </row>
    <row r="88" spans="9:9" ht="15" hidden="1" customHeight="1">
      <c r="I88" s="216"/>
    </row>
    <row r="89" spans="9:9" ht="15" hidden="1" customHeight="1">
      <c r="I89" s="216"/>
    </row>
    <row r="90" spans="9:9" ht="15" hidden="1" customHeight="1">
      <c r="I90" s="216"/>
    </row>
    <row r="91" spans="9:9" ht="15" hidden="1" customHeight="1">
      <c r="I91" s="216"/>
    </row>
    <row r="92" spans="9:9" ht="15" hidden="1" customHeight="1">
      <c r="I92" s="216"/>
    </row>
    <row r="93" spans="9:9" ht="15" hidden="1" customHeight="1">
      <c r="I93" s="216"/>
    </row>
    <row r="94" spans="9:9" ht="15" hidden="1" customHeight="1">
      <c r="I94" s="216"/>
    </row>
    <row r="95" spans="9:9" ht="15" hidden="1" customHeight="1">
      <c r="I95" s="216"/>
    </row>
    <row r="96" spans="9:9" ht="15" hidden="1" customHeight="1">
      <c r="I96" s="216"/>
    </row>
    <row r="97" spans="9:9" ht="15" hidden="1" customHeight="1">
      <c r="I97" s="216"/>
    </row>
    <row r="98" spans="9:9" ht="15" hidden="1" customHeight="1">
      <c r="I98" s="216"/>
    </row>
    <row r="99" spans="9:9" ht="15" hidden="1" customHeight="1">
      <c r="I99" s="216"/>
    </row>
    <row r="100" spans="9:9" ht="15" hidden="1" customHeight="1">
      <c r="I100" s="216"/>
    </row>
    <row r="101" spans="9:9" ht="15" hidden="1" customHeight="1">
      <c r="I101" s="216"/>
    </row>
    <row r="102" spans="9:9" ht="15" hidden="1" customHeight="1">
      <c r="I102" s="216"/>
    </row>
    <row r="103" spans="9:9" ht="15" hidden="1" customHeight="1">
      <c r="I103" s="216"/>
    </row>
    <row r="104" spans="9:9" ht="15" hidden="1" customHeight="1">
      <c r="I104" s="216"/>
    </row>
    <row r="105" spans="9:9" ht="15" hidden="1" customHeight="1">
      <c r="I105" s="216"/>
    </row>
    <row r="106" spans="9:9" ht="15" hidden="1" customHeight="1">
      <c r="I106" s="216"/>
    </row>
    <row r="107" spans="9:9" ht="15" hidden="1" customHeight="1">
      <c r="I107" s="216"/>
    </row>
    <row r="108" spans="9:9" ht="15" hidden="1" customHeight="1">
      <c r="I108" s="216"/>
    </row>
    <row r="109" spans="9:9" ht="15" hidden="1" customHeight="1">
      <c r="I109" s="216"/>
    </row>
    <row r="110" spans="9:9" ht="15" hidden="1" customHeight="1">
      <c r="I110" s="216"/>
    </row>
    <row r="111" spans="9:9" ht="15" hidden="1" customHeight="1">
      <c r="I111" s="216"/>
    </row>
    <row r="112" spans="9:9" ht="15" hidden="1" customHeight="1">
      <c r="I112" s="216"/>
    </row>
    <row r="113" spans="9:9" ht="15" hidden="1" customHeight="1">
      <c r="I113" s="216"/>
    </row>
    <row r="114" spans="9:9" ht="15" hidden="1" customHeight="1">
      <c r="I114" s="216"/>
    </row>
    <row r="115" spans="9:9" ht="15" hidden="1" customHeight="1">
      <c r="I115" s="216"/>
    </row>
    <row r="116" spans="9:9" ht="15" hidden="1" customHeight="1">
      <c r="I116" s="216"/>
    </row>
    <row r="117" spans="9:9" ht="15" hidden="1" customHeight="1">
      <c r="I117" s="216"/>
    </row>
    <row r="118" spans="9:9" ht="15" hidden="1" customHeight="1">
      <c r="I118" s="216"/>
    </row>
    <row r="119" spans="9:9" ht="15" hidden="1" customHeight="1">
      <c r="I119" s="216"/>
    </row>
    <row r="120" spans="9:9" ht="15" hidden="1" customHeight="1">
      <c r="I120" s="216"/>
    </row>
    <row r="121" spans="9:9" ht="15" hidden="1" customHeight="1">
      <c r="I121" s="216"/>
    </row>
    <row r="122" spans="9:9" ht="15" hidden="1" customHeight="1">
      <c r="I122" s="216"/>
    </row>
    <row r="123" spans="9:9" ht="15" hidden="1" customHeight="1">
      <c r="I123" s="216"/>
    </row>
    <row r="124" spans="9:9" ht="15" hidden="1" customHeight="1">
      <c r="I124" s="216"/>
    </row>
    <row r="125" spans="9:9" ht="15" hidden="1" customHeight="1">
      <c r="I125" s="216"/>
    </row>
    <row r="126" spans="9:9" ht="15" hidden="1" customHeight="1">
      <c r="I126" s="216"/>
    </row>
    <row r="127" spans="9:9" ht="15" hidden="1" customHeight="1">
      <c r="I127" s="216"/>
    </row>
    <row r="128" spans="9:9" ht="15" hidden="1" customHeight="1">
      <c r="I128" s="216"/>
    </row>
    <row r="129" spans="9:9" ht="15" hidden="1" customHeight="1">
      <c r="I129" s="216"/>
    </row>
    <row r="130" spans="9:9" ht="15" hidden="1" customHeight="1">
      <c r="I130" s="216"/>
    </row>
    <row r="131" spans="9:9" ht="15" hidden="1" customHeight="1">
      <c r="I131" s="216"/>
    </row>
    <row r="132" spans="9:9" ht="15" hidden="1" customHeight="1">
      <c r="I132" s="216"/>
    </row>
    <row r="133" spans="9:9" ht="15" hidden="1" customHeight="1">
      <c r="I133" s="216"/>
    </row>
    <row r="134" spans="9:9" ht="15" hidden="1" customHeight="1">
      <c r="I134" s="216"/>
    </row>
    <row r="135" spans="9:9" ht="15" hidden="1" customHeight="1">
      <c r="I135" s="216"/>
    </row>
    <row r="136" spans="9:9" ht="15" hidden="1" customHeight="1">
      <c r="I136" s="216"/>
    </row>
    <row r="137" spans="9:9" ht="15" hidden="1" customHeight="1">
      <c r="I137" s="216"/>
    </row>
    <row r="138" spans="9:9" ht="15" hidden="1" customHeight="1">
      <c r="I138" s="216"/>
    </row>
    <row r="139" spans="9:9" ht="15" hidden="1" customHeight="1">
      <c r="I139" s="216"/>
    </row>
    <row r="140" spans="9:9" ht="15" hidden="1" customHeight="1">
      <c r="I140" s="216"/>
    </row>
    <row r="144" spans="9:9" ht="15" customHeight="1"/>
  </sheetData>
  <sheetProtection algorithmName="SHA-512" hashValue="CZFoEI1QkFGd62jfpHFVJrVxJhNgbNPh/LFmiXkiX/kQFNm3rcvD7NTN3/RyQaCa+x+PVH45PxD2SsHNR+MEmw==" saltValue="ML3XEgJf+rf2dkytGxSlZA==" spinCount="100000" sheet="1" objects="1" scenarios="1"/>
  <hyperlinks>
    <hyperlink ref="L18" r:id="rId1" xr:uid="{00000000-0004-0000-0300-000000000000}"/>
    <hyperlink ref="L31" r:id="rId2" xr:uid="{00000000-0004-0000-0300-000002000000}"/>
    <hyperlink ref="L22" r:id="rId3" xr:uid="{688024A7-1D63-4057-946E-6D41DCEDD4CF}"/>
  </hyperlinks>
  <pageMargins left="0.23622047244094491" right="0.23622047244094491" top="0.74803149606299213" bottom="0.74803149606299213" header="0.31496062992125984" footer="0.31496062992125984"/>
  <pageSetup paperSize="8" scale="30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7" tint="0.59999389629810485"/>
    <pageSetUpPr fitToPage="1"/>
  </sheetPr>
  <dimension ref="A1:XFC27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defaultColWidth="0" defaultRowHeight="15" customHeight="1" zeroHeight="1"/>
  <cols>
    <col min="1" max="4" width="2.59765625" style="4" customWidth="1"/>
    <col min="5" max="5" width="55.09765625" style="4" customWidth="1"/>
    <col min="6" max="6" width="1.59765625" style="4" customWidth="1"/>
    <col min="7" max="7" width="15.59765625" style="4" customWidth="1"/>
    <col min="8" max="8" width="10.8984375" style="4" bestFit="1" customWidth="1"/>
    <col min="9" max="9" width="10.59765625" style="42" customWidth="1"/>
    <col min="10" max="10" width="1.59765625" style="4" customWidth="1"/>
    <col min="11" max="15" width="10.59765625" style="80" customWidth="1"/>
    <col min="16" max="45" width="10.59765625" style="4" customWidth="1"/>
    <col min="46" max="46" width="10.09765625" style="4" bestFit="1" customWidth="1"/>
    <col min="47" max="50" width="10.59765625" style="4" customWidth="1"/>
    <col min="51" max="51" width="3.09765625" customWidth="1"/>
    <col min="52" max="52" width="9.09765625" style="4" hidden="1"/>
    <col min="53" max="16383" width="9.09765625" hidden="1"/>
    <col min="16384" max="16384" width="2" hidden="1"/>
  </cols>
  <sheetData>
    <row r="1" spans="1:50" customFormat="1" ht="14.5">
      <c r="A1" s="242" t="s">
        <v>243</v>
      </c>
      <c r="B1" s="16"/>
      <c r="C1" s="16"/>
      <c r="D1" s="16"/>
      <c r="E1" s="16"/>
      <c r="F1" s="16"/>
      <c r="G1" s="16"/>
      <c r="H1" s="16" t="s">
        <v>73</v>
      </c>
      <c r="I1" s="2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</row>
    <row r="2" spans="1:50" customFormat="1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6"/>
      <c r="AT2" s="16"/>
      <c r="AU2" s="16"/>
      <c r="AV2" s="16"/>
      <c r="AW2" s="16"/>
      <c r="AX2" s="16"/>
    </row>
    <row r="3" spans="1:50" customFormat="1" ht="15" customHeight="1">
      <c r="A3" s="16"/>
      <c r="B3" s="16"/>
      <c r="C3" s="16"/>
      <c r="D3" s="16"/>
      <c r="E3" s="11" t="s">
        <v>80</v>
      </c>
      <c r="F3" s="18"/>
      <c r="G3" s="18"/>
      <c r="H3" s="18"/>
      <c r="I3" s="18"/>
      <c r="J3" s="19"/>
      <c r="K3" s="24">
        <f>Inputs!K17</f>
        <v>39904</v>
      </c>
      <c r="L3" s="12">
        <f>+K4+1</f>
        <v>40269</v>
      </c>
      <c r="M3" s="12">
        <f>+L4+1</f>
        <v>40634</v>
      </c>
      <c r="N3" s="12">
        <f t="shared" ref="N3:AX3" si="0">+M4+1</f>
        <v>41000</v>
      </c>
      <c r="O3" s="12">
        <f t="shared" si="0"/>
        <v>41365</v>
      </c>
      <c r="P3" s="12">
        <f t="shared" si="0"/>
        <v>41730</v>
      </c>
      <c r="Q3" s="12">
        <f t="shared" si="0"/>
        <v>42095</v>
      </c>
      <c r="R3" s="12">
        <f t="shared" si="0"/>
        <v>42461</v>
      </c>
      <c r="S3" s="12">
        <f t="shared" si="0"/>
        <v>42826</v>
      </c>
      <c r="T3" s="12">
        <f t="shared" si="0"/>
        <v>43191</v>
      </c>
      <c r="U3" s="12">
        <f t="shared" si="0"/>
        <v>43556</v>
      </c>
      <c r="V3" s="12">
        <f t="shared" si="0"/>
        <v>43922</v>
      </c>
      <c r="W3" s="12">
        <f t="shared" si="0"/>
        <v>44287</v>
      </c>
      <c r="X3" s="12">
        <f t="shared" si="0"/>
        <v>44652</v>
      </c>
      <c r="Y3" s="12">
        <f t="shared" si="0"/>
        <v>45017</v>
      </c>
      <c r="Z3" s="12">
        <f t="shared" si="0"/>
        <v>45383</v>
      </c>
      <c r="AA3" s="12">
        <f t="shared" si="0"/>
        <v>45748</v>
      </c>
      <c r="AB3" s="12">
        <f t="shared" si="0"/>
        <v>46113</v>
      </c>
      <c r="AC3" s="12">
        <f t="shared" si="0"/>
        <v>46478</v>
      </c>
      <c r="AD3" s="12">
        <f t="shared" si="0"/>
        <v>46844</v>
      </c>
      <c r="AE3" s="12">
        <f t="shared" si="0"/>
        <v>47209</v>
      </c>
      <c r="AF3" s="12">
        <f t="shared" si="0"/>
        <v>47574</v>
      </c>
      <c r="AG3" s="12">
        <f t="shared" si="0"/>
        <v>47939</v>
      </c>
      <c r="AH3" s="12">
        <f t="shared" si="0"/>
        <v>48305</v>
      </c>
      <c r="AI3" s="12">
        <f t="shared" si="0"/>
        <v>48670</v>
      </c>
      <c r="AJ3" s="12">
        <f t="shared" si="0"/>
        <v>49035</v>
      </c>
      <c r="AK3" s="12">
        <f t="shared" si="0"/>
        <v>49400</v>
      </c>
      <c r="AL3" s="12">
        <f t="shared" si="0"/>
        <v>49766</v>
      </c>
      <c r="AM3" s="12">
        <f t="shared" si="0"/>
        <v>50131</v>
      </c>
      <c r="AN3" s="12">
        <f t="shared" si="0"/>
        <v>50496</v>
      </c>
      <c r="AO3" s="12">
        <f t="shared" si="0"/>
        <v>50861</v>
      </c>
      <c r="AP3" s="12">
        <f t="shared" si="0"/>
        <v>51227</v>
      </c>
      <c r="AQ3" s="12">
        <f t="shared" si="0"/>
        <v>51592</v>
      </c>
      <c r="AR3" s="12">
        <f t="shared" si="0"/>
        <v>51957</v>
      </c>
      <c r="AS3" s="12">
        <f t="shared" si="0"/>
        <v>52322</v>
      </c>
      <c r="AT3" s="12">
        <f t="shared" si="0"/>
        <v>52688</v>
      </c>
      <c r="AU3" s="12">
        <f t="shared" si="0"/>
        <v>53053</v>
      </c>
      <c r="AV3" s="12">
        <f t="shared" si="0"/>
        <v>53418</v>
      </c>
      <c r="AW3" s="12">
        <f t="shared" si="0"/>
        <v>53783</v>
      </c>
      <c r="AX3" s="12">
        <f t="shared" si="0"/>
        <v>54149</v>
      </c>
    </row>
    <row r="4" spans="1:50" customFormat="1" ht="15" customHeight="1">
      <c r="A4" s="11"/>
      <c r="B4" s="11"/>
      <c r="C4" s="11"/>
      <c r="D4" s="11"/>
      <c r="E4" s="11" t="s">
        <v>5</v>
      </c>
      <c r="F4" s="11"/>
      <c r="G4" s="11"/>
      <c r="H4" s="11"/>
      <c r="I4" s="28"/>
      <c r="J4" s="11"/>
      <c r="K4" s="24">
        <f>Inputs!K18</f>
        <v>40268</v>
      </c>
      <c r="L4" s="12">
        <f t="shared" ref="L4:AX4" si="1">DATE(YEAR(K4) + 1, MONTH(K4), DAY(K4))</f>
        <v>40633</v>
      </c>
      <c r="M4" s="12">
        <f t="shared" si="1"/>
        <v>40999</v>
      </c>
      <c r="N4" s="12">
        <f t="shared" si="1"/>
        <v>41364</v>
      </c>
      <c r="O4" s="12">
        <f t="shared" si="1"/>
        <v>41729</v>
      </c>
      <c r="P4" s="12">
        <f t="shared" si="1"/>
        <v>42094</v>
      </c>
      <c r="Q4" s="12">
        <f t="shared" si="1"/>
        <v>42460</v>
      </c>
      <c r="R4" s="12">
        <f t="shared" si="1"/>
        <v>42825</v>
      </c>
      <c r="S4" s="12">
        <f t="shared" si="1"/>
        <v>43190</v>
      </c>
      <c r="T4" s="12">
        <f t="shared" si="1"/>
        <v>43555</v>
      </c>
      <c r="U4" s="12">
        <f t="shared" si="1"/>
        <v>43921</v>
      </c>
      <c r="V4" s="12">
        <f t="shared" si="1"/>
        <v>44286</v>
      </c>
      <c r="W4" s="12">
        <f t="shared" si="1"/>
        <v>44651</v>
      </c>
      <c r="X4" s="12">
        <f t="shared" si="1"/>
        <v>45016</v>
      </c>
      <c r="Y4" s="12">
        <f t="shared" si="1"/>
        <v>45382</v>
      </c>
      <c r="Z4" s="12">
        <f t="shared" si="1"/>
        <v>45747</v>
      </c>
      <c r="AA4" s="12">
        <f t="shared" si="1"/>
        <v>46112</v>
      </c>
      <c r="AB4" s="12">
        <f t="shared" si="1"/>
        <v>46477</v>
      </c>
      <c r="AC4" s="12">
        <f t="shared" si="1"/>
        <v>46843</v>
      </c>
      <c r="AD4" s="12">
        <f t="shared" si="1"/>
        <v>47208</v>
      </c>
      <c r="AE4" s="12">
        <f t="shared" si="1"/>
        <v>47573</v>
      </c>
      <c r="AF4" s="12">
        <f t="shared" si="1"/>
        <v>47938</v>
      </c>
      <c r="AG4" s="12">
        <f t="shared" si="1"/>
        <v>48304</v>
      </c>
      <c r="AH4" s="12">
        <f t="shared" si="1"/>
        <v>48669</v>
      </c>
      <c r="AI4" s="12">
        <f t="shared" si="1"/>
        <v>49034</v>
      </c>
      <c r="AJ4" s="12">
        <f t="shared" si="1"/>
        <v>49399</v>
      </c>
      <c r="AK4" s="12">
        <f t="shared" si="1"/>
        <v>49765</v>
      </c>
      <c r="AL4" s="12">
        <f t="shared" si="1"/>
        <v>50130</v>
      </c>
      <c r="AM4" s="12">
        <f t="shared" si="1"/>
        <v>50495</v>
      </c>
      <c r="AN4" s="12">
        <f t="shared" si="1"/>
        <v>50860</v>
      </c>
      <c r="AO4" s="12">
        <f t="shared" si="1"/>
        <v>51226</v>
      </c>
      <c r="AP4" s="12">
        <f t="shared" si="1"/>
        <v>51591</v>
      </c>
      <c r="AQ4" s="12">
        <f t="shared" si="1"/>
        <v>51956</v>
      </c>
      <c r="AR4" s="12">
        <f t="shared" si="1"/>
        <v>52321</v>
      </c>
      <c r="AS4" s="12">
        <f t="shared" si="1"/>
        <v>52687</v>
      </c>
      <c r="AT4" s="12">
        <f t="shared" si="1"/>
        <v>53052</v>
      </c>
      <c r="AU4" s="12">
        <f t="shared" si="1"/>
        <v>53417</v>
      </c>
      <c r="AV4" s="12">
        <f t="shared" si="1"/>
        <v>53782</v>
      </c>
      <c r="AW4" s="12">
        <f t="shared" si="1"/>
        <v>54148</v>
      </c>
      <c r="AX4" s="12">
        <f t="shared" si="1"/>
        <v>54513</v>
      </c>
    </row>
    <row r="5" spans="1:50" customFormat="1" ht="15" customHeight="1">
      <c r="A5" s="5"/>
      <c r="B5" s="5"/>
      <c r="C5" s="5"/>
      <c r="D5" s="5"/>
      <c r="E5" s="5"/>
      <c r="F5" s="5"/>
      <c r="G5" s="5"/>
      <c r="H5" s="5"/>
      <c r="I5" s="29"/>
      <c r="J5" s="6"/>
      <c r="K5" s="6"/>
      <c r="L5" s="6"/>
      <c r="M5" s="6"/>
      <c r="N5" s="6"/>
      <c r="O5" s="6"/>
      <c r="P5" s="6"/>
      <c r="Q5" s="6"/>
      <c r="R5" s="6"/>
      <c r="S5" s="5"/>
      <c r="T5" s="5"/>
      <c r="U5" s="5"/>
      <c r="V5" s="5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</row>
    <row r="6" spans="1:50" customFormat="1" ht="15" customHeight="1">
      <c r="A6" s="90"/>
      <c r="B6" s="188" t="s">
        <v>85</v>
      </c>
      <c r="C6" s="72"/>
      <c r="D6" s="72"/>
      <c r="E6" s="72"/>
      <c r="F6" s="72"/>
      <c r="G6" s="72"/>
      <c r="H6" s="72"/>
      <c r="I6" s="115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</row>
    <row r="7" spans="1:50" customFormat="1" ht="15" customHeight="1">
      <c r="A7" s="90"/>
      <c r="B7" s="90"/>
      <c r="C7" s="90"/>
      <c r="D7" s="90"/>
      <c r="E7" s="90"/>
      <c r="F7" s="90"/>
      <c r="G7" s="90"/>
      <c r="H7" s="90"/>
      <c r="I7" s="29"/>
      <c r="J7" s="6"/>
      <c r="K7" s="6"/>
      <c r="L7" s="6"/>
      <c r="M7" s="6"/>
      <c r="N7" s="6"/>
      <c r="O7" s="6"/>
      <c r="P7" s="6"/>
      <c r="Q7" s="6"/>
      <c r="R7" s="6"/>
      <c r="S7" s="90"/>
      <c r="T7" s="90"/>
      <c r="U7" s="90"/>
      <c r="V7" s="90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</row>
    <row r="8" spans="1:50" customFormat="1" ht="15" customHeight="1">
      <c r="A8" s="90"/>
      <c r="B8" s="90"/>
      <c r="C8" s="90"/>
      <c r="D8" s="90"/>
      <c r="E8" s="83" t="s">
        <v>187</v>
      </c>
      <c r="F8" s="90"/>
      <c r="G8" s="90" t="s">
        <v>7</v>
      </c>
      <c r="H8" s="90"/>
      <c r="I8" s="29"/>
      <c r="J8" s="6"/>
      <c r="K8" s="164">
        <f>Inputs!K92</f>
        <v>1</v>
      </c>
      <c r="L8" s="164">
        <f>Inputs!L92</f>
        <v>1</v>
      </c>
      <c r="M8" s="164">
        <f>Inputs!M92</f>
        <v>1</v>
      </c>
      <c r="N8" s="164">
        <f>Inputs!N92</f>
        <v>1</v>
      </c>
      <c r="O8" s="164">
        <f>Inputs!O92</f>
        <v>1</v>
      </c>
      <c r="P8" s="164">
        <f>Inputs!P92</f>
        <v>1</v>
      </c>
      <c r="Q8" s="164">
        <f>Inputs!Q92</f>
        <v>1</v>
      </c>
      <c r="R8" s="164">
        <f>Inputs!R92</f>
        <v>1</v>
      </c>
      <c r="S8" s="164">
        <f>Inputs!S92</f>
        <v>1</v>
      </c>
      <c r="T8" s="164">
        <f>Inputs!T92</f>
        <v>1</v>
      </c>
      <c r="U8" s="164">
        <f>Inputs!U92</f>
        <v>1</v>
      </c>
      <c r="V8" s="164">
        <f>Inputs!V92</f>
        <v>0.81095890410958904</v>
      </c>
      <c r="W8" s="164">
        <f>Inputs!W92</f>
        <v>0</v>
      </c>
      <c r="X8" s="164">
        <f>Inputs!X92</f>
        <v>0</v>
      </c>
      <c r="Y8" s="164">
        <f>Inputs!Y92</f>
        <v>0</v>
      </c>
      <c r="Z8" s="164">
        <f>Inputs!Z92</f>
        <v>0</v>
      </c>
      <c r="AA8" s="164">
        <f>Inputs!AA92</f>
        <v>0</v>
      </c>
      <c r="AB8" s="164">
        <f>Inputs!AB92</f>
        <v>0</v>
      </c>
      <c r="AC8" s="164">
        <f>Inputs!AC92</f>
        <v>0</v>
      </c>
      <c r="AD8" s="164">
        <f>Inputs!AD92</f>
        <v>0</v>
      </c>
      <c r="AE8" s="164">
        <f>Inputs!AE92</f>
        <v>0</v>
      </c>
      <c r="AF8" s="164">
        <f>Inputs!AF92</f>
        <v>0</v>
      </c>
      <c r="AG8" s="164">
        <f>Inputs!AG92</f>
        <v>0</v>
      </c>
      <c r="AH8" s="164">
        <f>Inputs!AH92</f>
        <v>0</v>
      </c>
      <c r="AI8" s="164">
        <f>Inputs!AI92</f>
        <v>0</v>
      </c>
      <c r="AJ8" s="164">
        <f>Inputs!AJ92</f>
        <v>0</v>
      </c>
      <c r="AK8" s="164">
        <f>Inputs!AK92</f>
        <v>0</v>
      </c>
      <c r="AL8" s="164">
        <f>Inputs!AL92</f>
        <v>0</v>
      </c>
      <c r="AM8" s="164">
        <f>Inputs!AM92</f>
        <v>0</v>
      </c>
      <c r="AN8" s="164">
        <f>Inputs!AN92</f>
        <v>0</v>
      </c>
      <c r="AO8" s="164">
        <f>Inputs!AO92</f>
        <v>0</v>
      </c>
      <c r="AP8" s="164">
        <f>Inputs!AP92</f>
        <v>0</v>
      </c>
      <c r="AQ8" s="164">
        <f>Inputs!AQ92</f>
        <v>0</v>
      </c>
      <c r="AR8" s="164">
        <f>Inputs!AR92</f>
        <v>0</v>
      </c>
      <c r="AS8" s="164">
        <f>Inputs!AS92</f>
        <v>0</v>
      </c>
      <c r="AT8" s="164">
        <f>Inputs!AT92</f>
        <v>0</v>
      </c>
      <c r="AU8" s="164">
        <f>Inputs!AU92</f>
        <v>0</v>
      </c>
      <c r="AV8" s="164">
        <f>Inputs!AV92</f>
        <v>0</v>
      </c>
      <c r="AW8" s="164">
        <f>Inputs!AW92</f>
        <v>0</v>
      </c>
      <c r="AX8" s="164">
        <f>Inputs!AX92</f>
        <v>0</v>
      </c>
    </row>
    <row r="9" spans="1:50" customFormat="1" ht="15" customHeight="1">
      <c r="A9" s="83"/>
      <c r="B9" s="83"/>
      <c r="C9" s="83"/>
      <c r="D9" s="83"/>
      <c r="E9" s="83" t="s">
        <v>186</v>
      </c>
      <c r="F9" s="83"/>
      <c r="G9" s="83" t="s">
        <v>7</v>
      </c>
      <c r="H9" s="83"/>
      <c r="I9" s="86"/>
      <c r="J9" s="83"/>
      <c r="K9" s="164">
        <f>Inputs!K93</f>
        <v>0</v>
      </c>
      <c r="L9" s="164">
        <f>Inputs!L93</f>
        <v>0</v>
      </c>
      <c r="M9" s="164">
        <f>Inputs!M93</f>
        <v>0</v>
      </c>
      <c r="N9" s="164">
        <f>Inputs!N93</f>
        <v>0</v>
      </c>
      <c r="O9" s="164">
        <f>Inputs!O93</f>
        <v>0</v>
      </c>
      <c r="P9" s="164">
        <f>Inputs!P93</f>
        <v>0</v>
      </c>
      <c r="Q9" s="164">
        <f>Inputs!Q93</f>
        <v>0</v>
      </c>
      <c r="R9" s="164">
        <f>Inputs!R93</f>
        <v>0</v>
      </c>
      <c r="S9" s="164">
        <f>Inputs!S93</f>
        <v>0</v>
      </c>
      <c r="T9" s="164">
        <f>Inputs!T93</f>
        <v>0</v>
      </c>
      <c r="U9" s="164">
        <f>Inputs!U93</f>
        <v>0</v>
      </c>
      <c r="V9" s="164">
        <f>Inputs!V93</f>
        <v>0</v>
      </c>
      <c r="W9" s="164">
        <f>Inputs!W93</f>
        <v>0</v>
      </c>
      <c r="X9" s="164">
        <f>Inputs!X93</f>
        <v>0</v>
      </c>
      <c r="Y9" s="164">
        <f>Inputs!Y93</f>
        <v>0</v>
      </c>
      <c r="Z9" s="164">
        <f>Inputs!Z93</f>
        <v>0</v>
      </c>
      <c r="AA9" s="164">
        <f>Inputs!AA93</f>
        <v>0</v>
      </c>
      <c r="AB9" s="164">
        <f>Inputs!AB93</f>
        <v>0</v>
      </c>
      <c r="AC9" s="164">
        <f>Inputs!AC93</f>
        <v>0</v>
      </c>
      <c r="AD9" s="164">
        <f>Inputs!AD93</f>
        <v>0</v>
      </c>
      <c r="AE9" s="164">
        <f>Inputs!AE93</f>
        <v>0</v>
      </c>
      <c r="AF9" s="164">
        <f>Inputs!AF93</f>
        <v>0</v>
      </c>
      <c r="AG9" s="164">
        <f>Inputs!AG93</f>
        <v>0</v>
      </c>
      <c r="AH9" s="164">
        <f>Inputs!AH93</f>
        <v>0</v>
      </c>
      <c r="AI9" s="164">
        <f>Inputs!AI93</f>
        <v>0</v>
      </c>
      <c r="AJ9" s="164">
        <f>Inputs!AJ93</f>
        <v>0</v>
      </c>
      <c r="AK9" s="164">
        <f>Inputs!AK93</f>
        <v>0</v>
      </c>
      <c r="AL9" s="164">
        <f>Inputs!AL93</f>
        <v>0</v>
      </c>
      <c r="AM9" s="164">
        <f>Inputs!AM93</f>
        <v>0</v>
      </c>
      <c r="AN9" s="164">
        <f>Inputs!AN93</f>
        <v>0</v>
      </c>
      <c r="AO9" s="164">
        <f>Inputs!AO93</f>
        <v>0</v>
      </c>
      <c r="AP9" s="164">
        <f>Inputs!AP93</f>
        <v>0</v>
      </c>
      <c r="AQ9" s="164">
        <f>Inputs!AQ93</f>
        <v>0</v>
      </c>
      <c r="AR9" s="164">
        <f>Inputs!AR93</f>
        <v>0</v>
      </c>
      <c r="AS9" s="164">
        <f>Inputs!AS93</f>
        <v>0</v>
      </c>
      <c r="AT9" s="164">
        <f>Inputs!AT93</f>
        <v>0</v>
      </c>
      <c r="AU9" s="164">
        <f>Inputs!AU93</f>
        <v>0</v>
      </c>
      <c r="AV9" s="164">
        <f>Inputs!AV93</f>
        <v>0</v>
      </c>
      <c r="AW9" s="164">
        <f>Inputs!AW93</f>
        <v>0</v>
      </c>
      <c r="AX9" s="164">
        <f>Inputs!AX93</f>
        <v>0</v>
      </c>
    </row>
    <row r="10" spans="1:50" customFormat="1" ht="15" customHeight="1">
      <c r="A10" s="90"/>
      <c r="B10" s="90"/>
      <c r="C10" s="90"/>
      <c r="D10" s="90"/>
      <c r="E10" s="83" t="s">
        <v>188</v>
      </c>
      <c r="F10" s="90"/>
      <c r="G10" s="90" t="s">
        <v>7</v>
      </c>
      <c r="H10" s="90"/>
      <c r="I10" s="29"/>
      <c r="J10" s="6"/>
      <c r="K10" s="164">
        <f>Inputs!K94</f>
        <v>0</v>
      </c>
      <c r="L10" s="164">
        <f>Inputs!L94</f>
        <v>0</v>
      </c>
      <c r="M10" s="164">
        <f>Inputs!M94</f>
        <v>0</v>
      </c>
      <c r="N10" s="164">
        <f>Inputs!N94</f>
        <v>0</v>
      </c>
      <c r="O10" s="164">
        <f>Inputs!O94</f>
        <v>0</v>
      </c>
      <c r="P10" s="164">
        <f>Inputs!P94</f>
        <v>0</v>
      </c>
      <c r="Q10" s="164">
        <f>Inputs!Q94</f>
        <v>0</v>
      </c>
      <c r="R10" s="164">
        <f>Inputs!R94</f>
        <v>0</v>
      </c>
      <c r="S10" s="164">
        <f>Inputs!S94</f>
        <v>0</v>
      </c>
      <c r="T10" s="164">
        <f>Inputs!T94</f>
        <v>0</v>
      </c>
      <c r="U10" s="164">
        <f>Inputs!U94</f>
        <v>0</v>
      </c>
      <c r="V10" s="164">
        <f>Inputs!V94</f>
        <v>0.18904109589041096</v>
      </c>
      <c r="W10" s="164">
        <f>Inputs!W94</f>
        <v>1</v>
      </c>
      <c r="X10" s="164">
        <f>Inputs!X94</f>
        <v>1</v>
      </c>
      <c r="Y10" s="164">
        <f>Inputs!Y94</f>
        <v>1</v>
      </c>
      <c r="Z10" s="164">
        <f>Inputs!Z94</f>
        <v>1</v>
      </c>
      <c r="AA10" s="164">
        <f>Inputs!AA94</f>
        <v>1</v>
      </c>
      <c r="AB10" s="164">
        <f>Inputs!AB94</f>
        <v>1</v>
      </c>
      <c r="AC10" s="164">
        <f>Inputs!AC94</f>
        <v>1</v>
      </c>
      <c r="AD10" s="164">
        <f>Inputs!AD94</f>
        <v>1</v>
      </c>
      <c r="AE10" s="164">
        <f>Inputs!AE94</f>
        <v>1</v>
      </c>
      <c r="AF10" s="164">
        <f>Inputs!AF94</f>
        <v>1</v>
      </c>
      <c r="AG10" s="164">
        <f>Inputs!AG94</f>
        <v>1</v>
      </c>
      <c r="AH10" s="164">
        <f>Inputs!AH94</f>
        <v>1</v>
      </c>
      <c r="AI10" s="164">
        <f>Inputs!AI94</f>
        <v>1</v>
      </c>
      <c r="AJ10" s="164">
        <f>Inputs!AJ94</f>
        <v>1</v>
      </c>
      <c r="AK10" s="164">
        <f>Inputs!AK94</f>
        <v>1</v>
      </c>
      <c r="AL10" s="164">
        <f>Inputs!AL94</f>
        <v>1</v>
      </c>
      <c r="AM10" s="164">
        <f>Inputs!AM94</f>
        <v>1</v>
      </c>
      <c r="AN10" s="164">
        <f>Inputs!AN94</f>
        <v>1</v>
      </c>
      <c r="AO10" s="164">
        <f>Inputs!AO94</f>
        <v>1</v>
      </c>
      <c r="AP10" s="164">
        <f>Inputs!AP94</f>
        <v>1</v>
      </c>
      <c r="AQ10" s="164">
        <f>Inputs!AQ94</f>
        <v>1</v>
      </c>
      <c r="AR10" s="164">
        <f>Inputs!AR94</f>
        <v>1</v>
      </c>
      <c r="AS10" s="164">
        <f>Inputs!AS94</f>
        <v>1</v>
      </c>
      <c r="AT10" s="164">
        <f>Inputs!AT94</f>
        <v>1</v>
      </c>
      <c r="AU10" s="164">
        <f>Inputs!AU94</f>
        <v>0.75342465753424659</v>
      </c>
      <c r="AV10" s="164">
        <f>Inputs!AV94</f>
        <v>0</v>
      </c>
      <c r="AW10" s="164">
        <f>Inputs!AW94</f>
        <v>0</v>
      </c>
      <c r="AX10" s="164">
        <f>Inputs!AX94</f>
        <v>0</v>
      </c>
    </row>
    <row r="11" spans="1:50" customFormat="1" ht="15" customHeight="1">
      <c r="A11" s="83"/>
      <c r="B11" s="83"/>
      <c r="C11" s="83"/>
      <c r="D11" s="83"/>
      <c r="E11" s="83" t="s">
        <v>189</v>
      </c>
      <c r="F11" s="83"/>
      <c r="G11" s="83" t="s">
        <v>7</v>
      </c>
      <c r="H11" s="83"/>
      <c r="I11" s="86"/>
      <c r="J11" s="83"/>
      <c r="K11" s="164">
        <f>Inputs!K95</f>
        <v>0</v>
      </c>
      <c r="L11" s="164">
        <f>Inputs!L95</f>
        <v>0</v>
      </c>
      <c r="M11" s="164">
        <f>Inputs!M95</f>
        <v>0</v>
      </c>
      <c r="N11" s="164">
        <f>Inputs!N95</f>
        <v>0</v>
      </c>
      <c r="O11" s="164">
        <f>Inputs!O95</f>
        <v>0</v>
      </c>
      <c r="P11" s="164">
        <f>Inputs!P95</f>
        <v>0</v>
      </c>
      <c r="Q11" s="164">
        <f>Inputs!Q95</f>
        <v>0</v>
      </c>
      <c r="R11" s="164">
        <f>Inputs!R95</f>
        <v>0</v>
      </c>
      <c r="S11" s="164">
        <f>Inputs!S95</f>
        <v>0</v>
      </c>
      <c r="T11" s="164">
        <f>Inputs!T95</f>
        <v>0</v>
      </c>
      <c r="U11" s="164">
        <f>Inputs!U95</f>
        <v>0</v>
      </c>
      <c r="V11" s="164">
        <f>Inputs!V95</f>
        <v>0</v>
      </c>
      <c r="W11" s="164">
        <f>Inputs!W95</f>
        <v>1</v>
      </c>
      <c r="X11" s="164">
        <f>Inputs!X95</f>
        <v>0</v>
      </c>
      <c r="Y11" s="164">
        <f>Inputs!Y95</f>
        <v>0</v>
      </c>
      <c r="Z11" s="164">
        <f>Inputs!Z95</f>
        <v>0</v>
      </c>
      <c r="AA11" s="164">
        <f>Inputs!AA95</f>
        <v>0</v>
      </c>
      <c r="AB11" s="164">
        <f>Inputs!AB95</f>
        <v>0</v>
      </c>
      <c r="AC11" s="164">
        <f>Inputs!AC95</f>
        <v>0</v>
      </c>
      <c r="AD11" s="164">
        <f>Inputs!AD95</f>
        <v>0</v>
      </c>
      <c r="AE11" s="164">
        <f>Inputs!AE95</f>
        <v>0</v>
      </c>
      <c r="AF11" s="164">
        <f>Inputs!AF95</f>
        <v>0</v>
      </c>
      <c r="AG11" s="164">
        <f>Inputs!AG95</f>
        <v>0</v>
      </c>
      <c r="AH11" s="164">
        <f>Inputs!AH95</f>
        <v>0</v>
      </c>
      <c r="AI11" s="164">
        <f>Inputs!AI95</f>
        <v>0</v>
      </c>
      <c r="AJ11" s="164">
        <f>Inputs!AJ95</f>
        <v>0</v>
      </c>
      <c r="AK11" s="164">
        <f>Inputs!AK95</f>
        <v>0</v>
      </c>
      <c r="AL11" s="164">
        <f>Inputs!AL95</f>
        <v>0</v>
      </c>
      <c r="AM11" s="164">
        <f>Inputs!AM95</f>
        <v>0</v>
      </c>
      <c r="AN11" s="164">
        <f>Inputs!AN95</f>
        <v>0</v>
      </c>
      <c r="AO11" s="164">
        <f>Inputs!AO95</f>
        <v>0</v>
      </c>
      <c r="AP11" s="164">
        <f>Inputs!AP95</f>
        <v>0</v>
      </c>
      <c r="AQ11" s="164">
        <f>Inputs!AQ95</f>
        <v>0</v>
      </c>
      <c r="AR11" s="164">
        <f>Inputs!AR95</f>
        <v>0</v>
      </c>
      <c r="AS11" s="164">
        <f>Inputs!AS95</f>
        <v>0</v>
      </c>
      <c r="AT11" s="164">
        <f>Inputs!AT95</f>
        <v>0</v>
      </c>
      <c r="AU11" s="164">
        <f>Inputs!AU95</f>
        <v>0</v>
      </c>
      <c r="AV11" s="164">
        <f>Inputs!AV95</f>
        <v>0</v>
      </c>
      <c r="AW11" s="164">
        <f>Inputs!AW95</f>
        <v>0</v>
      </c>
      <c r="AX11" s="164">
        <f>Inputs!AX95</f>
        <v>0</v>
      </c>
    </row>
    <row r="12" spans="1:50" customFormat="1" ht="15" customHeight="1">
      <c r="A12" s="90"/>
      <c r="B12" s="90"/>
      <c r="C12" s="90"/>
      <c r="D12" s="90"/>
      <c r="E12" s="83"/>
      <c r="F12" s="90"/>
      <c r="G12" s="90"/>
      <c r="H12" s="90"/>
      <c r="I12" s="29"/>
      <c r="J12" s="6"/>
      <c r="K12" s="6"/>
      <c r="L12" s="6"/>
      <c r="M12" s="6"/>
      <c r="N12" s="6"/>
      <c r="O12" s="6"/>
      <c r="P12" s="6"/>
      <c r="Q12" s="6"/>
      <c r="R12" s="6"/>
      <c r="S12" s="90"/>
      <c r="T12" s="90"/>
      <c r="U12" s="90"/>
      <c r="V12" s="9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</row>
    <row r="13" spans="1:50" customFormat="1" ht="15" customHeight="1">
      <c r="A13" s="90"/>
      <c r="B13" s="188" t="s">
        <v>232</v>
      </c>
      <c r="C13" s="72"/>
      <c r="D13" s="72"/>
      <c r="E13" s="72"/>
      <c r="F13" s="72"/>
      <c r="G13" s="72"/>
      <c r="H13" s="72"/>
      <c r="I13" s="115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</row>
    <row r="14" spans="1:50" customFormat="1" ht="15" customHeight="1">
      <c r="A14" s="5"/>
      <c r="B14" s="5"/>
      <c r="C14" s="5"/>
      <c r="D14" s="5"/>
      <c r="E14" s="5"/>
      <c r="F14" s="5"/>
      <c r="G14" s="5"/>
      <c r="H14" s="5"/>
      <c r="I14" s="29"/>
      <c r="J14" s="6"/>
      <c r="K14" s="6"/>
      <c r="L14" s="6"/>
      <c r="M14" s="6"/>
      <c r="N14" s="6"/>
      <c r="O14" s="6"/>
      <c r="P14" s="6"/>
      <c r="Q14" s="6"/>
      <c r="R14" s="6"/>
      <c r="S14" s="5"/>
      <c r="T14" s="5"/>
      <c r="U14" s="5"/>
      <c r="V14" s="5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</row>
    <row r="15" spans="1:50" customFormat="1" ht="15" customHeight="1">
      <c r="A15" s="5"/>
      <c r="B15" s="5"/>
      <c r="C15" s="13" t="s">
        <v>31</v>
      </c>
      <c r="D15" s="14"/>
      <c r="E15" s="14"/>
      <c r="F15" s="14"/>
      <c r="G15" s="14"/>
      <c r="H15" s="14"/>
      <c r="I15" s="14"/>
      <c r="J15" s="14"/>
      <c r="K15" s="81"/>
      <c r="L15" s="81"/>
      <c r="M15" s="81"/>
      <c r="N15" s="81"/>
      <c r="O15" s="81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</row>
    <row r="16" spans="1:50" customFormat="1" ht="15" customHeight="1">
      <c r="A16" s="5"/>
      <c r="B16" s="5"/>
      <c r="C16" s="5"/>
      <c r="D16" s="5"/>
      <c r="E16" s="5"/>
      <c r="F16" s="5"/>
      <c r="G16" s="5"/>
      <c r="H16" s="5"/>
      <c r="I16" s="29"/>
      <c r="J16" s="6"/>
      <c r="K16" s="6"/>
      <c r="L16" s="6"/>
      <c r="M16" s="6"/>
      <c r="N16" s="6"/>
      <c r="O16" s="6"/>
      <c r="P16" s="6"/>
      <c r="Q16" s="6"/>
      <c r="R16" s="6"/>
      <c r="S16" s="5"/>
      <c r="T16" s="5"/>
      <c r="U16" s="5"/>
      <c r="V16" s="5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</row>
    <row r="17" spans="1:50" customFormat="1" ht="15" customHeight="1">
      <c r="B17" s="90"/>
      <c r="C17" s="90"/>
      <c r="D17" s="63"/>
      <c r="E17" s="6" t="s">
        <v>35</v>
      </c>
      <c r="F17" s="90"/>
      <c r="G17" s="70" t="str">
        <f>Inputs!$I$11</f>
        <v>£m 16/17 prices</v>
      </c>
      <c r="H17" s="90"/>
      <c r="I17" s="29"/>
      <c r="J17" s="6"/>
      <c r="K17" s="169"/>
      <c r="L17" s="256">
        <f>K24</f>
        <v>0</v>
      </c>
      <c r="M17" s="256">
        <f t="shared" ref="M17:U17" si="2">L24</f>
        <v>5.1852727397732445E-2</v>
      </c>
      <c r="N17" s="256">
        <f t="shared" si="2"/>
        <v>0.35328727538245136</v>
      </c>
      <c r="O17" s="256">
        <f t="shared" si="2"/>
        <v>1.1642190611115995</v>
      </c>
      <c r="P17" s="256">
        <f t="shared" si="2"/>
        <v>2.4689913184021601</v>
      </c>
      <c r="Q17" s="256">
        <f t="shared" si="2"/>
        <v>4.6439806743996979</v>
      </c>
      <c r="R17" s="256">
        <f t="shared" si="2"/>
        <v>8.9885790187402055</v>
      </c>
      <c r="S17" s="256">
        <f t="shared" si="2"/>
        <v>13.479798566206394</v>
      </c>
      <c r="T17" s="256">
        <f t="shared" si="2"/>
        <v>71.23025142713432</v>
      </c>
      <c r="U17" s="256">
        <f t="shared" si="2"/>
        <v>194.76732962091927</v>
      </c>
      <c r="V17" s="256">
        <f t="shared" ref="V17:AX17" si="3">U24</f>
        <v>320.41383958350752</v>
      </c>
      <c r="W17" s="256">
        <f t="shared" si="3"/>
        <v>372.12479033008128</v>
      </c>
      <c r="X17" s="256">
        <f t="shared" si="3"/>
        <v>0</v>
      </c>
      <c r="Y17" s="256">
        <f t="shared" si="3"/>
        <v>0</v>
      </c>
      <c r="Z17" s="256">
        <f t="shared" si="3"/>
        <v>0</v>
      </c>
      <c r="AA17" s="256">
        <f t="shared" si="3"/>
        <v>0</v>
      </c>
      <c r="AB17" s="256">
        <f t="shared" si="3"/>
        <v>0</v>
      </c>
      <c r="AC17" s="256">
        <f t="shared" si="3"/>
        <v>0</v>
      </c>
      <c r="AD17" s="256">
        <f t="shared" si="3"/>
        <v>0</v>
      </c>
      <c r="AE17" s="256">
        <f t="shared" si="3"/>
        <v>0</v>
      </c>
      <c r="AF17" s="256">
        <f t="shared" si="3"/>
        <v>0</v>
      </c>
      <c r="AG17" s="256">
        <f t="shared" si="3"/>
        <v>0</v>
      </c>
      <c r="AH17" s="256">
        <f t="shared" si="3"/>
        <v>0</v>
      </c>
      <c r="AI17" s="256">
        <f t="shared" si="3"/>
        <v>0</v>
      </c>
      <c r="AJ17" s="256">
        <f t="shared" si="3"/>
        <v>0</v>
      </c>
      <c r="AK17" s="256">
        <f t="shared" si="3"/>
        <v>0</v>
      </c>
      <c r="AL17" s="256">
        <f t="shared" si="3"/>
        <v>0</v>
      </c>
      <c r="AM17" s="256">
        <f t="shared" si="3"/>
        <v>0</v>
      </c>
      <c r="AN17" s="256">
        <f t="shared" si="3"/>
        <v>0</v>
      </c>
      <c r="AO17" s="256">
        <f t="shared" si="3"/>
        <v>0</v>
      </c>
      <c r="AP17" s="256">
        <f t="shared" si="3"/>
        <v>0</v>
      </c>
      <c r="AQ17" s="256">
        <f t="shared" si="3"/>
        <v>0</v>
      </c>
      <c r="AR17" s="256">
        <f t="shared" si="3"/>
        <v>0</v>
      </c>
      <c r="AS17" s="256">
        <f t="shared" si="3"/>
        <v>0</v>
      </c>
      <c r="AT17" s="256">
        <f t="shared" si="3"/>
        <v>0</v>
      </c>
      <c r="AU17" s="256">
        <f t="shared" si="3"/>
        <v>0</v>
      </c>
      <c r="AV17" s="256">
        <f t="shared" si="3"/>
        <v>0</v>
      </c>
      <c r="AW17" s="256">
        <f t="shared" si="3"/>
        <v>0</v>
      </c>
      <c r="AX17" s="256">
        <f t="shared" si="3"/>
        <v>0</v>
      </c>
    </row>
    <row r="18" spans="1:50" customFormat="1" ht="15" customHeight="1">
      <c r="B18" s="90"/>
      <c r="C18" s="90"/>
      <c r="D18" s="90"/>
      <c r="E18" s="23" t="str">
        <f>Inputs!E34</f>
        <v>Development costs</v>
      </c>
      <c r="F18" s="90"/>
      <c r="G18" s="70" t="str">
        <f>Inputs!$I$11</f>
        <v>£m 16/17 prices</v>
      </c>
      <c r="H18" s="90"/>
      <c r="I18" s="29"/>
      <c r="J18" s="6"/>
      <c r="K18" s="257">
        <f>Inputs!K34</f>
        <v>0</v>
      </c>
      <c r="L18" s="257">
        <f>Inputs!L34</f>
        <v>5.0213355454244421E-2</v>
      </c>
      <c r="M18" s="257">
        <f>Inputs!M34</f>
        <v>0.28851501441241528</v>
      </c>
      <c r="N18" s="257">
        <f>Inputs!N34</f>
        <v>0.76220047759715304</v>
      </c>
      <c r="O18" s="257">
        <f>Inputs!O34</f>
        <v>1.187420419485236</v>
      </c>
      <c r="P18" s="257">
        <f>Inputs!P34</f>
        <v>1.944837154026299</v>
      </c>
      <c r="Q18" s="257">
        <f>Inputs!Q34</f>
        <v>3.9036817559401911</v>
      </c>
      <c r="R18" s="257">
        <f>Inputs!R34</f>
        <v>2.1858180343102038</v>
      </c>
      <c r="S18" s="257">
        <f>Inputs!S34</f>
        <v>0</v>
      </c>
      <c r="T18" s="257">
        <f>Inputs!T34</f>
        <v>0</v>
      </c>
      <c r="U18" s="257">
        <f>Inputs!U34</f>
        <v>0</v>
      </c>
      <c r="V18" s="257">
        <f>Inputs!V34</f>
        <v>0</v>
      </c>
      <c r="W18" s="257">
        <f>Inputs!W34</f>
        <v>0</v>
      </c>
      <c r="X18" s="257">
        <f>Inputs!X34</f>
        <v>0</v>
      </c>
      <c r="Y18" s="257">
        <f>Inputs!Y34</f>
        <v>0</v>
      </c>
      <c r="Z18" s="257">
        <f>Inputs!Z34</f>
        <v>0</v>
      </c>
      <c r="AA18" s="257">
        <f>Inputs!AA34</f>
        <v>0</v>
      </c>
      <c r="AB18" s="257">
        <f>Inputs!AB34</f>
        <v>0</v>
      </c>
      <c r="AC18" s="257">
        <f>Inputs!AC34</f>
        <v>0</v>
      </c>
      <c r="AD18" s="257">
        <f>Inputs!AD34</f>
        <v>0</v>
      </c>
      <c r="AE18" s="257">
        <f>Inputs!AE34</f>
        <v>0</v>
      </c>
      <c r="AF18" s="257">
        <f>Inputs!AF34</f>
        <v>0</v>
      </c>
      <c r="AG18" s="257">
        <f>Inputs!AG34</f>
        <v>0</v>
      </c>
      <c r="AH18" s="257">
        <f>Inputs!AH34</f>
        <v>0</v>
      </c>
      <c r="AI18" s="257">
        <f>Inputs!AI34</f>
        <v>0</v>
      </c>
      <c r="AJ18" s="257">
        <f>Inputs!AJ34</f>
        <v>0</v>
      </c>
      <c r="AK18" s="257">
        <f>Inputs!AK34</f>
        <v>0</v>
      </c>
      <c r="AL18" s="257">
        <f>Inputs!AL34</f>
        <v>0</v>
      </c>
      <c r="AM18" s="257">
        <f>Inputs!AM34</f>
        <v>0</v>
      </c>
      <c r="AN18" s="257">
        <f>Inputs!AN34</f>
        <v>0</v>
      </c>
      <c r="AO18" s="257">
        <f>Inputs!AO34</f>
        <v>0</v>
      </c>
      <c r="AP18" s="257">
        <f>Inputs!AP34</f>
        <v>0</v>
      </c>
      <c r="AQ18" s="257">
        <f>Inputs!AQ34</f>
        <v>0</v>
      </c>
      <c r="AR18" s="257">
        <f>Inputs!AR34</f>
        <v>0</v>
      </c>
      <c r="AS18" s="257">
        <f>Inputs!AS34</f>
        <v>0</v>
      </c>
      <c r="AT18" s="257">
        <f>Inputs!AT34</f>
        <v>0</v>
      </c>
      <c r="AU18" s="257">
        <f>Inputs!AU34</f>
        <v>0</v>
      </c>
      <c r="AV18" s="257">
        <f>Inputs!AV34</f>
        <v>0</v>
      </c>
      <c r="AW18" s="257">
        <f>Inputs!AW34</f>
        <v>0</v>
      </c>
      <c r="AX18" s="257">
        <f>Inputs!AX34</f>
        <v>0</v>
      </c>
    </row>
    <row r="19" spans="1:50" customFormat="1" ht="15" customHeight="1">
      <c r="B19" s="90"/>
      <c r="C19" s="90"/>
      <c r="D19" s="90"/>
      <c r="E19" s="23" t="str">
        <f>Inputs!E35</f>
        <v>Capex</v>
      </c>
      <c r="F19" s="90"/>
      <c r="G19" s="70" t="str">
        <f>Inputs!$I$11</f>
        <v>£m 16/17 prices</v>
      </c>
      <c r="H19" s="90"/>
      <c r="I19" s="29"/>
      <c r="J19" s="6"/>
      <c r="K19" s="257">
        <f>Inputs!K35</f>
        <v>0</v>
      </c>
      <c r="L19" s="257">
        <f>Inputs!L35</f>
        <v>0</v>
      </c>
      <c r="M19" s="257">
        <f>Inputs!M35</f>
        <v>0</v>
      </c>
      <c r="N19" s="257">
        <f>Inputs!N35</f>
        <v>0</v>
      </c>
      <c r="O19" s="257">
        <f>Inputs!O35</f>
        <v>0</v>
      </c>
      <c r="P19" s="257">
        <f>Inputs!P35</f>
        <v>0</v>
      </c>
      <c r="Q19" s="257">
        <f>Inputs!Q35</f>
        <v>0</v>
      </c>
      <c r="R19" s="257">
        <f>Inputs!R35</f>
        <v>1.57586067</v>
      </c>
      <c r="S19" s="257">
        <f>Inputs!S35</f>
        <v>54.853572669226772</v>
      </c>
      <c r="T19" s="257">
        <f>Inputs!T35</f>
        <v>114.31242954388328</v>
      </c>
      <c r="U19" s="257">
        <f>Inputs!U35</f>
        <v>106.71929051018915</v>
      </c>
      <c r="V19" s="257">
        <f>Inputs!V35</f>
        <v>32.987182709485303</v>
      </c>
      <c r="W19" s="257">
        <f>Inputs!W35</f>
        <v>10.08594060980116</v>
      </c>
      <c r="X19" s="257">
        <f>Inputs!X35</f>
        <v>0</v>
      </c>
      <c r="Y19" s="257">
        <f>Inputs!Y35</f>
        <v>0</v>
      </c>
      <c r="Z19" s="257">
        <f>Inputs!Z35</f>
        <v>0</v>
      </c>
      <c r="AA19" s="257">
        <f>Inputs!AA35</f>
        <v>0</v>
      </c>
      <c r="AB19" s="257">
        <f>Inputs!AB35</f>
        <v>0</v>
      </c>
      <c r="AC19" s="257">
        <f>Inputs!AC35</f>
        <v>0</v>
      </c>
      <c r="AD19" s="257">
        <f>Inputs!AD35</f>
        <v>0</v>
      </c>
      <c r="AE19" s="257">
        <f>Inputs!AE35</f>
        <v>0</v>
      </c>
      <c r="AF19" s="257">
        <f>Inputs!AF35</f>
        <v>0</v>
      </c>
      <c r="AG19" s="257">
        <f>Inputs!AG35</f>
        <v>0</v>
      </c>
      <c r="AH19" s="257">
        <f>Inputs!AH35</f>
        <v>0</v>
      </c>
      <c r="AI19" s="257">
        <f>Inputs!AI35</f>
        <v>0</v>
      </c>
      <c r="AJ19" s="257">
        <f>Inputs!AJ35</f>
        <v>0</v>
      </c>
      <c r="AK19" s="257">
        <f>Inputs!AK35</f>
        <v>0</v>
      </c>
      <c r="AL19" s="257">
        <f>Inputs!AL35</f>
        <v>0</v>
      </c>
      <c r="AM19" s="257">
        <f>Inputs!AM35</f>
        <v>0</v>
      </c>
      <c r="AN19" s="257">
        <f>Inputs!AN35</f>
        <v>0</v>
      </c>
      <c r="AO19" s="257">
        <f>Inputs!AO35</f>
        <v>0</v>
      </c>
      <c r="AP19" s="257">
        <f>Inputs!AP35</f>
        <v>0</v>
      </c>
      <c r="AQ19" s="257">
        <f>Inputs!AQ35</f>
        <v>0</v>
      </c>
      <c r="AR19" s="257">
        <f>Inputs!AR35</f>
        <v>0</v>
      </c>
      <c r="AS19" s="257">
        <f>Inputs!AS35</f>
        <v>0</v>
      </c>
      <c r="AT19" s="257">
        <f>Inputs!AT35</f>
        <v>0</v>
      </c>
      <c r="AU19" s="257">
        <f>Inputs!AU35</f>
        <v>0</v>
      </c>
      <c r="AV19" s="257">
        <f>Inputs!AV35</f>
        <v>0</v>
      </c>
      <c r="AW19" s="257">
        <f>Inputs!AW35</f>
        <v>0</v>
      </c>
      <c r="AX19" s="257">
        <f>Inputs!AX35</f>
        <v>0</v>
      </c>
    </row>
    <row r="20" spans="1:50" customFormat="1" ht="15" customHeight="1">
      <c r="B20" s="90"/>
      <c r="C20" s="90"/>
      <c r="D20" s="90"/>
      <c r="E20" s="23" t="str">
        <f>Inputs!E36</f>
        <v>Spares</v>
      </c>
      <c r="F20" s="90"/>
      <c r="G20" s="70" t="str">
        <f>Inputs!$I$11</f>
        <v>£m 16/17 prices</v>
      </c>
      <c r="H20" s="90"/>
      <c r="I20" s="29"/>
      <c r="J20" s="6"/>
      <c r="K20" s="257">
        <f>Inputs!K36</f>
        <v>0</v>
      </c>
      <c r="L20" s="257">
        <f>Inputs!L36</f>
        <v>0</v>
      </c>
      <c r="M20" s="257">
        <f>Inputs!M36</f>
        <v>0</v>
      </c>
      <c r="N20" s="257">
        <f>Inputs!N36</f>
        <v>0</v>
      </c>
      <c r="O20" s="257">
        <f>Inputs!O36</f>
        <v>0</v>
      </c>
      <c r="P20" s="257">
        <f>Inputs!P36</f>
        <v>0</v>
      </c>
      <c r="Q20" s="257">
        <f>Inputs!Q36</f>
        <v>0</v>
      </c>
      <c r="R20" s="257">
        <f>Inputs!R36</f>
        <v>0</v>
      </c>
      <c r="S20" s="257">
        <f>Inputs!S36</f>
        <v>0.1899266990698921</v>
      </c>
      <c r="T20" s="257">
        <f>Inputs!T36</f>
        <v>0.66287836708739145</v>
      </c>
      <c r="U20" s="257">
        <f>Inputs!U36</f>
        <v>2.2236421376993003</v>
      </c>
      <c r="V20" s="257">
        <f>Inputs!V36</f>
        <v>0.4145605527912557</v>
      </c>
      <c r="W20" s="257">
        <f>Inputs!W36</f>
        <v>1.2444366143667782</v>
      </c>
      <c r="X20" s="257">
        <f>Inputs!X36</f>
        <v>0</v>
      </c>
      <c r="Y20" s="257">
        <f>Inputs!Y36</f>
        <v>0</v>
      </c>
      <c r="Z20" s="257">
        <f>Inputs!Z36</f>
        <v>0</v>
      </c>
      <c r="AA20" s="257">
        <f>Inputs!AA36</f>
        <v>0</v>
      </c>
      <c r="AB20" s="257">
        <f>Inputs!AB36</f>
        <v>0</v>
      </c>
      <c r="AC20" s="257">
        <f>Inputs!AC36</f>
        <v>0</v>
      </c>
      <c r="AD20" s="257">
        <f>Inputs!AD36</f>
        <v>0</v>
      </c>
      <c r="AE20" s="257">
        <f>Inputs!AE36</f>
        <v>0</v>
      </c>
      <c r="AF20" s="257">
        <f>Inputs!AF36</f>
        <v>0</v>
      </c>
      <c r="AG20" s="257">
        <f>Inputs!AG36</f>
        <v>0</v>
      </c>
      <c r="AH20" s="257">
        <f>Inputs!AH36</f>
        <v>0</v>
      </c>
      <c r="AI20" s="257">
        <f>Inputs!AI36</f>
        <v>0</v>
      </c>
      <c r="AJ20" s="257">
        <f>Inputs!AJ36</f>
        <v>0</v>
      </c>
      <c r="AK20" s="257">
        <f>Inputs!AK36</f>
        <v>0</v>
      </c>
      <c r="AL20" s="257">
        <f>Inputs!AL36</f>
        <v>0</v>
      </c>
      <c r="AM20" s="257">
        <f>Inputs!AM36</f>
        <v>0</v>
      </c>
      <c r="AN20" s="257">
        <f>Inputs!AN36</f>
        <v>0</v>
      </c>
      <c r="AO20" s="257">
        <f>Inputs!AO36</f>
        <v>0</v>
      </c>
      <c r="AP20" s="257">
        <f>Inputs!AP36</f>
        <v>0</v>
      </c>
      <c r="AQ20" s="257">
        <f>Inputs!AQ36</f>
        <v>0</v>
      </c>
      <c r="AR20" s="257">
        <f>Inputs!AR36</f>
        <v>0</v>
      </c>
      <c r="AS20" s="257">
        <f>Inputs!AS36</f>
        <v>0</v>
      </c>
      <c r="AT20" s="257">
        <f>Inputs!AT36</f>
        <v>0</v>
      </c>
      <c r="AU20" s="257">
        <f>Inputs!AU36</f>
        <v>0</v>
      </c>
      <c r="AV20" s="257">
        <f>Inputs!AV36</f>
        <v>0</v>
      </c>
      <c r="AW20" s="257">
        <f>Inputs!AW36</f>
        <v>0</v>
      </c>
      <c r="AX20" s="257">
        <f>Inputs!AX36</f>
        <v>0</v>
      </c>
    </row>
    <row r="21" spans="1:50" customFormat="1" ht="15" customHeight="1">
      <c r="B21" s="90"/>
      <c r="C21" s="90"/>
      <c r="D21" s="90"/>
      <c r="E21" s="23" t="str">
        <f>Finance!E24</f>
        <v>Capitalised interest during construction</v>
      </c>
      <c r="F21" s="90"/>
      <c r="G21" s="70" t="str">
        <f>Inputs!$I$11</f>
        <v>£m 16/17 prices</v>
      </c>
      <c r="H21" s="90"/>
      <c r="I21" s="29"/>
      <c r="J21" s="6"/>
      <c r="K21" s="257">
        <f>Finance!K24</f>
        <v>0</v>
      </c>
      <c r="L21" s="257">
        <f>Finance!L24</f>
        <v>1.6393719434880257E-3</v>
      </c>
      <c r="M21" s="257">
        <f>Finance!M24</f>
        <v>1.2919533572303646E-2</v>
      </c>
      <c r="N21" s="257">
        <f>Finance!N24</f>
        <v>4.8731308131995117E-2</v>
      </c>
      <c r="O21" s="257">
        <f>Finance!O24</f>
        <v>0.11735183780532464</v>
      </c>
      <c r="P21" s="257">
        <f>Finance!P24</f>
        <v>0.23015220197123862</v>
      </c>
      <c r="Q21" s="257">
        <f>Finance!Q24</f>
        <v>0.4409165884003165</v>
      </c>
      <c r="R21" s="257">
        <f>Finance!R24</f>
        <v>0.72954084315598511</v>
      </c>
      <c r="S21" s="257">
        <f>Finance!S24</f>
        <v>2.7069534926312731</v>
      </c>
      <c r="T21" s="257">
        <f>Finance!T24</f>
        <v>8.5617702828142725</v>
      </c>
      <c r="U21" s="257">
        <f>Finance!U24</f>
        <v>16.703577314699796</v>
      </c>
      <c r="V21" s="257">
        <f>Finance!V24</f>
        <v>18.309207484297168</v>
      </c>
      <c r="W21" s="257">
        <f>Finance!W24</f>
        <v>0</v>
      </c>
      <c r="X21" s="257">
        <f>Finance!X24</f>
        <v>0</v>
      </c>
      <c r="Y21" s="257">
        <f>Finance!Y24</f>
        <v>0</v>
      </c>
      <c r="Z21" s="257">
        <f>Finance!Z24</f>
        <v>0</v>
      </c>
      <c r="AA21" s="257">
        <f>Finance!AA24</f>
        <v>0</v>
      </c>
      <c r="AB21" s="257">
        <f>Finance!AB24</f>
        <v>0</v>
      </c>
      <c r="AC21" s="257">
        <f>Finance!AC24</f>
        <v>0</v>
      </c>
      <c r="AD21" s="257">
        <f>Finance!AD24</f>
        <v>0</v>
      </c>
      <c r="AE21" s="257">
        <f>Finance!AE24</f>
        <v>0</v>
      </c>
      <c r="AF21" s="257">
        <f>Finance!AF24</f>
        <v>0</v>
      </c>
      <c r="AG21" s="257">
        <f>Finance!AG24</f>
        <v>0</v>
      </c>
      <c r="AH21" s="257">
        <f>Finance!AH24</f>
        <v>0</v>
      </c>
      <c r="AI21" s="257">
        <f>Finance!AI24</f>
        <v>0</v>
      </c>
      <c r="AJ21" s="257">
        <f>Finance!AJ24</f>
        <v>0</v>
      </c>
      <c r="AK21" s="257">
        <f>Finance!AK24</f>
        <v>0</v>
      </c>
      <c r="AL21" s="257">
        <f>Finance!AL24</f>
        <v>0</v>
      </c>
      <c r="AM21" s="257">
        <f>Finance!AM24</f>
        <v>0</v>
      </c>
      <c r="AN21" s="257">
        <f>Finance!AN24</f>
        <v>0</v>
      </c>
      <c r="AO21" s="257">
        <f>Finance!AO24</f>
        <v>0</v>
      </c>
      <c r="AP21" s="257">
        <f>Finance!AP24</f>
        <v>0</v>
      </c>
      <c r="AQ21" s="257">
        <f>Finance!AQ24</f>
        <v>0</v>
      </c>
      <c r="AR21" s="257">
        <f>Finance!AR24</f>
        <v>0</v>
      </c>
      <c r="AS21" s="257">
        <f>Finance!AS24</f>
        <v>0</v>
      </c>
      <c r="AT21" s="257">
        <f>Finance!AT24</f>
        <v>0</v>
      </c>
      <c r="AU21" s="257">
        <f>Finance!AU24</f>
        <v>0</v>
      </c>
      <c r="AV21" s="257">
        <f>Finance!AV24</f>
        <v>0</v>
      </c>
      <c r="AW21" s="257">
        <f>Finance!AW24</f>
        <v>0</v>
      </c>
      <c r="AX21" s="257">
        <f>Finance!AX24</f>
        <v>0</v>
      </c>
    </row>
    <row r="22" spans="1:50" customFormat="1" ht="15" customHeight="1">
      <c r="B22" s="90"/>
      <c r="C22" s="90"/>
      <c r="D22" s="90"/>
      <c r="E22" s="6" t="s">
        <v>61</v>
      </c>
      <c r="F22" s="90"/>
      <c r="G22" s="70" t="str">
        <f>Inputs!$I$11</f>
        <v>£m 16/17 prices</v>
      </c>
      <c r="H22" s="90"/>
      <c r="I22" s="29"/>
      <c r="J22" s="6"/>
      <c r="K22" s="76">
        <f t="shared" ref="K22:U22" si="4">SUM(K17:K21)</f>
        <v>0</v>
      </c>
      <c r="L22" s="76">
        <f t="shared" si="4"/>
        <v>5.1852727397732445E-2</v>
      </c>
      <c r="M22" s="76">
        <f t="shared" si="4"/>
        <v>0.35328727538245136</v>
      </c>
      <c r="N22" s="76">
        <f t="shared" si="4"/>
        <v>1.1642190611115995</v>
      </c>
      <c r="O22" s="76">
        <f t="shared" si="4"/>
        <v>2.4689913184021601</v>
      </c>
      <c r="P22" s="76">
        <f t="shared" si="4"/>
        <v>4.6439806743996979</v>
      </c>
      <c r="Q22" s="76">
        <f t="shared" si="4"/>
        <v>8.9885790187402055</v>
      </c>
      <c r="R22" s="76">
        <f t="shared" si="4"/>
        <v>13.479798566206394</v>
      </c>
      <c r="S22" s="76">
        <f t="shared" si="4"/>
        <v>71.23025142713432</v>
      </c>
      <c r="T22" s="76">
        <f t="shared" si="4"/>
        <v>194.76732962091927</v>
      </c>
      <c r="U22" s="76">
        <f t="shared" si="4"/>
        <v>320.41383958350752</v>
      </c>
      <c r="V22" s="76">
        <f t="shared" ref="V22:AX22" si="5">SUM(V17:V21)</f>
        <v>372.12479033008128</v>
      </c>
      <c r="W22" s="76">
        <f t="shared" si="5"/>
        <v>383.45516755424927</v>
      </c>
      <c r="X22" s="76">
        <f t="shared" si="5"/>
        <v>0</v>
      </c>
      <c r="Y22" s="76">
        <f t="shared" si="5"/>
        <v>0</v>
      </c>
      <c r="Z22" s="76">
        <f t="shared" si="5"/>
        <v>0</v>
      </c>
      <c r="AA22" s="76">
        <f t="shared" si="5"/>
        <v>0</v>
      </c>
      <c r="AB22" s="76">
        <f t="shared" si="5"/>
        <v>0</v>
      </c>
      <c r="AC22" s="76">
        <f t="shared" si="5"/>
        <v>0</v>
      </c>
      <c r="AD22" s="76">
        <f t="shared" si="5"/>
        <v>0</v>
      </c>
      <c r="AE22" s="76">
        <f t="shared" si="5"/>
        <v>0</v>
      </c>
      <c r="AF22" s="76">
        <f t="shared" si="5"/>
        <v>0</v>
      </c>
      <c r="AG22" s="76">
        <f t="shared" si="5"/>
        <v>0</v>
      </c>
      <c r="AH22" s="76">
        <f t="shared" si="5"/>
        <v>0</v>
      </c>
      <c r="AI22" s="76">
        <f t="shared" si="5"/>
        <v>0</v>
      </c>
      <c r="AJ22" s="76">
        <f t="shared" si="5"/>
        <v>0</v>
      </c>
      <c r="AK22" s="76">
        <f t="shared" si="5"/>
        <v>0</v>
      </c>
      <c r="AL22" s="76">
        <f t="shared" si="5"/>
        <v>0</v>
      </c>
      <c r="AM22" s="76">
        <f t="shared" si="5"/>
        <v>0</v>
      </c>
      <c r="AN22" s="76">
        <f t="shared" si="5"/>
        <v>0</v>
      </c>
      <c r="AO22" s="76">
        <f t="shared" si="5"/>
        <v>0</v>
      </c>
      <c r="AP22" s="76">
        <f t="shared" si="5"/>
        <v>0</v>
      </c>
      <c r="AQ22" s="76">
        <f t="shared" si="5"/>
        <v>0</v>
      </c>
      <c r="AR22" s="76">
        <f t="shared" si="5"/>
        <v>0</v>
      </c>
      <c r="AS22" s="76">
        <f t="shared" si="5"/>
        <v>0</v>
      </c>
      <c r="AT22" s="76">
        <f t="shared" si="5"/>
        <v>0</v>
      </c>
      <c r="AU22" s="76">
        <f t="shared" si="5"/>
        <v>0</v>
      </c>
      <c r="AV22" s="76">
        <f t="shared" si="5"/>
        <v>0</v>
      </c>
      <c r="AW22" s="76">
        <f t="shared" si="5"/>
        <v>0</v>
      </c>
      <c r="AX22" s="76">
        <f t="shared" si="5"/>
        <v>0</v>
      </c>
    </row>
    <row r="23" spans="1:50" customFormat="1" ht="15" customHeight="1">
      <c r="B23" s="90"/>
      <c r="C23" s="90"/>
      <c r="D23" s="90"/>
      <c r="E23" s="6" t="s">
        <v>30</v>
      </c>
      <c r="F23" s="90"/>
      <c r="G23" s="70" t="str">
        <f>Inputs!$I$11</f>
        <v>£m 16/17 prices</v>
      </c>
      <c r="H23" s="90"/>
      <c r="I23" s="29"/>
      <c r="J23" s="6"/>
      <c r="K23" s="171">
        <f t="shared" ref="K23:U23" si="6">-K22*K11</f>
        <v>0</v>
      </c>
      <c r="L23" s="171">
        <f t="shared" si="6"/>
        <v>0</v>
      </c>
      <c r="M23" s="171">
        <f t="shared" si="6"/>
        <v>0</v>
      </c>
      <c r="N23" s="171">
        <f t="shared" si="6"/>
        <v>0</v>
      </c>
      <c r="O23" s="171">
        <f t="shared" si="6"/>
        <v>0</v>
      </c>
      <c r="P23" s="171">
        <f t="shared" si="6"/>
        <v>0</v>
      </c>
      <c r="Q23" s="171">
        <f t="shared" si="6"/>
        <v>0</v>
      </c>
      <c r="R23" s="171">
        <f t="shared" si="6"/>
        <v>0</v>
      </c>
      <c r="S23" s="171">
        <f t="shared" si="6"/>
        <v>0</v>
      </c>
      <c r="T23" s="171">
        <f t="shared" si="6"/>
        <v>0</v>
      </c>
      <c r="U23" s="171">
        <f t="shared" si="6"/>
        <v>0</v>
      </c>
      <c r="V23" s="171">
        <f>-V22*V11</f>
        <v>0</v>
      </c>
      <c r="W23" s="171">
        <f t="shared" ref="W23:AX23" si="7">-W22*W11</f>
        <v>-383.45516755424927</v>
      </c>
      <c r="X23" s="171">
        <f t="shared" si="7"/>
        <v>0</v>
      </c>
      <c r="Y23" s="171">
        <f t="shared" si="7"/>
        <v>0</v>
      </c>
      <c r="Z23" s="171">
        <f t="shared" si="7"/>
        <v>0</v>
      </c>
      <c r="AA23" s="171">
        <f t="shared" si="7"/>
        <v>0</v>
      </c>
      <c r="AB23" s="171">
        <f t="shared" si="7"/>
        <v>0</v>
      </c>
      <c r="AC23" s="171">
        <f t="shared" si="7"/>
        <v>0</v>
      </c>
      <c r="AD23" s="171">
        <f t="shared" si="7"/>
        <v>0</v>
      </c>
      <c r="AE23" s="171">
        <f t="shared" si="7"/>
        <v>0</v>
      </c>
      <c r="AF23" s="171">
        <f t="shared" si="7"/>
        <v>0</v>
      </c>
      <c r="AG23" s="171">
        <f t="shared" si="7"/>
        <v>0</v>
      </c>
      <c r="AH23" s="171">
        <f t="shared" si="7"/>
        <v>0</v>
      </c>
      <c r="AI23" s="171">
        <f t="shared" si="7"/>
        <v>0</v>
      </c>
      <c r="AJ23" s="171">
        <f t="shared" si="7"/>
        <v>0</v>
      </c>
      <c r="AK23" s="171">
        <f t="shared" si="7"/>
        <v>0</v>
      </c>
      <c r="AL23" s="171">
        <f t="shared" si="7"/>
        <v>0</v>
      </c>
      <c r="AM23" s="171">
        <f t="shared" si="7"/>
        <v>0</v>
      </c>
      <c r="AN23" s="171">
        <f t="shared" si="7"/>
        <v>0</v>
      </c>
      <c r="AO23" s="171">
        <f t="shared" si="7"/>
        <v>0</v>
      </c>
      <c r="AP23" s="171">
        <f t="shared" si="7"/>
        <v>0</v>
      </c>
      <c r="AQ23" s="171">
        <f t="shared" si="7"/>
        <v>0</v>
      </c>
      <c r="AR23" s="171">
        <f t="shared" si="7"/>
        <v>0</v>
      </c>
      <c r="AS23" s="171">
        <f t="shared" si="7"/>
        <v>0</v>
      </c>
      <c r="AT23" s="171">
        <f t="shared" si="7"/>
        <v>0</v>
      </c>
      <c r="AU23" s="171">
        <f t="shared" si="7"/>
        <v>0</v>
      </c>
      <c r="AV23" s="171">
        <f t="shared" si="7"/>
        <v>0</v>
      </c>
      <c r="AW23" s="171">
        <f t="shared" si="7"/>
        <v>0</v>
      </c>
      <c r="AX23" s="171">
        <f t="shared" si="7"/>
        <v>0</v>
      </c>
    </row>
    <row r="24" spans="1:50" customFormat="1" ht="26">
      <c r="B24" s="90"/>
      <c r="C24" s="90"/>
      <c r="D24" s="90"/>
      <c r="E24" s="159" t="s">
        <v>86</v>
      </c>
      <c r="F24" s="90"/>
      <c r="G24" s="70" t="str">
        <f>Inputs!$I$11</f>
        <v>£m 16/17 prices</v>
      </c>
      <c r="H24" s="90"/>
      <c r="I24" s="29"/>
      <c r="J24" s="6"/>
      <c r="K24" s="76">
        <f t="shared" ref="K24:T24" si="8">SUM(K22:K23)</f>
        <v>0</v>
      </c>
      <c r="L24" s="76">
        <f t="shared" si="8"/>
        <v>5.1852727397732445E-2</v>
      </c>
      <c r="M24" s="76">
        <f t="shared" si="8"/>
        <v>0.35328727538245136</v>
      </c>
      <c r="N24" s="76">
        <f t="shared" si="8"/>
        <v>1.1642190611115995</v>
      </c>
      <c r="O24" s="76">
        <f t="shared" si="8"/>
        <v>2.4689913184021601</v>
      </c>
      <c r="P24" s="76">
        <f t="shared" si="8"/>
        <v>4.6439806743996979</v>
      </c>
      <c r="Q24" s="76">
        <f t="shared" si="8"/>
        <v>8.9885790187402055</v>
      </c>
      <c r="R24" s="76">
        <f t="shared" si="8"/>
        <v>13.479798566206394</v>
      </c>
      <c r="S24" s="76">
        <f t="shared" si="8"/>
        <v>71.23025142713432</v>
      </c>
      <c r="T24" s="76">
        <f t="shared" si="8"/>
        <v>194.76732962091927</v>
      </c>
      <c r="U24" s="76">
        <f>SUM(U22:U23)</f>
        <v>320.41383958350752</v>
      </c>
      <c r="V24" s="76">
        <f t="shared" ref="V24:AX24" si="9">SUM(V22:V23)</f>
        <v>372.12479033008128</v>
      </c>
      <c r="W24" s="76">
        <f t="shared" si="9"/>
        <v>0</v>
      </c>
      <c r="X24" s="76">
        <f t="shared" si="9"/>
        <v>0</v>
      </c>
      <c r="Y24" s="76">
        <f t="shared" si="9"/>
        <v>0</v>
      </c>
      <c r="Z24" s="76">
        <f t="shared" si="9"/>
        <v>0</v>
      </c>
      <c r="AA24" s="76">
        <f t="shared" si="9"/>
        <v>0</v>
      </c>
      <c r="AB24" s="76">
        <f t="shared" si="9"/>
        <v>0</v>
      </c>
      <c r="AC24" s="76">
        <f t="shared" si="9"/>
        <v>0</v>
      </c>
      <c r="AD24" s="76">
        <f t="shared" si="9"/>
        <v>0</v>
      </c>
      <c r="AE24" s="76">
        <f t="shared" si="9"/>
        <v>0</v>
      </c>
      <c r="AF24" s="76">
        <f t="shared" si="9"/>
        <v>0</v>
      </c>
      <c r="AG24" s="76">
        <f t="shared" si="9"/>
        <v>0</v>
      </c>
      <c r="AH24" s="76">
        <f t="shared" si="9"/>
        <v>0</v>
      </c>
      <c r="AI24" s="76">
        <f t="shared" si="9"/>
        <v>0</v>
      </c>
      <c r="AJ24" s="76">
        <f t="shared" si="9"/>
        <v>0</v>
      </c>
      <c r="AK24" s="76">
        <f t="shared" si="9"/>
        <v>0</v>
      </c>
      <c r="AL24" s="76">
        <f t="shared" si="9"/>
        <v>0</v>
      </c>
      <c r="AM24" s="76">
        <f t="shared" si="9"/>
        <v>0</v>
      </c>
      <c r="AN24" s="76">
        <f t="shared" si="9"/>
        <v>0</v>
      </c>
      <c r="AO24" s="76">
        <f t="shared" si="9"/>
        <v>0</v>
      </c>
      <c r="AP24" s="76">
        <f t="shared" si="9"/>
        <v>0</v>
      </c>
      <c r="AQ24" s="76">
        <f t="shared" si="9"/>
        <v>0</v>
      </c>
      <c r="AR24" s="76">
        <f t="shared" si="9"/>
        <v>0</v>
      </c>
      <c r="AS24" s="76">
        <f t="shared" si="9"/>
        <v>0</v>
      </c>
      <c r="AT24" s="76">
        <f t="shared" si="9"/>
        <v>0</v>
      </c>
      <c r="AU24" s="76">
        <f t="shared" si="9"/>
        <v>0</v>
      </c>
      <c r="AV24" s="76">
        <f t="shared" si="9"/>
        <v>0</v>
      </c>
      <c r="AW24" s="76">
        <f t="shared" si="9"/>
        <v>0</v>
      </c>
      <c r="AX24" s="76">
        <f t="shared" si="9"/>
        <v>0</v>
      </c>
    </row>
    <row r="25" spans="1:50" customFormat="1" ht="15" customHeight="1">
      <c r="A25" s="5"/>
      <c r="B25" s="5"/>
      <c r="C25" s="5"/>
      <c r="D25" s="5"/>
      <c r="E25" s="5"/>
      <c r="F25" s="5"/>
      <c r="G25" s="5"/>
      <c r="H25" s="5"/>
      <c r="I25" s="29"/>
      <c r="J25" s="6"/>
      <c r="K25" s="6"/>
      <c r="L25" s="6"/>
      <c r="M25" s="6"/>
      <c r="N25" s="6"/>
      <c r="O25" s="6"/>
      <c r="P25" s="6"/>
      <c r="Q25" s="6"/>
      <c r="R25" s="6"/>
      <c r="S25" s="5"/>
      <c r="T25" s="5"/>
      <c r="U25" s="5"/>
      <c r="V25" s="5"/>
      <c r="W25" s="5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</row>
    <row r="26" spans="1:50" customFormat="1" ht="15" customHeight="1">
      <c r="A26" s="90"/>
      <c r="B26" s="188" t="s">
        <v>8</v>
      </c>
      <c r="C26" s="72"/>
      <c r="D26" s="72"/>
      <c r="E26" s="72"/>
      <c r="F26" s="72"/>
      <c r="G26" s="72"/>
      <c r="H26" s="72"/>
      <c r="I26" s="115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</row>
    <row r="27" spans="1:50" customFormat="1" ht="15" customHeight="1">
      <c r="A27" s="4"/>
      <c r="B27" s="4"/>
      <c r="C27" s="4"/>
      <c r="D27" s="4"/>
      <c r="E27" s="4"/>
      <c r="F27" s="4"/>
      <c r="G27" s="4"/>
      <c r="H27" s="4"/>
      <c r="I27" s="42"/>
      <c r="J27" s="4"/>
      <c r="K27" s="49"/>
      <c r="L27" s="80"/>
      <c r="M27" s="80"/>
      <c r="N27" s="80"/>
      <c r="O27" s="80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</row>
  </sheetData>
  <sheetProtection algorithmName="SHA-512" hashValue="VjggQCla+LQIXYomdLhwXJAbxw0iP7hs0fSiEctUqGX4heuYSlyGOedf5BKVz8ngbk5vclybAy4CvqSofBm53g==" saltValue="pkW3nEL+q7BnMsDjFKb3pQ==" spinCount="100000" sheet="1" objects="1" scenarios="1"/>
  <pageMargins left="0.23622047244094491" right="0.23622047244094491" top="0.74803149606299213" bottom="0.74803149606299213" header="0.31496062992125984" footer="0.31496062992125984"/>
  <pageSetup paperSize="8" scale="43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59999389629810485"/>
    <pageSetUpPr fitToPage="1"/>
  </sheetPr>
  <dimension ref="A1:AY50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defaultColWidth="0" defaultRowHeight="15" customHeight="1" zeroHeight="1"/>
  <cols>
    <col min="1" max="4" width="2.59765625" style="4" customWidth="1"/>
    <col min="5" max="5" width="50.59765625" style="4" customWidth="1"/>
    <col min="6" max="6" width="1.59765625" style="4" customWidth="1"/>
    <col min="7" max="7" width="15.59765625" style="4" customWidth="1"/>
    <col min="8" max="8" width="10.8984375" style="4" bestFit="1" customWidth="1"/>
    <col min="9" max="9" width="10.59765625" style="42" customWidth="1"/>
    <col min="10" max="10" width="1.59765625" style="4" customWidth="1"/>
    <col min="11" max="15" width="10.59765625" style="80" customWidth="1"/>
    <col min="16" max="44" width="10.59765625" style="4" customWidth="1"/>
    <col min="45" max="50" width="10.8984375" style="4" customWidth="1"/>
    <col min="51" max="51" width="3.09765625" customWidth="1"/>
    <col min="52" max="16384" width="9.09765625" hidden="1"/>
  </cols>
  <sheetData>
    <row r="1" spans="1:50" ht="14.5">
      <c r="A1" s="242" t="s">
        <v>38</v>
      </c>
      <c r="B1" s="16"/>
      <c r="C1" s="16"/>
      <c r="D1" s="16"/>
      <c r="E1" s="16"/>
      <c r="F1" s="16"/>
      <c r="G1" s="16"/>
      <c r="H1" s="16" t="s">
        <v>73</v>
      </c>
      <c r="I1" s="2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</row>
    <row r="2" spans="1:50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6"/>
      <c r="AT2" s="16"/>
      <c r="AU2" s="16"/>
      <c r="AV2" s="16"/>
      <c r="AW2" s="16"/>
      <c r="AX2" s="16"/>
    </row>
    <row r="3" spans="1:50" ht="15" customHeight="1">
      <c r="A3" s="16"/>
      <c r="B3" s="16"/>
      <c r="C3" s="16"/>
      <c r="D3" s="16"/>
      <c r="E3" s="11" t="s">
        <v>80</v>
      </c>
      <c r="F3" s="18"/>
      <c r="G3" s="18"/>
      <c r="H3" s="18"/>
      <c r="I3" s="18"/>
      <c r="J3" s="19"/>
      <c r="K3" s="24">
        <f>Inputs!K17</f>
        <v>39904</v>
      </c>
      <c r="L3" s="12">
        <f t="shared" ref="L3:AT3" si="0">+K4+1</f>
        <v>40269</v>
      </c>
      <c r="M3" s="12">
        <f t="shared" si="0"/>
        <v>40634</v>
      </c>
      <c r="N3" s="12">
        <f t="shared" si="0"/>
        <v>41000</v>
      </c>
      <c r="O3" s="12">
        <f t="shared" si="0"/>
        <v>41365</v>
      </c>
      <c r="P3" s="12">
        <f t="shared" si="0"/>
        <v>41730</v>
      </c>
      <c r="Q3" s="12">
        <f t="shared" si="0"/>
        <v>42095</v>
      </c>
      <c r="R3" s="12">
        <f t="shared" si="0"/>
        <v>42461</v>
      </c>
      <c r="S3" s="12">
        <f t="shared" si="0"/>
        <v>42826</v>
      </c>
      <c r="T3" s="12">
        <f t="shared" si="0"/>
        <v>43191</v>
      </c>
      <c r="U3" s="12">
        <f t="shared" si="0"/>
        <v>43556</v>
      </c>
      <c r="V3" s="12">
        <f t="shared" si="0"/>
        <v>43922</v>
      </c>
      <c r="W3" s="12">
        <f t="shared" si="0"/>
        <v>44287</v>
      </c>
      <c r="X3" s="12">
        <f t="shared" si="0"/>
        <v>44652</v>
      </c>
      <c r="Y3" s="12">
        <f t="shared" si="0"/>
        <v>45017</v>
      </c>
      <c r="Z3" s="12">
        <f t="shared" si="0"/>
        <v>45383</v>
      </c>
      <c r="AA3" s="12">
        <f t="shared" si="0"/>
        <v>45748</v>
      </c>
      <c r="AB3" s="12">
        <f t="shared" si="0"/>
        <v>46113</v>
      </c>
      <c r="AC3" s="12">
        <f t="shared" si="0"/>
        <v>46478</v>
      </c>
      <c r="AD3" s="12">
        <f t="shared" si="0"/>
        <v>46844</v>
      </c>
      <c r="AE3" s="12">
        <f t="shared" si="0"/>
        <v>47209</v>
      </c>
      <c r="AF3" s="12">
        <f t="shared" si="0"/>
        <v>47574</v>
      </c>
      <c r="AG3" s="12">
        <f t="shared" si="0"/>
        <v>47939</v>
      </c>
      <c r="AH3" s="12">
        <f t="shared" si="0"/>
        <v>48305</v>
      </c>
      <c r="AI3" s="12">
        <f t="shared" si="0"/>
        <v>48670</v>
      </c>
      <c r="AJ3" s="12">
        <f t="shared" si="0"/>
        <v>49035</v>
      </c>
      <c r="AK3" s="12">
        <f t="shared" si="0"/>
        <v>49400</v>
      </c>
      <c r="AL3" s="12">
        <f t="shared" si="0"/>
        <v>49766</v>
      </c>
      <c r="AM3" s="12">
        <f t="shared" si="0"/>
        <v>50131</v>
      </c>
      <c r="AN3" s="12">
        <f t="shared" si="0"/>
        <v>50496</v>
      </c>
      <c r="AO3" s="12">
        <f t="shared" si="0"/>
        <v>50861</v>
      </c>
      <c r="AP3" s="12">
        <f t="shared" si="0"/>
        <v>51227</v>
      </c>
      <c r="AQ3" s="12">
        <f t="shared" si="0"/>
        <v>51592</v>
      </c>
      <c r="AR3" s="12">
        <f t="shared" si="0"/>
        <v>51957</v>
      </c>
      <c r="AS3" s="12">
        <f t="shared" si="0"/>
        <v>52322</v>
      </c>
      <c r="AT3" s="12">
        <f t="shared" si="0"/>
        <v>52688</v>
      </c>
      <c r="AU3" s="12">
        <f t="shared" ref="AU3" si="1">+AT4+1</f>
        <v>53053</v>
      </c>
      <c r="AV3" s="12">
        <f t="shared" ref="AV3" si="2">+AU4+1</f>
        <v>53418</v>
      </c>
      <c r="AW3" s="12">
        <f t="shared" ref="AW3" si="3">+AV4+1</f>
        <v>53783</v>
      </c>
      <c r="AX3" s="12">
        <f t="shared" ref="AX3" si="4">+AW4+1</f>
        <v>54149</v>
      </c>
    </row>
    <row r="4" spans="1:50" ht="15" customHeight="1">
      <c r="A4" s="11"/>
      <c r="B4" s="11"/>
      <c r="C4" s="11"/>
      <c r="D4" s="11"/>
      <c r="E4" s="11" t="s">
        <v>5</v>
      </c>
      <c r="F4" s="11"/>
      <c r="G4" s="11"/>
      <c r="H4" s="11"/>
      <c r="I4" s="28"/>
      <c r="J4" s="11"/>
      <c r="K4" s="24">
        <f>Inputs!K18</f>
        <v>40268</v>
      </c>
      <c r="L4" s="12">
        <f t="shared" ref="L4:AT4" si="5">DATE(YEAR(K4) + 1, MONTH(K4), DAY(K4))</f>
        <v>40633</v>
      </c>
      <c r="M4" s="12">
        <f t="shared" si="5"/>
        <v>40999</v>
      </c>
      <c r="N4" s="12">
        <f t="shared" si="5"/>
        <v>41364</v>
      </c>
      <c r="O4" s="12">
        <f t="shared" si="5"/>
        <v>41729</v>
      </c>
      <c r="P4" s="12">
        <f t="shared" si="5"/>
        <v>42094</v>
      </c>
      <c r="Q4" s="12">
        <f t="shared" si="5"/>
        <v>42460</v>
      </c>
      <c r="R4" s="12">
        <f t="shared" si="5"/>
        <v>42825</v>
      </c>
      <c r="S4" s="12">
        <f t="shared" si="5"/>
        <v>43190</v>
      </c>
      <c r="T4" s="12">
        <f t="shared" si="5"/>
        <v>43555</v>
      </c>
      <c r="U4" s="12">
        <f t="shared" si="5"/>
        <v>43921</v>
      </c>
      <c r="V4" s="12">
        <f t="shared" si="5"/>
        <v>44286</v>
      </c>
      <c r="W4" s="12">
        <f t="shared" si="5"/>
        <v>44651</v>
      </c>
      <c r="X4" s="12">
        <f t="shared" si="5"/>
        <v>45016</v>
      </c>
      <c r="Y4" s="12">
        <f t="shared" si="5"/>
        <v>45382</v>
      </c>
      <c r="Z4" s="12">
        <f t="shared" si="5"/>
        <v>45747</v>
      </c>
      <c r="AA4" s="12">
        <f t="shared" si="5"/>
        <v>46112</v>
      </c>
      <c r="AB4" s="12">
        <f t="shared" si="5"/>
        <v>46477</v>
      </c>
      <c r="AC4" s="12">
        <f t="shared" si="5"/>
        <v>46843</v>
      </c>
      <c r="AD4" s="12">
        <f t="shared" si="5"/>
        <v>47208</v>
      </c>
      <c r="AE4" s="12">
        <f t="shared" si="5"/>
        <v>47573</v>
      </c>
      <c r="AF4" s="12">
        <f t="shared" si="5"/>
        <v>47938</v>
      </c>
      <c r="AG4" s="12">
        <f t="shared" si="5"/>
        <v>48304</v>
      </c>
      <c r="AH4" s="12">
        <f t="shared" si="5"/>
        <v>48669</v>
      </c>
      <c r="AI4" s="12">
        <f t="shared" si="5"/>
        <v>49034</v>
      </c>
      <c r="AJ4" s="12">
        <f t="shared" si="5"/>
        <v>49399</v>
      </c>
      <c r="AK4" s="12">
        <f t="shared" si="5"/>
        <v>49765</v>
      </c>
      <c r="AL4" s="12">
        <f t="shared" si="5"/>
        <v>50130</v>
      </c>
      <c r="AM4" s="12">
        <f t="shared" si="5"/>
        <v>50495</v>
      </c>
      <c r="AN4" s="12">
        <f t="shared" si="5"/>
        <v>50860</v>
      </c>
      <c r="AO4" s="12">
        <f t="shared" si="5"/>
        <v>51226</v>
      </c>
      <c r="AP4" s="12">
        <f t="shared" si="5"/>
        <v>51591</v>
      </c>
      <c r="AQ4" s="12">
        <f t="shared" si="5"/>
        <v>51956</v>
      </c>
      <c r="AR4" s="12">
        <f t="shared" si="5"/>
        <v>52321</v>
      </c>
      <c r="AS4" s="12">
        <f t="shared" si="5"/>
        <v>52687</v>
      </c>
      <c r="AT4" s="12">
        <f t="shared" si="5"/>
        <v>53052</v>
      </c>
      <c r="AU4" s="12">
        <f t="shared" ref="AU4" si="6">DATE(YEAR(AT4) + 1, MONTH(AT4), DAY(AT4))</f>
        <v>53417</v>
      </c>
      <c r="AV4" s="12">
        <f t="shared" ref="AV4" si="7">DATE(YEAR(AU4) + 1, MONTH(AU4), DAY(AU4))</f>
        <v>53782</v>
      </c>
      <c r="AW4" s="12">
        <f t="shared" ref="AW4" si="8">DATE(YEAR(AV4) + 1, MONTH(AV4), DAY(AV4))</f>
        <v>54148</v>
      </c>
      <c r="AX4" s="12">
        <f t="shared" ref="AX4" si="9">DATE(YEAR(AW4) + 1, MONTH(AW4), DAY(AW4))</f>
        <v>54513</v>
      </c>
    </row>
    <row r="5" spans="1:50" ht="15" customHeight="1">
      <c r="A5" s="5"/>
      <c r="B5" s="5"/>
      <c r="C5" s="5"/>
      <c r="D5" s="5"/>
      <c r="E5" s="5"/>
      <c r="F5" s="5"/>
      <c r="G5" s="5"/>
      <c r="H5" s="5"/>
      <c r="I5" s="29"/>
      <c r="J5" s="6"/>
      <c r="K5" s="6"/>
      <c r="L5" s="6"/>
      <c r="M5" s="6"/>
      <c r="N5" s="6"/>
      <c r="O5" s="6"/>
      <c r="P5" s="6"/>
      <c r="Q5" s="6"/>
      <c r="R5" s="6"/>
      <c r="S5" s="5"/>
      <c r="T5" s="5"/>
      <c r="U5" s="5"/>
      <c r="V5" s="5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</row>
    <row r="6" spans="1:50" ht="15" customHeight="1">
      <c r="A6" s="90"/>
      <c r="B6" s="188" t="s">
        <v>85</v>
      </c>
      <c r="C6" s="72"/>
      <c r="D6" s="72"/>
      <c r="E6" s="72"/>
      <c r="F6" s="72"/>
      <c r="G6" s="72"/>
      <c r="H6" s="72"/>
      <c r="I6" s="115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</row>
    <row r="7" spans="1:50" ht="15" customHeight="1">
      <c r="A7" s="90"/>
      <c r="B7" s="90"/>
      <c r="C7" s="90"/>
      <c r="D7" s="90"/>
      <c r="E7" s="90"/>
      <c r="F7" s="90"/>
      <c r="G7" s="90"/>
      <c r="H7" s="90"/>
      <c r="I7" s="29"/>
      <c r="J7" s="6"/>
      <c r="K7" s="6"/>
      <c r="L7" s="6"/>
      <c r="M7" s="6"/>
      <c r="N7" s="6"/>
      <c r="O7" s="6"/>
      <c r="P7" s="6"/>
      <c r="Q7" s="6"/>
      <c r="R7" s="6"/>
      <c r="S7" s="90"/>
      <c r="T7" s="90"/>
      <c r="U7" s="90"/>
      <c r="V7" s="90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</row>
    <row r="8" spans="1:50" ht="15" customHeight="1">
      <c r="A8" s="90"/>
      <c r="B8" s="90"/>
      <c r="C8" s="90"/>
      <c r="D8" s="90"/>
      <c r="E8" s="83" t="s">
        <v>187</v>
      </c>
      <c r="F8" s="90"/>
      <c r="G8" s="90" t="s">
        <v>7</v>
      </c>
      <c r="H8" s="90"/>
      <c r="I8" s="29"/>
      <c r="J8" s="6"/>
      <c r="K8" s="164">
        <f>Inputs!K92</f>
        <v>1</v>
      </c>
      <c r="L8" s="164">
        <f>Inputs!L92</f>
        <v>1</v>
      </c>
      <c r="M8" s="164">
        <f>Inputs!M92</f>
        <v>1</v>
      </c>
      <c r="N8" s="164">
        <f>Inputs!N92</f>
        <v>1</v>
      </c>
      <c r="O8" s="164">
        <f>Inputs!O92</f>
        <v>1</v>
      </c>
      <c r="P8" s="164">
        <f>Inputs!P92</f>
        <v>1</v>
      </c>
      <c r="Q8" s="164">
        <f>Inputs!Q92</f>
        <v>1</v>
      </c>
      <c r="R8" s="164">
        <f>Inputs!R92</f>
        <v>1</v>
      </c>
      <c r="S8" s="164">
        <f>Inputs!S92</f>
        <v>1</v>
      </c>
      <c r="T8" s="164">
        <f>Inputs!T92</f>
        <v>1</v>
      </c>
      <c r="U8" s="164">
        <f>Inputs!U92</f>
        <v>1</v>
      </c>
      <c r="V8" s="164">
        <f>Inputs!V92</f>
        <v>0.81095890410958904</v>
      </c>
      <c r="W8" s="164">
        <f>Inputs!W92</f>
        <v>0</v>
      </c>
      <c r="X8" s="164">
        <f>Inputs!X92</f>
        <v>0</v>
      </c>
      <c r="Y8" s="164">
        <f>Inputs!Y92</f>
        <v>0</v>
      </c>
      <c r="Z8" s="164">
        <f>Inputs!Z92</f>
        <v>0</v>
      </c>
      <c r="AA8" s="164">
        <f>Inputs!AA92</f>
        <v>0</v>
      </c>
      <c r="AB8" s="164">
        <f>Inputs!AB92</f>
        <v>0</v>
      </c>
      <c r="AC8" s="164">
        <f>Inputs!AC92</f>
        <v>0</v>
      </c>
      <c r="AD8" s="164">
        <f>Inputs!AD92</f>
        <v>0</v>
      </c>
      <c r="AE8" s="164">
        <f>Inputs!AE92</f>
        <v>0</v>
      </c>
      <c r="AF8" s="164">
        <f>Inputs!AF92</f>
        <v>0</v>
      </c>
      <c r="AG8" s="164">
        <f>Inputs!AG92</f>
        <v>0</v>
      </c>
      <c r="AH8" s="164">
        <f>Inputs!AH92</f>
        <v>0</v>
      </c>
      <c r="AI8" s="164">
        <f>Inputs!AI92</f>
        <v>0</v>
      </c>
      <c r="AJ8" s="164">
        <f>Inputs!AJ92</f>
        <v>0</v>
      </c>
      <c r="AK8" s="164">
        <f>Inputs!AK92</f>
        <v>0</v>
      </c>
      <c r="AL8" s="164">
        <f>Inputs!AL92</f>
        <v>0</v>
      </c>
      <c r="AM8" s="164">
        <f>Inputs!AM92</f>
        <v>0</v>
      </c>
      <c r="AN8" s="164">
        <f>Inputs!AN92</f>
        <v>0</v>
      </c>
      <c r="AO8" s="164">
        <f>Inputs!AO92</f>
        <v>0</v>
      </c>
      <c r="AP8" s="164">
        <f>Inputs!AP92</f>
        <v>0</v>
      </c>
      <c r="AQ8" s="164">
        <f>Inputs!AQ92</f>
        <v>0</v>
      </c>
      <c r="AR8" s="164">
        <f>Inputs!AR92</f>
        <v>0</v>
      </c>
      <c r="AS8" s="164">
        <f>Inputs!AS92</f>
        <v>0</v>
      </c>
      <c r="AT8" s="164">
        <f>Inputs!AT92</f>
        <v>0</v>
      </c>
      <c r="AU8" s="164">
        <f>Inputs!AU92</f>
        <v>0</v>
      </c>
      <c r="AV8" s="164">
        <f>Inputs!AV92</f>
        <v>0</v>
      </c>
      <c r="AW8" s="164">
        <f>Inputs!AW92</f>
        <v>0</v>
      </c>
      <c r="AX8" s="164">
        <f>Inputs!AX92</f>
        <v>0</v>
      </c>
    </row>
    <row r="9" spans="1:50" ht="15" customHeight="1">
      <c r="A9" s="83"/>
      <c r="B9" s="83"/>
      <c r="C9" s="83"/>
      <c r="D9" s="83"/>
      <c r="E9" s="83" t="s">
        <v>186</v>
      </c>
      <c r="F9" s="83"/>
      <c r="G9" s="83" t="s">
        <v>7</v>
      </c>
      <c r="H9" s="83"/>
      <c r="I9" s="86"/>
      <c r="J9" s="83"/>
      <c r="K9" s="164">
        <f>Inputs!K93</f>
        <v>0</v>
      </c>
      <c r="L9" s="164">
        <f>Inputs!L93</f>
        <v>0</v>
      </c>
      <c r="M9" s="164">
        <f>Inputs!M93</f>
        <v>0</v>
      </c>
      <c r="N9" s="164">
        <f>Inputs!N93</f>
        <v>0</v>
      </c>
      <c r="O9" s="164">
        <f>Inputs!O93</f>
        <v>0</v>
      </c>
      <c r="P9" s="164">
        <f>Inputs!P93</f>
        <v>0</v>
      </c>
      <c r="Q9" s="164">
        <f>Inputs!Q93</f>
        <v>0</v>
      </c>
      <c r="R9" s="164">
        <f>Inputs!R93</f>
        <v>0</v>
      </c>
      <c r="S9" s="164">
        <f>Inputs!S93</f>
        <v>0</v>
      </c>
      <c r="T9" s="164">
        <f>Inputs!T93</f>
        <v>0</v>
      </c>
      <c r="U9" s="164">
        <f>Inputs!U93</f>
        <v>0</v>
      </c>
      <c r="V9" s="164">
        <f>Inputs!V93</f>
        <v>0</v>
      </c>
      <c r="W9" s="164">
        <f>Inputs!W93</f>
        <v>0</v>
      </c>
      <c r="X9" s="164">
        <f>Inputs!X93</f>
        <v>0</v>
      </c>
      <c r="Y9" s="164">
        <f>Inputs!Y93</f>
        <v>0</v>
      </c>
      <c r="Z9" s="164">
        <f>Inputs!Z93</f>
        <v>0</v>
      </c>
      <c r="AA9" s="164">
        <f>Inputs!AA93</f>
        <v>0</v>
      </c>
      <c r="AB9" s="164">
        <f>Inputs!AB93</f>
        <v>0</v>
      </c>
      <c r="AC9" s="164">
        <f>Inputs!AC93</f>
        <v>0</v>
      </c>
      <c r="AD9" s="164">
        <f>Inputs!AD93</f>
        <v>0</v>
      </c>
      <c r="AE9" s="164">
        <f>Inputs!AE93</f>
        <v>0</v>
      </c>
      <c r="AF9" s="164">
        <f>Inputs!AF93</f>
        <v>0</v>
      </c>
      <c r="AG9" s="164">
        <f>Inputs!AG93</f>
        <v>0</v>
      </c>
      <c r="AH9" s="164">
        <f>Inputs!AH93</f>
        <v>0</v>
      </c>
      <c r="AI9" s="164">
        <f>Inputs!AI93</f>
        <v>0</v>
      </c>
      <c r="AJ9" s="164">
        <f>Inputs!AJ93</f>
        <v>0</v>
      </c>
      <c r="AK9" s="164">
        <f>Inputs!AK93</f>
        <v>0</v>
      </c>
      <c r="AL9" s="164">
        <f>Inputs!AL93</f>
        <v>0</v>
      </c>
      <c r="AM9" s="164">
        <f>Inputs!AM93</f>
        <v>0</v>
      </c>
      <c r="AN9" s="164">
        <f>Inputs!AN93</f>
        <v>0</v>
      </c>
      <c r="AO9" s="164">
        <f>Inputs!AO93</f>
        <v>0</v>
      </c>
      <c r="AP9" s="164">
        <f>Inputs!AP93</f>
        <v>0</v>
      </c>
      <c r="AQ9" s="164">
        <f>Inputs!AQ93</f>
        <v>0</v>
      </c>
      <c r="AR9" s="164">
        <f>Inputs!AR93</f>
        <v>0</v>
      </c>
      <c r="AS9" s="164">
        <f>Inputs!AS93</f>
        <v>0</v>
      </c>
      <c r="AT9" s="164">
        <f>Inputs!AT93</f>
        <v>0</v>
      </c>
      <c r="AU9" s="164">
        <f>Inputs!AU93</f>
        <v>0</v>
      </c>
      <c r="AV9" s="164">
        <f>Inputs!AV93</f>
        <v>0</v>
      </c>
      <c r="AW9" s="164">
        <f>Inputs!AW93</f>
        <v>0</v>
      </c>
      <c r="AX9" s="164">
        <f>Inputs!AX93</f>
        <v>0</v>
      </c>
    </row>
    <row r="10" spans="1:50" ht="15" customHeight="1">
      <c r="A10" s="90"/>
      <c r="B10" s="90"/>
      <c r="C10" s="90"/>
      <c r="D10" s="90"/>
      <c r="E10" s="83" t="s">
        <v>188</v>
      </c>
      <c r="F10" s="90"/>
      <c r="G10" s="90" t="s">
        <v>7</v>
      </c>
      <c r="H10" s="90"/>
      <c r="I10" s="29"/>
      <c r="J10" s="6"/>
      <c r="K10" s="164">
        <f>Inputs!K94</f>
        <v>0</v>
      </c>
      <c r="L10" s="164">
        <f>Inputs!L94</f>
        <v>0</v>
      </c>
      <c r="M10" s="164">
        <f>Inputs!M94</f>
        <v>0</v>
      </c>
      <c r="N10" s="164">
        <f>Inputs!N94</f>
        <v>0</v>
      </c>
      <c r="O10" s="164">
        <f>Inputs!O94</f>
        <v>0</v>
      </c>
      <c r="P10" s="164">
        <f>Inputs!P94</f>
        <v>0</v>
      </c>
      <c r="Q10" s="164">
        <f>Inputs!Q94</f>
        <v>0</v>
      </c>
      <c r="R10" s="164">
        <f>Inputs!R94</f>
        <v>0</v>
      </c>
      <c r="S10" s="164">
        <f>Inputs!S94</f>
        <v>0</v>
      </c>
      <c r="T10" s="164">
        <f>Inputs!T94</f>
        <v>0</v>
      </c>
      <c r="U10" s="164">
        <f>Inputs!U94</f>
        <v>0</v>
      </c>
      <c r="V10" s="164">
        <f>Inputs!V94</f>
        <v>0.18904109589041096</v>
      </c>
      <c r="W10" s="164">
        <f>Inputs!W94</f>
        <v>1</v>
      </c>
      <c r="X10" s="164">
        <f>Inputs!X94</f>
        <v>1</v>
      </c>
      <c r="Y10" s="164">
        <f>Inputs!Y94</f>
        <v>1</v>
      </c>
      <c r="Z10" s="164">
        <f>Inputs!Z94</f>
        <v>1</v>
      </c>
      <c r="AA10" s="164">
        <f>Inputs!AA94</f>
        <v>1</v>
      </c>
      <c r="AB10" s="164">
        <f>Inputs!AB94</f>
        <v>1</v>
      </c>
      <c r="AC10" s="164">
        <f>Inputs!AC94</f>
        <v>1</v>
      </c>
      <c r="AD10" s="164">
        <f>Inputs!AD94</f>
        <v>1</v>
      </c>
      <c r="AE10" s="164">
        <f>Inputs!AE94</f>
        <v>1</v>
      </c>
      <c r="AF10" s="164">
        <f>Inputs!AF94</f>
        <v>1</v>
      </c>
      <c r="AG10" s="164">
        <f>Inputs!AG94</f>
        <v>1</v>
      </c>
      <c r="AH10" s="164">
        <f>Inputs!AH94</f>
        <v>1</v>
      </c>
      <c r="AI10" s="164">
        <f>Inputs!AI94</f>
        <v>1</v>
      </c>
      <c r="AJ10" s="164">
        <f>Inputs!AJ94</f>
        <v>1</v>
      </c>
      <c r="AK10" s="164">
        <f>Inputs!AK94</f>
        <v>1</v>
      </c>
      <c r="AL10" s="164">
        <f>Inputs!AL94</f>
        <v>1</v>
      </c>
      <c r="AM10" s="164">
        <f>Inputs!AM94</f>
        <v>1</v>
      </c>
      <c r="AN10" s="164">
        <f>Inputs!AN94</f>
        <v>1</v>
      </c>
      <c r="AO10" s="164">
        <f>Inputs!AO94</f>
        <v>1</v>
      </c>
      <c r="AP10" s="164">
        <f>Inputs!AP94</f>
        <v>1</v>
      </c>
      <c r="AQ10" s="164">
        <f>Inputs!AQ94</f>
        <v>1</v>
      </c>
      <c r="AR10" s="164">
        <f>Inputs!AR94</f>
        <v>1</v>
      </c>
      <c r="AS10" s="164">
        <f>Inputs!AS94</f>
        <v>1</v>
      </c>
      <c r="AT10" s="164">
        <f>Inputs!AT94</f>
        <v>1</v>
      </c>
      <c r="AU10" s="164">
        <f>Inputs!AU94</f>
        <v>0.75342465753424659</v>
      </c>
      <c r="AV10" s="164">
        <f>Inputs!AV94</f>
        <v>0</v>
      </c>
      <c r="AW10" s="164">
        <f>Inputs!AW94</f>
        <v>0</v>
      </c>
      <c r="AX10" s="164">
        <f>Inputs!AX94</f>
        <v>0</v>
      </c>
    </row>
    <row r="11" spans="1:50" ht="15" customHeight="1">
      <c r="A11" s="83"/>
      <c r="B11" s="83"/>
      <c r="C11" s="83"/>
      <c r="D11" s="83"/>
      <c r="E11" s="83" t="s">
        <v>189</v>
      </c>
      <c r="F11" s="83"/>
      <c r="G11" s="83" t="s">
        <v>7</v>
      </c>
      <c r="H11" s="83"/>
      <c r="I11" s="86"/>
      <c r="J11" s="83"/>
      <c r="K11" s="164">
        <f>Inputs!K95</f>
        <v>0</v>
      </c>
      <c r="L11" s="164">
        <f>Inputs!L95</f>
        <v>0</v>
      </c>
      <c r="M11" s="164">
        <f>Inputs!M95</f>
        <v>0</v>
      </c>
      <c r="N11" s="164">
        <f>Inputs!N95</f>
        <v>0</v>
      </c>
      <c r="O11" s="164">
        <f>Inputs!O95</f>
        <v>0</v>
      </c>
      <c r="P11" s="164">
        <f>Inputs!P95</f>
        <v>0</v>
      </c>
      <c r="Q11" s="164">
        <f>Inputs!Q95</f>
        <v>0</v>
      </c>
      <c r="R11" s="164">
        <f>Inputs!R95</f>
        <v>0</v>
      </c>
      <c r="S11" s="164">
        <f>Inputs!S95</f>
        <v>0</v>
      </c>
      <c r="T11" s="164">
        <f>Inputs!T95</f>
        <v>0</v>
      </c>
      <c r="U11" s="164">
        <f>Inputs!U95</f>
        <v>0</v>
      </c>
      <c r="V11" s="164">
        <f>Inputs!V95</f>
        <v>0</v>
      </c>
      <c r="W11" s="164">
        <f>Inputs!W95</f>
        <v>1</v>
      </c>
      <c r="X11" s="164">
        <f>Inputs!X95</f>
        <v>0</v>
      </c>
      <c r="Y11" s="164">
        <f>Inputs!Y95</f>
        <v>0</v>
      </c>
      <c r="Z11" s="164">
        <f>Inputs!Z95</f>
        <v>0</v>
      </c>
      <c r="AA11" s="164">
        <f>Inputs!AA95</f>
        <v>0</v>
      </c>
      <c r="AB11" s="164">
        <f>Inputs!AB95</f>
        <v>0</v>
      </c>
      <c r="AC11" s="164">
        <f>Inputs!AC95</f>
        <v>0</v>
      </c>
      <c r="AD11" s="164">
        <f>Inputs!AD95</f>
        <v>0</v>
      </c>
      <c r="AE11" s="164">
        <f>Inputs!AE95</f>
        <v>0</v>
      </c>
      <c r="AF11" s="164">
        <f>Inputs!AF95</f>
        <v>0</v>
      </c>
      <c r="AG11" s="164">
        <f>Inputs!AG95</f>
        <v>0</v>
      </c>
      <c r="AH11" s="164">
        <f>Inputs!AH95</f>
        <v>0</v>
      </c>
      <c r="AI11" s="164">
        <f>Inputs!AI95</f>
        <v>0</v>
      </c>
      <c r="AJ11" s="164">
        <f>Inputs!AJ95</f>
        <v>0</v>
      </c>
      <c r="AK11" s="164">
        <f>Inputs!AK95</f>
        <v>0</v>
      </c>
      <c r="AL11" s="164">
        <f>Inputs!AL95</f>
        <v>0</v>
      </c>
      <c r="AM11" s="164">
        <f>Inputs!AM95</f>
        <v>0</v>
      </c>
      <c r="AN11" s="164">
        <f>Inputs!AN95</f>
        <v>0</v>
      </c>
      <c r="AO11" s="164">
        <f>Inputs!AO95</f>
        <v>0</v>
      </c>
      <c r="AP11" s="164">
        <f>Inputs!AP95</f>
        <v>0</v>
      </c>
      <c r="AQ11" s="164">
        <f>Inputs!AQ95</f>
        <v>0</v>
      </c>
      <c r="AR11" s="164">
        <f>Inputs!AR95</f>
        <v>0</v>
      </c>
      <c r="AS11" s="164">
        <f>Inputs!AS95</f>
        <v>0</v>
      </c>
      <c r="AT11" s="164">
        <f>Inputs!AT95</f>
        <v>0</v>
      </c>
      <c r="AU11" s="164">
        <f>Inputs!AU95</f>
        <v>0</v>
      </c>
      <c r="AV11" s="164">
        <f>Inputs!AV95</f>
        <v>0</v>
      </c>
      <c r="AW11" s="164">
        <f>Inputs!AW95</f>
        <v>0</v>
      </c>
      <c r="AX11" s="164">
        <f>Inputs!AX95</f>
        <v>0</v>
      </c>
    </row>
    <row r="12" spans="1:50" ht="15" customHeight="1">
      <c r="A12" s="83"/>
      <c r="B12" s="83"/>
      <c r="C12" s="83"/>
      <c r="D12" s="83"/>
      <c r="E12" s="83" t="s">
        <v>190</v>
      </c>
      <c r="F12" s="83"/>
      <c r="G12" s="83" t="s">
        <v>7</v>
      </c>
      <c r="H12" s="83"/>
      <c r="I12" s="86"/>
      <c r="J12" s="83"/>
      <c r="K12" s="164">
        <f>Inputs!K96</f>
        <v>0</v>
      </c>
      <c r="L12" s="164">
        <f>Inputs!L96</f>
        <v>0</v>
      </c>
      <c r="M12" s="164">
        <f>Inputs!M96</f>
        <v>0</v>
      </c>
      <c r="N12" s="164">
        <f>Inputs!N96</f>
        <v>0</v>
      </c>
      <c r="O12" s="164">
        <f>Inputs!O96</f>
        <v>0</v>
      </c>
      <c r="P12" s="164">
        <f>Inputs!P96</f>
        <v>0</v>
      </c>
      <c r="Q12" s="164">
        <f>Inputs!Q96</f>
        <v>1</v>
      </c>
      <c r="R12" s="164">
        <f>Inputs!R96</f>
        <v>0</v>
      </c>
      <c r="S12" s="164">
        <f>Inputs!S96</f>
        <v>0</v>
      </c>
      <c r="T12" s="164">
        <f>Inputs!T96</f>
        <v>0</v>
      </c>
      <c r="U12" s="164">
        <f>Inputs!U96</f>
        <v>0</v>
      </c>
      <c r="V12" s="164">
        <f>Inputs!V96</f>
        <v>0</v>
      </c>
      <c r="W12" s="164">
        <f>Inputs!W96</f>
        <v>0</v>
      </c>
      <c r="X12" s="164">
        <f>Inputs!X96</f>
        <v>0</v>
      </c>
      <c r="Y12" s="164">
        <f>Inputs!Y96</f>
        <v>0</v>
      </c>
      <c r="Z12" s="164">
        <f>Inputs!Z96</f>
        <v>0</v>
      </c>
      <c r="AA12" s="164">
        <f>Inputs!AA96</f>
        <v>0</v>
      </c>
      <c r="AB12" s="164">
        <f>Inputs!AB96</f>
        <v>0</v>
      </c>
      <c r="AC12" s="164">
        <f>Inputs!AC96</f>
        <v>0</v>
      </c>
      <c r="AD12" s="164">
        <f>Inputs!AD96</f>
        <v>0</v>
      </c>
      <c r="AE12" s="164">
        <f>Inputs!AE96</f>
        <v>0</v>
      </c>
      <c r="AF12" s="164">
        <f>Inputs!AF96</f>
        <v>0</v>
      </c>
      <c r="AG12" s="164">
        <f>Inputs!AG96</f>
        <v>0</v>
      </c>
      <c r="AH12" s="164">
        <f>Inputs!AH96</f>
        <v>0</v>
      </c>
      <c r="AI12" s="164">
        <f>Inputs!AI96</f>
        <v>0</v>
      </c>
      <c r="AJ12" s="164">
        <f>Inputs!AJ96</f>
        <v>0</v>
      </c>
      <c r="AK12" s="164">
        <f>Inputs!AK96</f>
        <v>0</v>
      </c>
      <c r="AL12" s="164">
        <f>Inputs!AL96</f>
        <v>0</v>
      </c>
      <c r="AM12" s="164">
        <f>Inputs!AM96</f>
        <v>0</v>
      </c>
      <c r="AN12" s="164">
        <f>Inputs!AN96</f>
        <v>0</v>
      </c>
      <c r="AO12" s="164">
        <f>Inputs!AO96</f>
        <v>0</v>
      </c>
      <c r="AP12" s="164">
        <f>Inputs!AP96</f>
        <v>0</v>
      </c>
      <c r="AQ12" s="164">
        <f>Inputs!AQ96</f>
        <v>0</v>
      </c>
      <c r="AR12" s="164">
        <f>Inputs!AR96</f>
        <v>0</v>
      </c>
      <c r="AS12" s="164">
        <f>Inputs!AS96</f>
        <v>0</v>
      </c>
      <c r="AT12" s="164">
        <f>Inputs!AT96</f>
        <v>0</v>
      </c>
      <c r="AU12" s="164">
        <f>Inputs!AU96</f>
        <v>0</v>
      </c>
      <c r="AV12" s="164">
        <f>Inputs!AV96</f>
        <v>0</v>
      </c>
      <c r="AW12" s="164">
        <f>Inputs!AW96</f>
        <v>0</v>
      </c>
      <c r="AX12" s="164">
        <f>Inputs!AX96</f>
        <v>0</v>
      </c>
    </row>
    <row r="13" spans="1:50" ht="15" customHeight="1">
      <c r="A13" s="90"/>
      <c r="B13" s="90"/>
      <c r="C13" s="90"/>
      <c r="D13" s="90"/>
      <c r="E13" s="90"/>
      <c r="F13" s="90"/>
      <c r="G13" s="90"/>
      <c r="H13" s="90"/>
      <c r="I13" s="29"/>
      <c r="J13" s="6"/>
      <c r="K13" s="6"/>
      <c r="L13" s="6"/>
      <c r="M13" s="6"/>
      <c r="N13" s="6"/>
      <c r="O13" s="6"/>
      <c r="P13" s="6"/>
      <c r="Q13" s="6"/>
      <c r="R13" s="6"/>
      <c r="S13" s="90"/>
      <c r="T13" s="90"/>
      <c r="U13" s="90"/>
      <c r="V13" s="90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</row>
    <row r="14" spans="1:50" ht="15" customHeight="1">
      <c r="A14" s="90"/>
      <c r="B14" s="188" t="s">
        <v>169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</row>
    <row r="15" spans="1:50" ht="15" customHeight="1">
      <c r="A15" s="90"/>
      <c r="B15" s="90"/>
      <c r="C15" s="90"/>
      <c r="D15" s="90"/>
      <c r="E15" s="90"/>
      <c r="F15" s="90"/>
      <c r="G15" s="90"/>
      <c r="H15" s="90"/>
      <c r="I15" s="29"/>
      <c r="J15" s="6"/>
      <c r="K15" s="6"/>
      <c r="L15" s="6"/>
      <c r="M15" s="6"/>
      <c r="N15" s="6"/>
      <c r="O15" s="6"/>
      <c r="P15" s="6"/>
      <c r="Q15" s="6"/>
      <c r="R15" s="6"/>
      <c r="S15" s="90"/>
      <c r="T15" s="90"/>
      <c r="U15" s="90"/>
      <c r="V15" s="90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</row>
    <row r="16" spans="1:50" ht="15" customHeight="1">
      <c r="A16" s="90"/>
      <c r="B16" s="90"/>
      <c r="C16" s="13" t="s">
        <v>169</v>
      </c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</row>
    <row r="17" spans="1:50" ht="15" customHeight="1">
      <c r="A17" s="34"/>
      <c r="B17" s="34"/>
      <c r="C17" s="34"/>
      <c r="D17" s="64"/>
      <c r="E17" s="39"/>
      <c r="F17" s="37"/>
      <c r="G17" s="39"/>
      <c r="H17" s="39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</row>
    <row r="18" spans="1:50" ht="15" customHeight="1">
      <c r="A18" s="90"/>
      <c r="B18" s="90"/>
      <c r="C18" s="90"/>
      <c r="D18" s="90"/>
      <c r="E18" s="71" t="s">
        <v>170</v>
      </c>
      <c r="F18" s="90"/>
      <c r="G18" s="71" t="str">
        <f>Inputs!G70</f>
        <v>real annual %</v>
      </c>
      <c r="H18" s="83"/>
      <c r="I18" s="155">
        <f>Inputs!I70</f>
        <v>6.7500000000000004E-2</v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</row>
    <row r="19" spans="1:50" ht="15" customHeight="1">
      <c r="A19" s="34"/>
      <c r="B19" s="34"/>
      <c r="C19" s="34"/>
      <c r="D19" s="64"/>
      <c r="E19" s="39"/>
      <c r="F19" s="37"/>
      <c r="G19" s="39"/>
      <c r="H19" s="39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9"/>
      <c r="T19" s="39"/>
      <c r="U19" s="39"/>
      <c r="V19" s="39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</row>
    <row r="20" spans="1:50" ht="15" customHeight="1">
      <c r="A20"/>
      <c r="B20" s="34"/>
      <c r="C20" s="34"/>
      <c r="D20" s="64"/>
      <c r="E20" s="9" t="s">
        <v>35</v>
      </c>
      <c r="F20" s="37"/>
      <c r="G20" s="70" t="str">
        <f>Inputs!$I$11</f>
        <v>£m 16/17 prices</v>
      </c>
      <c r="H20" s="39"/>
      <c r="I20" s="35"/>
      <c r="J20" s="35"/>
      <c r="K20" s="118">
        <f>'Pre Op RAV'!K17</f>
        <v>0</v>
      </c>
      <c r="L20" s="118">
        <f>'Pre Op RAV'!L17</f>
        <v>0</v>
      </c>
      <c r="M20" s="118">
        <f>'Pre Op RAV'!M17</f>
        <v>5.1852727397732445E-2</v>
      </c>
      <c r="N20" s="118">
        <f>'Pre Op RAV'!N17</f>
        <v>0.35328727538245136</v>
      </c>
      <c r="O20" s="118">
        <f>'Pre Op RAV'!O17</f>
        <v>1.1642190611115995</v>
      </c>
      <c r="P20" s="118">
        <f>'Pre Op RAV'!P17</f>
        <v>2.4689913184021601</v>
      </c>
      <c r="Q20" s="118">
        <f>'Pre Op RAV'!Q17</f>
        <v>4.6439806743996979</v>
      </c>
      <c r="R20" s="118">
        <f>'Pre Op RAV'!R17</f>
        <v>8.9885790187402055</v>
      </c>
      <c r="S20" s="118">
        <f>'Pre Op RAV'!S17</f>
        <v>13.479798566206394</v>
      </c>
      <c r="T20" s="118">
        <f>'Pre Op RAV'!T17</f>
        <v>71.23025142713432</v>
      </c>
      <c r="U20" s="118">
        <f>'Pre Op RAV'!U17</f>
        <v>194.76732962091927</v>
      </c>
      <c r="V20" s="118">
        <f>'Pre Op RAV'!V17</f>
        <v>320.41383958350752</v>
      </c>
      <c r="W20" s="118">
        <f>'Pre Op RAV'!W17</f>
        <v>372.12479033008128</v>
      </c>
      <c r="X20" s="118">
        <f>'Pre Op RAV'!X17</f>
        <v>0</v>
      </c>
      <c r="Y20" s="118">
        <f>'Pre Op RAV'!Y17</f>
        <v>0</v>
      </c>
      <c r="Z20" s="118">
        <f>'Pre Op RAV'!Z17</f>
        <v>0</v>
      </c>
      <c r="AA20" s="118">
        <f>'Pre Op RAV'!AA17</f>
        <v>0</v>
      </c>
      <c r="AB20" s="118">
        <f>'Pre Op RAV'!AB17</f>
        <v>0</v>
      </c>
      <c r="AC20" s="118">
        <f>'Pre Op RAV'!AC17</f>
        <v>0</v>
      </c>
      <c r="AD20" s="118">
        <f>'Pre Op RAV'!AD17</f>
        <v>0</v>
      </c>
      <c r="AE20" s="118">
        <f>'Pre Op RAV'!AE17</f>
        <v>0</v>
      </c>
      <c r="AF20" s="118">
        <f>'Pre Op RAV'!AF17</f>
        <v>0</v>
      </c>
      <c r="AG20" s="118">
        <f>'Pre Op RAV'!AG17</f>
        <v>0</v>
      </c>
      <c r="AH20" s="118">
        <f>'Pre Op RAV'!AH17</f>
        <v>0</v>
      </c>
      <c r="AI20" s="118">
        <f>'Pre Op RAV'!AI17</f>
        <v>0</v>
      </c>
      <c r="AJ20" s="118">
        <f>'Pre Op RAV'!AJ17</f>
        <v>0</v>
      </c>
      <c r="AK20" s="118">
        <f>'Pre Op RAV'!AK17</f>
        <v>0</v>
      </c>
      <c r="AL20" s="118">
        <f>'Pre Op RAV'!AL17</f>
        <v>0</v>
      </c>
      <c r="AM20" s="118">
        <f>'Pre Op RAV'!AM17</f>
        <v>0</v>
      </c>
      <c r="AN20" s="118">
        <f>'Pre Op RAV'!AN17</f>
        <v>0</v>
      </c>
      <c r="AO20" s="118">
        <f>'Pre Op RAV'!AO17</f>
        <v>0</v>
      </c>
      <c r="AP20" s="118">
        <f>'Pre Op RAV'!AP17</f>
        <v>0</v>
      </c>
      <c r="AQ20" s="118">
        <f>'Pre Op RAV'!AQ17</f>
        <v>0</v>
      </c>
      <c r="AR20" s="118">
        <f>'Pre Op RAV'!AR17</f>
        <v>0</v>
      </c>
      <c r="AS20" s="118">
        <f>'Pre Op RAV'!AS17</f>
        <v>0</v>
      </c>
      <c r="AT20" s="118">
        <f>'Pre Op RAV'!AT17</f>
        <v>0</v>
      </c>
      <c r="AU20" s="118">
        <f>'Pre Op RAV'!AU17</f>
        <v>0</v>
      </c>
      <c r="AV20" s="118">
        <f>'Pre Op RAV'!AV17</f>
        <v>0</v>
      </c>
      <c r="AW20" s="118">
        <f>'Pre Op RAV'!AW17</f>
        <v>0</v>
      </c>
      <c r="AX20" s="118">
        <f>'Pre Op RAV'!AX17</f>
        <v>0</v>
      </c>
    </row>
    <row r="21" spans="1:50" ht="15" customHeight="1">
      <c r="A21"/>
      <c r="B21" s="34"/>
      <c r="C21" s="34"/>
      <c r="D21" s="64"/>
      <c r="E21" s="9" t="s">
        <v>62</v>
      </c>
      <c r="F21" s="37"/>
      <c r="G21" s="70" t="str">
        <f>Inputs!$I$11</f>
        <v>£m 16/17 prices</v>
      </c>
      <c r="H21" s="39"/>
      <c r="I21" s="35"/>
      <c r="J21" s="35"/>
      <c r="K21" s="118">
        <f>Inputs!K34</f>
        <v>0</v>
      </c>
      <c r="L21" s="118">
        <f>Inputs!L34</f>
        <v>5.0213355454244421E-2</v>
      </c>
      <c r="M21" s="118">
        <f>Inputs!M34</f>
        <v>0.28851501441241528</v>
      </c>
      <c r="N21" s="118">
        <f>Inputs!N34</f>
        <v>0.76220047759715304</v>
      </c>
      <c r="O21" s="118">
        <f>Inputs!O34</f>
        <v>1.187420419485236</v>
      </c>
      <c r="P21" s="118">
        <f>Inputs!P34</f>
        <v>1.944837154026299</v>
      </c>
      <c r="Q21" s="118">
        <f>Inputs!Q34</f>
        <v>3.9036817559401911</v>
      </c>
      <c r="R21" s="118">
        <f>Inputs!R34</f>
        <v>2.1858180343102038</v>
      </c>
      <c r="S21" s="118">
        <f>Inputs!S34</f>
        <v>0</v>
      </c>
      <c r="T21" s="118">
        <f>Inputs!T34</f>
        <v>0</v>
      </c>
      <c r="U21" s="118">
        <f>Inputs!U34</f>
        <v>0</v>
      </c>
      <c r="V21" s="118">
        <f>Inputs!V34</f>
        <v>0</v>
      </c>
      <c r="W21" s="118">
        <f>Inputs!W34</f>
        <v>0</v>
      </c>
      <c r="X21" s="118">
        <f>Inputs!X34</f>
        <v>0</v>
      </c>
      <c r="Y21" s="118">
        <f>Inputs!Y34</f>
        <v>0</v>
      </c>
      <c r="Z21" s="118">
        <f>Inputs!Z34</f>
        <v>0</v>
      </c>
      <c r="AA21" s="118">
        <f>Inputs!AA34</f>
        <v>0</v>
      </c>
      <c r="AB21" s="118">
        <f>Inputs!AB34</f>
        <v>0</v>
      </c>
      <c r="AC21" s="118">
        <f>Inputs!AC34</f>
        <v>0</v>
      </c>
      <c r="AD21" s="118">
        <f>Inputs!AD34</f>
        <v>0</v>
      </c>
      <c r="AE21" s="118">
        <f>Inputs!AE34</f>
        <v>0</v>
      </c>
      <c r="AF21" s="118">
        <f>Inputs!AF34</f>
        <v>0</v>
      </c>
      <c r="AG21" s="118">
        <f>Inputs!AG34</f>
        <v>0</v>
      </c>
      <c r="AH21" s="118">
        <f>Inputs!AH34</f>
        <v>0</v>
      </c>
      <c r="AI21" s="118">
        <f>Inputs!AI34</f>
        <v>0</v>
      </c>
      <c r="AJ21" s="118">
        <f>Inputs!AJ34</f>
        <v>0</v>
      </c>
      <c r="AK21" s="118">
        <f>Inputs!AK34</f>
        <v>0</v>
      </c>
      <c r="AL21" s="118">
        <f>Inputs!AL34</f>
        <v>0</v>
      </c>
      <c r="AM21" s="118">
        <f>Inputs!AM34</f>
        <v>0</v>
      </c>
      <c r="AN21" s="118">
        <f>Inputs!AN34</f>
        <v>0</v>
      </c>
      <c r="AO21" s="118">
        <f>Inputs!AO34</f>
        <v>0</v>
      </c>
      <c r="AP21" s="118">
        <f>Inputs!AP34</f>
        <v>0</v>
      </c>
      <c r="AQ21" s="118">
        <f>Inputs!AQ34</f>
        <v>0</v>
      </c>
      <c r="AR21" s="118">
        <f>Inputs!AR34</f>
        <v>0</v>
      </c>
      <c r="AS21" s="118">
        <f>Inputs!AS34</f>
        <v>0</v>
      </c>
      <c r="AT21" s="118">
        <f>Inputs!AT34</f>
        <v>0</v>
      </c>
      <c r="AU21" s="118">
        <f>Inputs!AU34</f>
        <v>0</v>
      </c>
      <c r="AV21" s="118">
        <f>Inputs!AV34</f>
        <v>0</v>
      </c>
      <c r="AW21" s="118">
        <f>Inputs!AW34</f>
        <v>0</v>
      </c>
      <c r="AX21" s="118">
        <f>Inputs!AX34</f>
        <v>0</v>
      </c>
    </row>
    <row r="22" spans="1:50" ht="15" customHeight="1">
      <c r="A22"/>
      <c r="B22" s="34"/>
      <c r="C22" s="34"/>
      <c r="D22" s="64"/>
      <c r="E22" s="9" t="s">
        <v>6</v>
      </c>
      <c r="F22" s="37"/>
      <c r="G22" s="70" t="str">
        <f>Inputs!$I$11</f>
        <v>£m 16/17 prices</v>
      </c>
      <c r="H22" s="39"/>
      <c r="I22" s="35"/>
      <c r="J22" s="35"/>
      <c r="K22" s="118">
        <f>Inputs!K35</f>
        <v>0</v>
      </c>
      <c r="L22" s="118">
        <f>Inputs!L35</f>
        <v>0</v>
      </c>
      <c r="M22" s="118">
        <f>Inputs!M35</f>
        <v>0</v>
      </c>
      <c r="N22" s="118">
        <f>Inputs!N35</f>
        <v>0</v>
      </c>
      <c r="O22" s="118">
        <f>Inputs!O35</f>
        <v>0</v>
      </c>
      <c r="P22" s="118">
        <f>Inputs!P35</f>
        <v>0</v>
      </c>
      <c r="Q22" s="118">
        <f>Inputs!Q35</f>
        <v>0</v>
      </c>
      <c r="R22" s="118">
        <f>Inputs!R35</f>
        <v>1.57586067</v>
      </c>
      <c r="S22" s="118">
        <f>Inputs!S35</f>
        <v>54.853572669226772</v>
      </c>
      <c r="T22" s="118">
        <f>Inputs!T35</f>
        <v>114.31242954388328</v>
      </c>
      <c r="U22" s="118">
        <f>Inputs!U35</f>
        <v>106.71929051018915</v>
      </c>
      <c r="V22" s="118">
        <f>Inputs!V35</f>
        <v>32.987182709485303</v>
      </c>
      <c r="W22" s="118">
        <f>Inputs!W35</f>
        <v>10.08594060980116</v>
      </c>
      <c r="X22" s="118">
        <f>Inputs!X35</f>
        <v>0</v>
      </c>
      <c r="Y22" s="118">
        <f>Inputs!Y35</f>
        <v>0</v>
      </c>
      <c r="Z22" s="118">
        <f>Inputs!Z35</f>
        <v>0</v>
      </c>
      <c r="AA22" s="118">
        <f>Inputs!AA35</f>
        <v>0</v>
      </c>
      <c r="AB22" s="118">
        <f>Inputs!AB35</f>
        <v>0</v>
      </c>
      <c r="AC22" s="118">
        <f>Inputs!AC35</f>
        <v>0</v>
      </c>
      <c r="AD22" s="118">
        <f>Inputs!AD35</f>
        <v>0</v>
      </c>
      <c r="AE22" s="118">
        <f>Inputs!AE35</f>
        <v>0</v>
      </c>
      <c r="AF22" s="118">
        <f>Inputs!AF35</f>
        <v>0</v>
      </c>
      <c r="AG22" s="118">
        <f>Inputs!AG35</f>
        <v>0</v>
      </c>
      <c r="AH22" s="118">
        <f>Inputs!AH35</f>
        <v>0</v>
      </c>
      <c r="AI22" s="118">
        <f>Inputs!AI35</f>
        <v>0</v>
      </c>
      <c r="AJ22" s="118">
        <f>Inputs!AJ35</f>
        <v>0</v>
      </c>
      <c r="AK22" s="118">
        <f>Inputs!AK35</f>
        <v>0</v>
      </c>
      <c r="AL22" s="118">
        <f>Inputs!AL35</f>
        <v>0</v>
      </c>
      <c r="AM22" s="118">
        <f>Inputs!AM35</f>
        <v>0</v>
      </c>
      <c r="AN22" s="118">
        <f>Inputs!AN35</f>
        <v>0</v>
      </c>
      <c r="AO22" s="118">
        <f>Inputs!AO35</f>
        <v>0</v>
      </c>
      <c r="AP22" s="118">
        <f>Inputs!AP35</f>
        <v>0</v>
      </c>
      <c r="AQ22" s="118">
        <f>Inputs!AQ35</f>
        <v>0</v>
      </c>
      <c r="AR22" s="118">
        <f>Inputs!AR35</f>
        <v>0</v>
      </c>
      <c r="AS22" s="118">
        <f>Inputs!AS35</f>
        <v>0</v>
      </c>
      <c r="AT22" s="118">
        <f>Inputs!AT35</f>
        <v>0</v>
      </c>
      <c r="AU22" s="118">
        <f>Inputs!AU35</f>
        <v>0</v>
      </c>
      <c r="AV22" s="118">
        <f>Inputs!AV35</f>
        <v>0</v>
      </c>
      <c r="AW22" s="118">
        <f>Inputs!AW35</f>
        <v>0</v>
      </c>
      <c r="AX22" s="118">
        <f>Inputs!AX35</f>
        <v>0</v>
      </c>
    </row>
    <row r="23" spans="1:50" ht="15" customHeight="1">
      <c r="A23"/>
      <c r="B23" s="34"/>
      <c r="C23" s="34"/>
      <c r="D23" s="64"/>
      <c r="E23" s="9" t="s">
        <v>72</v>
      </c>
      <c r="F23" s="37"/>
      <c r="G23" s="70" t="str">
        <f>Inputs!$I$11</f>
        <v>£m 16/17 prices</v>
      </c>
      <c r="H23" s="39"/>
      <c r="I23" s="35"/>
      <c r="J23" s="35"/>
      <c r="K23" s="118">
        <f>Inputs!K36</f>
        <v>0</v>
      </c>
      <c r="L23" s="118">
        <f>Inputs!L36</f>
        <v>0</v>
      </c>
      <c r="M23" s="118">
        <f>Inputs!M36</f>
        <v>0</v>
      </c>
      <c r="N23" s="118">
        <f>Inputs!N36</f>
        <v>0</v>
      </c>
      <c r="O23" s="118">
        <f>Inputs!O36</f>
        <v>0</v>
      </c>
      <c r="P23" s="118">
        <f>Inputs!P36</f>
        <v>0</v>
      </c>
      <c r="Q23" s="118">
        <f>Inputs!Q36</f>
        <v>0</v>
      </c>
      <c r="R23" s="118">
        <f>Inputs!R36</f>
        <v>0</v>
      </c>
      <c r="S23" s="118">
        <f>Inputs!S36</f>
        <v>0.1899266990698921</v>
      </c>
      <c r="T23" s="118">
        <f>Inputs!T36</f>
        <v>0.66287836708739145</v>
      </c>
      <c r="U23" s="118">
        <f>Inputs!U36</f>
        <v>2.2236421376993003</v>
      </c>
      <c r="V23" s="118">
        <f>Inputs!V36</f>
        <v>0.4145605527912557</v>
      </c>
      <c r="W23" s="118">
        <f>Inputs!W36</f>
        <v>1.2444366143667782</v>
      </c>
      <c r="X23" s="118">
        <f>Inputs!X36</f>
        <v>0</v>
      </c>
      <c r="Y23" s="118">
        <f>Inputs!Y36</f>
        <v>0</v>
      </c>
      <c r="Z23" s="118">
        <f>Inputs!Z36</f>
        <v>0</v>
      </c>
      <c r="AA23" s="118">
        <f>Inputs!AA36</f>
        <v>0</v>
      </c>
      <c r="AB23" s="118">
        <f>Inputs!AB36</f>
        <v>0</v>
      </c>
      <c r="AC23" s="118">
        <f>Inputs!AC36</f>
        <v>0</v>
      </c>
      <c r="AD23" s="118">
        <f>Inputs!AD36</f>
        <v>0</v>
      </c>
      <c r="AE23" s="118">
        <f>Inputs!AE36</f>
        <v>0</v>
      </c>
      <c r="AF23" s="118">
        <f>Inputs!AF36</f>
        <v>0</v>
      </c>
      <c r="AG23" s="118">
        <f>Inputs!AG36</f>
        <v>0</v>
      </c>
      <c r="AH23" s="118">
        <f>Inputs!AH36</f>
        <v>0</v>
      </c>
      <c r="AI23" s="118">
        <f>Inputs!AI36</f>
        <v>0</v>
      </c>
      <c r="AJ23" s="118">
        <f>Inputs!AJ36</f>
        <v>0</v>
      </c>
      <c r="AK23" s="118">
        <f>Inputs!AK36</f>
        <v>0</v>
      </c>
      <c r="AL23" s="118">
        <f>Inputs!AL36</f>
        <v>0</v>
      </c>
      <c r="AM23" s="118">
        <f>Inputs!AM36</f>
        <v>0</v>
      </c>
      <c r="AN23" s="118">
        <f>Inputs!AN36</f>
        <v>0</v>
      </c>
      <c r="AO23" s="118">
        <f>Inputs!AO36</f>
        <v>0</v>
      </c>
      <c r="AP23" s="118">
        <f>Inputs!AP36</f>
        <v>0</v>
      </c>
      <c r="AQ23" s="118">
        <f>Inputs!AQ36</f>
        <v>0</v>
      </c>
      <c r="AR23" s="118">
        <f>Inputs!AR36</f>
        <v>0</v>
      </c>
      <c r="AS23" s="118">
        <f>Inputs!AS36</f>
        <v>0</v>
      </c>
      <c r="AT23" s="118">
        <f>Inputs!AT36</f>
        <v>0</v>
      </c>
      <c r="AU23" s="118">
        <f>Inputs!AU36</f>
        <v>0</v>
      </c>
      <c r="AV23" s="118">
        <f>Inputs!AV36</f>
        <v>0</v>
      </c>
      <c r="AW23" s="118">
        <f>Inputs!AW36</f>
        <v>0</v>
      </c>
      <c r="AX23" s="118">
        <f>Inputs!AX36</f>
        <v>0</v>
      </c>
    </row>
    <row r="24" spans="1:50" s="271" customFormat="1" ht="15" customHeight="1">
      <c r="B24" s="70"/>
      <c r="C24" s="70"/>
      <c r="D24" s="70"/>
      <c r="E24" s="71" t="s">
        <v>171</v>
      </c>
      <c r="F24" s="70"/>
      <c r="G24" s="70" t="str">
        <f>Inputs!$I$11</f>
        <v>£m 16/17 prices</v>
      </c>
      <c r="H24" s="70"/>
      <c r="I24" s="283"/>
      <c r="J24" s="283"/>
      <c r="K24" s="284">
        <f>((1+$I18)^K8-1)*(K20+(K21+K22+K23)/(2+$I18))</f>
        <v>0</v>
      </c>
      <c r="L24" s="284">
        <f t="shared" ref="L24:U24" si="10">((1+$I18)^L8-1)*(L20+(L21+L22+L23)/(2+$I18))</f>
        <v>1.6393719434880257E-3</v>
      </c>
      <c r="M24" s="284">
        <f t="shared" si="10"/>
        <v>1.2919533572303646E-2</v>
      </c>
      <c r="N24" s="284">
        <f t="shared" si="10"/>
        <v>4.8731308131995117E-2</v>
      </c>
      <c r="O24" s="284">
        <f t="shared" si="10"/>
        <v>0.11735183780532464</v>
      </c>
      <c r="P24" s="284">
        <f t="shared" si="10"/>
        <v>0.23015220197123862</v>
      </c>
      <c r="Q24" s="284">
        <f t="shared" si="10"/>
        <v>0.4409165884003165</v>
      </c>
      <c r="R24" s="284">
        <f t="shared" si="10"/>
        <v>0.72954084315598511</v>
      </c>
      <c r="S24" s="284">
        <f t="shared" si="10"/>
        <v>2.7069534926312731</v>
      </c>
      <c r="T24" s="284">
        <f t="shared" si="10"/>
        <v>8.5617702828142725</v>
      </c>
      <c r="U24" s="284">
        <f t="shared" si="10"/>
        <v>16.703577314699796</v>
      </c>
      <c r="V24" s="284">
        <f t="shared" ref="V24" si="11">((1+$I18)^V8-1)*(V20+(V21+V22+V23)/(2+$I18))</f>
        <v>18.309207484297168</v>
      </c>
      <c r="W24" s="284">
        <f t="shared" ref="W24" si="12">((1+$I18)^W8-1)*(W20+(W21+W22+W23)/(2+$I18))</f>
        <v>0</v>
      </c>
      <c r="X24" s="284">
        <f t="shared" ref="X24" si="13">((1+$I18)^X8-1)*(X20+(X21+X22+X23)/(2+$I18))</f>
        <v>0</v>
      </c>
      <c r="Y24" s="284">
        <f t="shared" ref="Y24" si="14">((1+$I18)^Y8-1)*(Y20+(Y21+Y22+Y23)/(2+$I18))</f>
        <v>0</v>
      </c>
      <c r="Z24" s="284">
        <f t="shared" ref="Z24" si="15">((1+$I18)^Z8-1)*(Z20+(Z21+Z22+Z23)/(2+$I18))</f>
        <v>0</v>
      </c>
      <c r="AA24" s="284">
        <f t="shared" ref="AA24" si="16">((1+$I18)^AA8-1)*(AA20+(AA21+AA22+AA23)/(2+$I18))</f>
        <v>0</v>
      </c>
      <c r="AB24" s="284">
        <f t="shared" ref="AB24" si="17">((1+$I18)^AB8-1)*(AB20+(AB21+AB22+AB23)/(2+$I18))</f>
        <v>0</v>
      </c>
      <c r="AC24" s="284">
        <f t="shared" ref="AC24" si="18">((1+$I18)^AC8-1)*(AC20+(AC21+AC22+AC23)/(2+$I18))</f>
        <v>0</v>
      </c>
      <c r="AD24" s="284">
        <f t="shared" ref="AD24" si="19">((1+$I18)^AD8-1)*(AD20+(AD21+AD22+AD23)/(2+$I18))</f>
        <v>0</v>
      </c>
      <c r="AE24" s="284">
        <f t="shared" ref="AE24" si="20">((1+$I18)^AE8-1)*(AE20+(AE21+AE22+AE23)/(2+$I18))</f>
        <v>0</v>
      </c>
      <c r="AF24" s="284">
        <f t="shared" ref="AF24" si="21">((1+$I18)^AF8-1)*(AF20+(AF21+AF22+AF23)/(2+$I18))</f>
        <v>0</v>
      </c>
      <c r="AG24" s="284">
        <f t="shared" ref="AG24" si="22">((1+$I18)^AG8-1)*(AG20+(AG21+AG22+AG23)/(2+$I18))</f>
        <v>0</v>
      </c>
      <c r="AH24" s="284">
        <f t="shared" ref="AH24" si="23">((1+$I18)^AH8-1)*(AH20+(AH21+AH22+AH23)/(2+$I18))</f>
        <v>0</v>
      </c>
      <c r="AI24" s="284">
        <f t="shared" ref="AI24" si="24">((1+$I18)^AI8-1)*(AI20+(AI21+AI22+AI23)/(2+$I18))</f>
        <v>0</v>
      </c>
      <c r="AJ24" s="284">
        <f t="shared" ref="AJ24" si="25">((1+$I18)^AJ8-1)*(AJ20+(AJ21+AJ22+AJ23)/(2+$I18))</f>
        <v>0</v>
      </c>
      <c r="AK24" s="284">
        <f t="shared" ref="AK24" si="26">((1+$I18)^AK8-1)*(AK20+(AK21+AK22+AK23)/(2+$I18))</f>
        <v>0</v>
      </c>
      <c r="AL24" s="284">
        <f t="shared" ref="AL24" si="27">((1+$I18)^AL8-1)*(AL20+(AL21+AL22+AL23)/(2+$I18))</f>
        <v>0</v>
      </c>
      <c r="AM24" s="284">
        <f t="shared" ref="AM24" si="28">((1+$I18)^AM8-1)*(AM20+(AM21+AM22+AM23)/(2+$I18))</f>
        <v>0</v>
      </c>
      <c r="AN24" s="284">
        <f t="shared" ref="AN24" si="29">((1+$I18)^AN8-1)*(AN20+(AN21+AN22+AN23)/(2+$I18))</f>
        <v>0</v>
      </c>
      <c r="AO24" s="284">
        <f t="shared" ref="AO24" si="30">((1+$I18)^AO8-1)*(AO20+(AO21+AO22+AO23)/(2+$I18))</f>
        <v>0</v>
      </c>
      <c r="AP24" s="284">
        <f t="shared" ref="AP24" si="31">((1+$I18)^AP8-1)*(AP20+(AP21+AP22+AP23)/(2+$I18))</f>
        <v>0</v>
      </c>
      <c r="AQ24" s="284">
        <f t="shared" ref="AQ24" si="32">((1+$I18)^AQ8-1)*(AQ20+(AQ21+AQ22+AQ23)/(2+$I18))</f>
        <v>0</v>
      </c>
      <c r="AR24" s="284">
        <f t="shared" ref="AR24" si="33">((1+$I18)^AR8-1)*(AR20+(AR21+AR22+AR23)/(2+$I18))</f>
        <v>0</v>
      </c>
      <c r="AS24" s="284">
        <f t="shared" ref="AS24" si="34">((1+$I18)^AS8-1)*(AS20+(AS21+AS22+AS23)/(2+$I18))</f>
        <v>0</v>
      </c>
      <c r="AT24" s="284">
        <f t="shared" ref="AT24" si="35">((1+$I18)^AT8-1)*(AT20+(AT21+AT22+AT23)/(2+$I18))</f>
        <v>0</v>
      </c>
      <c r="AU24" s="284">
        <f t="shared" ref="AU24" si="36">((1+$I18)^AU8-1)*(AU20+(AU21+AU22+AU23)/(2+$I18))</f>
        <v>0</v>
      </c>
      <c r="AV24" s="284">
        <f t="shared" ref="AV24" si="37">((1+$I18)^AV8-1)*(AV20+(AV21+AV22+AV23)/(2+$I18))</f>
        <v>0</v>
      </c>
      <c r="AW24" s="284">
        <f t="shared" ref="AW24" si="38">((1+$I18)^AW8-1)*(AW20+(AW21+AW22+AW23)/(2+$I18))</f>
        <v>0</v>
      </c>
      <c r="AX24" s="284">
        <f t="shared" ref="AX24" si="39">((1+$I18)^AX8-1)*(AX20+(AX21+AX22+AX23)/(2+$I18))</f>
        <v>0</v>
      </c>
    </row>
    <row r="25" spans="1:50" ht="15" customHeight="1">
      <c r="A25" s="90"/>
      <c r="B25" s="90"/>
      <c r="C25" s="90"/>
      <c r="D25" s="90"/>
      <c r="E25" s="90"/>
      <c r="F25" s="90"/>
      <c r="G25" s="90"/>
      <c r="H25" s="90"/>
      <c r="I25" s="6"/>
      <c r="J25" s="6"/>
      <c r="K25" s="6"/>
      <c r="L25" s="6"/>
      <c r="M25" s="6"/>
      <c r="N25" s="6"/>
      <c r="O25" s="6"/>
      <c r="P25" s="6"/>
      <c r="Q25" s="6"/>
      <c r="R25" s="6"/>
      <c r="S25" s="90"/>
      <c r="T25" s="90"/>
      <c r="U25" s="90"/>
      <c r="V25" s="90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</row>
    <row r="26" spans="1:50" ht="15" customHeight="1">
      <c r="A26" s="90"/>
      <c r="B26" s="188" t="s">
        <v>0</v>
      </c>
      <c r="C26" s="72"/>
      <c r="D26" s="72"/>
      <c r="E26" s="72"/>
      <c r="F26" s="72"/>
      <c r="G26" s="72"/>
      <c r="H26" s="72"/>
      <c r="I26" s="115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</row>
    <row r="27" spans="1:50" ht="15" customHeight="1">
      <c r="A27" s="90"/>
      <c r="B27" s="90"/>
      <c r="C27" s="90"/>
      <c r="D27" s="90"/>
      <c r="E27" s="90"/>
      <c r="F27" s="90"/>
      <c r="G27" s="90"/>
      <c r="H27" s="90"/>
      <c r="I27" s="29"/>
      <c r="J27" s="6"/>
      <c r="K27" s="6"/>
      <c r="L27" s="6"/>
      <c r="M27" s="6"/>
      <c r="N27" s="6"/>
      <c r="O27" s="6"/>
      <c r="P27" s="6"/>
      <c r="Q27" s="6"/>
      <c r="R27" s="6"/>
      <c r="S27" s="90"/>
      <c r="T27" s="90"/>
      <c r="U27" s="90"/>
      <c r="V27" s="90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</row>
    <row r="28" spans="1:50" ht="15" customHeight="1">
      <c r="A28" s="90"/>
      <c r="B28" s="90"/>
      <c r="C28" s="13" t="s">
        <v>233</v>
      </c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</row>
    <row r="29" spans="1:50" ht="15" customHeight="1">
      <c r="A29" s="83"/>
      <c r="B29" s="83"/>
      <c r="C29" s="83"/>
      <c r="D29" s="83"/>
      <c r="E29" s="71"/>
      <c r="F29" s="83"/>
      <c r="G29" s="71"/>
      <c r="H29" s="83"/>
      <c r="I29" s="71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</row>
    <row r="30" spans="1:50" ht="15" customHeight="1">
      <c r="A30" s="83"/>
      <c r="B30" s="83"/>
      <c r="C30" s="83"/>
      <c r="D30" s="83"/>
      <c r="E30" s="71" t="s">
        <v>69</v>
      </c>
      <c r="F30" s="83"/>
      <c r="G30" s="71" t="str">
        <f>Inputs!G73</f>
        <v>%</v>
      </c>
      <c r="H30" s="83"/>
      <c r="I30" s="71">
        <f>Inputs!I73</f>
        <v>0.40610000000000002</v>
      </c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</row>
    <row r="31" spans="1:50" ht="15" customHeight="1">
      <c r="A31" s="83"/>
      <c r="B31" s="83"/>
      <c r="C31" s="83"/>
      <c r="D31" s="83"/>
      <c r="E31" s="71" t="s">
        <v>12</v>
      </c>
      <c r="F31" s="83"/>
      <c r="G31" s="71" t="str">
        <f>Inputs!G74</f>
        <v>%</v>
      </c>
      <c r="H31" s="83"/>
      <c r="I31" s="71">
        <f>Inputs!I74</f>
        <v>0.5</v>
      </c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</row>
    <row r="32" spans="1:50" ht="15" customHeight="1">
      <c r="A32" s="83"/>
      <c r="B32" s="83"/>
      <c r="C32" s="83"/>
      <c r="D32" s="83"/>
      <c r="E32" s="73"/>
      <c r="F32" s="83"/>
      <c r="G32" s="90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</row>
    <row r="33" spans="1:50" ht="15" customHeight="1">
      <c r="A33" s="83"/>
      <c r="B33" s="83"/>
      <c r="C33" s="83"/>
      <c r="D33" s="83"/>
      <c r="E33" s="20" t="s">
        <v>18</v>
      </c>
      <c r="F33" s="83"/>
      <c r="G33" s="20" t="str">
        <f>Inputs!G77</f>
        <v>%</v>
      </c>
      <c r="H33" s="83"/>
      <c r="I33" s="20">
        <f>Inputs!I77</f>
        <v>2.5000000000000001E-2</v>
      </c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</row>
    <row r="34" spans="1:50" ht="15" customHeight="1">
      <c r="A34" s="83"/>
      <c r="B34" s="83"/>
      <c r="C34" s="83"/>
      <c r="D34" s="83"/>
      <c r="E34" s="20" t="s">
        <v>17</v>
      </c>
      <c r="F34" s="83"/>
      <c r="G34" s="20" t="str">
        <f>Inputs!G76</f>
        <v>%</v>
      </c>
      <c r="H34" s="83"/>
      <c r="I34" s="20">
        <f>Inputs!I76</f>
        <v>0.05</v>
      </c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</row>
    <row r="35" spans="1:50" ht="15" customHeight="1">
      <c r="A35" s="83"/>
      <c r="B35" s="83"/>
      <c r="C35" s="83"/>
      <c r="D35" s="83"/>
      <c r="E35" s="20"/>
      <c r="F35" s="83"/>
      <c r="G35" s="20"/>
      <c r="H35" s="83"/>
      <c r="I35" s="20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</row>
    <row r="36" spans="1:50" ht="15" customHeight="1">
      <c r="A36" s="90"/>
      <c r="B36" s="90"/>
      <c r="C36" s="13" t="s">
        <v>71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</row>
    <row r="37" spans="1:50" ht="15" customHeight="1">
      <c r="A37" s="70"/>
      <c r="B37" s="70"/>
      <c r="C37" s="70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</row>
    <row r="38" spans="1:50" ht="15" customHeight="1">
      <c r="A38"/>
      <c r="B38" s="90"/>
      <c r="C38" s="90"/>
      <c r="D38" s="90"/>
      <c r="E38" s="90" t="s">
        <v>78</v>
      </c>
      <c r="F38" s="90"/>
      <c r="G38" s="70" t="str">
        <f>Inputs!$I$11</f>
        <v>£m 16/17 prices</v>
      </c>
      <c r="H38" s="90"/>
      <c r="I38" s="29"/>
      <c r="J38" s="6"/>
      <c r="K38" s="170">
        <f t="shared" ref="K38:AT38" si="40">J46</f>
        <v>0</v>
      </c>
      <c r="L38" s="170">
        <f t="shared" si="40"/>
        <v>0</v>
      </c>
      <c r="M38" s="170">
        <f t="shared" si="40"/>
        <v>0</v>
      </c>
      <c r="N38" s="170">
        <f t="shared" si="40"/>
        <v>0</v>
      </c>
      <c r="O38" s="170">
        <f t="shared" si="40"/>
        <v>0</v>
      </c>
      <c r="P38" s="170">
        <f t="shared" si="40"/>
        <v>0</v>
      </c>
      <c r="Q38" s="170">
        <f t="shared" si="40"/>
        <v>0</v>
      </c>
      <c r="R38" s="170">
        <f t="shared" si="40"/>
        <v>15.778584328786852</v>
      </c>
      <c r="S38" s="170">
        <f t="shared" si="40"/>
        <v>16.843638770979965</v>
      </c>
      <c r="T38" s="170">
        <f t="shared" si="40"/>
        <v>17.980584388021111</v>
      </c>
      <c r="U38" s="170">
        <f t="shared" si="40"/>
        <v>19.194273834212535</v>
      </c>
      <c r="V38" s="170">
        <f t="shared" si="40"/>
        <v>20.489887318021879</v>
      </c>
      <c r="W38" s="170">
        <f t="shared" si="40"/>
        <v>21.604526772493443</v>
      </c>
      <c r="X38" s="170">
        <f t="shared" si="40"/>
        <v>0</v>
      </c>
      <c r="Y38" s="170">
        <f t="shared" si="40"/>
        <v>0</v>
      </c>
      <c r="Z38" s="170">
        <f t="shared" si="40"/>
        <v>0</v>
      </c>
      <c r="AA38" s="170">
        <f t="shared" si="40"/>
        <v>0</v>
      </c>
      <c r="AB38" s="170">
        <f t="shared" si="40"/>
        <v>0</v>
      </c>
      <c r="AC38" s="170">
        <f t="shared" si="40"/>
        <v>0</v>
      </c>
      <c r="AD38" s="170">
        <f t="shared" si="40"/>
        <v>0</v>
      </c>
      <c r="AE38" s="170">
        <f t="shared" si="40"/>
        <v>0</v>
      </c>
      <c r="AF38" s="170">
        <f t="shared" si="40"/>
        <v>0</v>
      </c>
      <c r="AG38" s="170">
        <f t="shared" si="40"/>
        <v>0</v>
      </c>
      <c r="AH38" s="170">
        <f t="shared" si="40"/>
        <v>0</v>
      </c>
      <c r="AI38" s="170">
        <f t="shared" si="40"/>
        <v>0</v>
      </c>
      <c r="AJ38" s="170">
        <f t="shared" si="40"/>
        <v>0</v>
      </c>
      <c r="AK38" s="170">
        <f t="shared" si="40"/>
        <v>0</v>
      </c>
      <c r="AL38" s="170">
        <f t="shared" si="40"/>
        <v>0</v>
      </c>
      <c r="AM38" s="170">
        <f t="shared" si="40"/>
        <v>0</v>
      </c>
      <c r="AN38" s="170">
        <f t="shared" si="40"/>
        <v>0</v>
      </c>
      <c r="AO38" s="170">
        <f t="shared" si="40"/>
        <v>0</v>
      </c>
      <c r="AP38" s="170">
        <f t="shared" si="40"/>
        <v>0</v>
      </c>
      <c r="AQ38" s="170">
        <f t="shared" si="40"/>
        <v>0</v>
      </c>
      <c r="AR38" s="170">
        <f t="shared" si="40"/>
        <v>0</v>
      </c>
      <c r="AS38" s="170">
        <f t="shared" si="40"/>
        <v>0</v>
      </c>
      <c r="AT38" s="170">
        <f t="shared" si="40"/>
        <v>0</v>
      </c>
      <c r="AU38" s="170">
        <f t="shared" ref="AU38" si="41">AT46</f>
        <v>0</v>
      </c>
      <c r="AV38" s="170">
        <f t="shared" ref="AV38" si="42">AU46</f>
        <v>0</v>
      </c>
      <c r="AW38" s="170">
        <f t="shared" ref="AW38" si="43">AV46</f>
        <v>0</v>
      </c>
      <c r="AX38" s="170">
        <f t="shared" ref="AX38" si="44">AW46</f>
        <v>0</v>
      </c>
    </row>
    <row r="39" spans="1:50" ht="15" customHeight="1">
      <c r="A39"/>
      <c r="B39" s="90"/>
      <c r="C39" s="90"/>
      <c r="D39" s="90"/>
      <c r="E39" s="90" t="s">
        <v>172</v>
      </c>
      <c r="F39" s="90"/>
      <c r="G39" s="70" t="str">
        <f>Inputs!$I$11</f>
        <v>£m 16/17 prices</v>
      </c>
      <c r="H39" s="90"/>
      <c r="I39" s="29"/>
      <c r="J39" s="6"/>
      <c r="K39" s="121">
        <f>$I30*K$12*$I33*'Op Rav'!$K$11</f>
        <v>0</v>
      </c>
      <c r="L39" s="121">
        <f>$I30*L$12*$I33*'Op Rav'!$K$11</f>
        <v>0</v>
      </c>
      <c r="M39" s="121">
        <f>$I30*M$12*$I33*'Op Rav'!$K$11</f>
        <v>0</v>
      </c>
      <c r="N39" s="121">
        <f>$I30*N$12*$I33*'Op Rav'!$K$11</f>
        <v>0</v>
      </c>
      <c r="O39" s="121">
        <f>$I30*O$12*$I33*'Op Rav'!$K$11</f>
        <v>0</v>
      </c>
      <c r="P39" s="121">
        <f>$I30*P$12*$I33*'Op Rav'!$K$11</f>
        <v>0</v>
      </c>
      <c r="Q39" s="121">
        <f>$I30*Q$12*$I33*'Op Rav'!$K$11</f>
        <v>3.8930285885945164</v>
      </c>
      <c r="R39" s="121">
        <f>$I30*R$12*$I33*'Op Rav'!$K$11</f>
        <v>0</v>
      </c>
      <c r="S39" s="121">
        <f>$I30*S$12*$I33*'Op Rav'!$K$11</f>
        <v>0</v>
      </c>
      <c r="T39" s="121">
        <f>$I30*T$12*$I33*'Op Rav'!$K$11</f>
        <v>0</v>
      </c>
      <c r="U39" s="121">
        <f>$I30*U$12*$I33*'Op Rav'!$K$11</f>
        <v>0</v>
      </c>
      <c r="V39" s="121">
        <f>$I30*V$12*$I33*'Op Rav'!$K$11</f>
        <v>0</v>
      </c>
      <c r="W39" s="121">
        <f>$I30*W$12*$I33*'Op Rav'!$K$11</f>
        <v>0</v>
      </c>
      <c r="X39" s="121">
        <f>$I30*X$12*$I33*'Op Rav'!$K$11</f>
        <v>0</v>
      </c>
      <c r="Y39" s="121">
        <f>$I30*Y$12*$I33*'Op Rav'!$K$11</f>
        <v>0</v>
      </c>
      <c r="Z39" s="121">
        <f>$I30*Z$12*$I33*'Op Rav'!$K$11</f>
        <v>0</v>
      </c>
      <c r="AA39" s="121">
        <f>$I30*AA$12*$I33*'Op Rav'!$K$11</f>
        <v>0</v>
      </c>
      <c r="AB39" s="121">
        <f>$I30*AB$12*$I33*'Op Rav'!$K$11</f>
        <v>0</v>
      </c>
      <c r="AC39" s="121">
        <f>$I30*AC$12*$I33*'Op Rav'!$K$11</f>
        <v>0</v>
      </c>
      <c r="AD39" s="121">
        <f>$I30*AD$12*$I33*'Op Rav'!$K$11</f>
        <v>0</v>
      </c>
      <c r="AE39" s="121">
        <f>$I30*AE$12*$I33*'Op Rav'!$K$11</f>
        <v>0</v>
      </c>
      <c r="AF39" s="121">
        <f>$I30*AF$12*$I33*'Op Rav'!$K$11</f>
        <v>0</v>
      </c>
      <c r="AG39" s="121">
        <f>$I30*AG$12*$I33*'Op Rav'!$K$11</f>
        <v>0</v>
      </c>
      <c r="AH39" s="121">
        <f>$I30*AH$12*$I33*'Op Rav'!$K$11</f>
        <v>0</v>
      </c>
      <c r="AI39" s="121">
        <f>$I30*AI$12*$I33*'Op Rav'!$K$11</f>
        <v>0</v>
      </c>
      <c r="AJ39" s="121">
        <f>$I30*AJ$12*$I33*'Op Rav'!$K$11</f>
        <v>0</v>
      </c>
      <c r="AK39" s="121">
        <f>$I30*AK$12*$I33*'Op Rav'!$K$11</f>
        <v>0</v>
      </c>
      <c r="AL39" s="121">
        <f>$I30*AL$12*$I33*'Op Rav'!$K$11</f>
        <v>0</v>
      </c>
      <c r="AM39" s="121">
        <f>$I30*AM$12*$I33*'Op Rav'!$K$11</f>
        <v>0</v>
      </c>
      <c r="AN39" s="121">
        <f>$I30*AN$12*$I33*'Op Rav'!$K$11</f>
        <v>0</v>
      </c>
      <c r="AO39" s="121">
        <f>$I30*AO$12*$I33*'Op Rav'!$K$11</f>
        <v>0</v>
      </c>
      <c r="AP39" s="121">
        <f>$I30*AP$12*$I33*'Op Rav'!$K$11</f>
        <v>0</v>
      </c>
      <c r="AQ39" s="121">
        <f>$I30*AQ$12*$I33*'Op Rav'!$K$11</f>
        <v>0</v>
      </c>
      <c r="AR39" s="121">
        <f>$I30*AR$12*$I33*'Op Rav'!$K$11</f>
        <v>0</v>
      </c>
      <c r="AS39" s="121">
        <f>$I30*AS$12*$I33*'Op Rav'!$K$11</f>
        <v>0</v>
      </c>
      <c r="AT39" s="121">
        <f>$I30*AT$12*$I33*'Op Rav'!$K$11</f>
        <v>0</v>
      </c>
      <c r="AU39" s="121">
        <f>$I30*AU$12*$I33*'Op Rav'!$K$11</f>
        <v>0</v>
      </c>
      <c r="AV39" s="121">
        <f>$I30*AV$12*$I33*'Op Rav'!$K$11</f>
        <v>0</v>
      </c>
      <c r="AW39" s="121">
        <f>$I30*AW$12*$I33*'Op Rav'!$K$11</f>
        <v>0</v>
      </c>
      <c r="AX39" s="121">
        <f>$I30*AX$12*$I33*'Op Rav'!$K$11</f>
        <v>0</v>
      </c>
    </row>
    <row r="40" spans="1:50" ht="15" customHeight="1">
      <c r="A40"/>
      <c r="B40" s="90"/>
      <c r="C40" s="90"/>
      <c r="D40" s="90"/>
      <c r="E40" s="90" t="s">
        <v>173</v>
      </c>
      <c r="F40" s="90"/>
      <c r="G40" s="70" t="str">
        <f>Inputs!$I$11</f>
        <v>£m 16/17 prices</v>
      </c>
      <c r="H40" s="90"/>
      <c r="I40" s="29"/>
      <c r="J40" s="6"/>
      <c r="K40" s="121">
        <f>(1-$I30)*K$12*$I34*'Op Rav'!$K$11</f>
        <v>0</v>
      </c>
      <c r="L40" s="121">
        <f>(1-$I30)*L$12*$I34*'Op Rav'!$K$11</f>
        <v>0</v>
      </c>
      <c r="M40" s="121">
        <f>(1-$I30)*M$12*$I34*'Op Rav'!$K$11</f>
        <v>0</v>
      </c>
      <c r="N40" s="121">
        <f>(1-$I30)*N$12*$I34*'Op Rav'!$K$11</f>
        <v>0</v>
      </c>
      <c r="O40" s="121">
        <f>(1-$I30)*O$12*$I34*'Op Rav'!$K$11</f>
        <v>0</v>
      </c>
      <c r="P40" s="121">
        <f>(1-$I30)*P$12*$I34*'Op Rav'!$K$11</f>
        <v>0</v>
      </c>
      <c r="Q40" s="121">
        <f>(1-$I30)*Q$12*$I34*'Op Rav'!$K$11</f>
        <v>11.386701200523431</v>
      </c>
      <c r="R40" s="121">
        <f>(1-$I30)*R$12*$I34*'Op Rav'!$K$11</f>
        <v>0</v>
      </c>
      <c r="S40" s="121">
        <f>(1-$I30)*S$12*$I34*'Op Rav'!$K$11</f>
        <v>0</v>
      </c>
      <c r="T40" s="121">
        <f>(1-$I30)*T$12*$I34*'Op Rav'!$K$11</f>
        <v>0</v>
      </c>
      <c r="U40" s="121">
        <f>(1-$I30)*U$12*$I34*'Op Rav'!$K$11</f>
        <v>0</v>
      </c>
      <c r="V40" s="121">
        <f>(1-$I30)*V$12*$I34*'Op Rav'!$K$11</f>
        <v>0</v>
      </c>
      <c r="W40" s="121">
        <f>(1-$I30)*W$12*$I34*'Op Rav'!$K$11</f>
        <v>0</v>
      </c>
      <c r="X40" s="121">
        <f>(1-$I30)*X$12*$I34*'Op Rav'!$K$11</f>
        <v>0</v>
      </c>
      <c r="Y40" s="121">
        <f>(1-$I30)*Y$12*$I34*'Op Rav'!$K$11</f>
        <v>0</v>
      </c>
      <c r="Z40" s="121">
        <f>(1-$I30)*Z$12*$I34*'Op Rav'!$K$11</f>
        <v>0</v>
      </c>
      <c r="AA40" s="121">
        <f>(1-$I30)*AA$12*$I34*'Op Rav'!$K$11</f>
        <v>0</v>
      </c>
      <c r="AB40" s="121">
        <f>(1-$I30)*AB$12*$I34*'Op Rav'!$K$11</f>
        <v>0</v>
      </c>
      <c r="AC40" s="121">
        <f>(1-$I30)*AC$12*$I34*'Op Rav'!$K$11</f>
        <v>0</v>
      </c>
      <c r="AD40" s="121">
        <f>(1-$I30)*AD$12*$I34*'Op Rav'!$K$11</f>
        <v>0</v>
      </c>
      <c r="AE40" s="121">
        <f>(1-$I30)*AE$12*$I34*'Op Rav'!$K$11</f>
        <v>0</v>
      </c>
      <c r="AF40" s="121">
        <f>(1-$I30)*AF$12*$I34*'Op Rav'!$K$11</f>
        <v>0</v>
      </c>
      <c r="AG40" s="121">
        <f>(1-$I30)*AG$12*$I34*'Op Rav'!$K$11</f>
        <v>0</v>
      </c>
      <c r="AH40" s="121">
        <f>(1-$I30)*AH$12*$I34*'Op Rav'!$K$11</f>
        <v>0</v>
      </c>
      <c r="AI40" s="121">
        <f>(1-$I30)*AI$12*$I34*'Op Rav'!$K$11</f>
        <v>0</v>
      </c>
      <c r="AJ40" s="121">
        <f>(1-$I30)*AJ$12*$I34*'Op Rav'!$K$11</f>
        <v>0</v>
      </c>
      <c r="AK40" s="121">
        <f>(1-$I30)*AK$12*$I34*'Op Rav'!$K$11</f>
        <v>0</v>
      </c>
      <c r="AL40" s="121">
        <f>(1-$I30)*AL$12*$I34*'Op Rav'!$K$11</f>
        <v>0</v>
      </c>
      <c r="AM40" s="121">
        <f>(1-$I30)*AM$12*$I34*'Op Rav'!$K$11</f>
        <v>0</v>
      </c>
      <c r="AN40" s="121">
        <f>(1-$I30)*AN$12*$I34*'Op Rav'!$K$11</f>
        <v>0</v>
      </c>
      <c r="AO40" s="121">
        <f>(1-$I30)*AO$12*$I34*'Op Rav'!$K$11</f>
        <v>0</v>
      </c>
      <c r="AP40" s="121">
        <f>(1-$I30)*AP$12*$I34*'Op Rav'!$K$11</f>
        <v>0</v>
      </c>
      <c r="AQ40" s="121">
        <f>(1-$I30)*AQ$12*$I34*'Op Rav'!$K$11</f>
        <v>0</v>
      </c>
      <c r="AR40" s="121">
        <f>(1-$I30)*AR$12*$I34*'Op Rav'!$K$11</f>
        <v>0</v>
      </c>
      <c r="AS40" s="121">
        <f>(1-$I30)*AS$12*$I34*'Op Rav'!$K$11</f>
        <v>0</v>
      </c>
      <c r="AT40" s="121">
        <f>(1-$I30)*AT$12*$I34*'Op Rav'!$K$11</f>
        <v>0</v>
      </c>
      <c r="AU40" s="121">
        <f>(1-$I30)*AU$12*$I34*'Op Rav'!$K$11</f>
        <v>0</v>
      </c>
      <c r="AV40" s="121">
        <f>(1-$I30)*AV$12*$I34*'Op Rav'!$K$11</f>
        <v>0</v>
      </c>
      <c r="AW40" s="121">
        <f>(1-$I30)*AW$12*$I34*'Op Rav'!$K$11</f>
        <v>0</v>
      </c>
      <c r="AX40" s="121">
        <f>(1-$I30)*AX$12*$I34*'Op Rav'!$K$11</f>
        <v>0</v>
      </c>
    </row>
    <row r="41" spans="1:50" ht="15" customHeight="1">
      <c r="A41"/>
      <c r="B41" s="90"/>
      <c r="C41" s="90"/>
      <c r="D41" s="90"/>
      <c r="E41" s="90" t="s">
        <v>174</v>
      </c>
      <c r="F41" s="90"/>
      <c r="G41" s="70" t="str">
        <f>Inputs!$I$11</f>
        <v>£m 16/17 prices</v>
      </c>
      <c r="H41" s="90"/>
      <c r="I41" s="29"/>
      <c r="J41" s="6"/>
      <c r="K41" s="121">
        <f>($I31-$I30)*'Op Rav'!$K$11*$I33*K$11</f>
        <v>0</v>
      </c>
      <c r="L41" s="121">
        <f>($I31-$I30)*'Op Rav'!$K$11*$I33*L$11</f>
        <v>0</v>
      </c>
      <c r="M41" s="121">
        <f>($I31-$I30)*'Op Rav'!$K$11*$I33*M$11</f>
        <v>0</v>
      </c>
      <c r="N41" s="121">
        <f>($I31-$I30)*'Op Rav'!$K$11*$I33*N$11</f>
        <v>0</v>
      </c>
      <c r="O41" s="121">
        <f>($I31-$I30)*'Op Rav'!$K$11*$I33*O$11</f>
        <v>0</v>
      </c>
      <c r="P41" s="121">
        <f>($I31-$I30)*'Op Rav'!$K$11*$I33*P$11</f>
        <v>0</v>
      </c>
      <c r="Q41" s="121">
        <f>($I31-$I30)*'Op Rav'!$K$11*$I33*Q$11</f>
        <v>0</v>
      </c>
      <c r="R41" s="121">
        <f>($I31-$I30)*'Op Rav'!$K$11*$I33*R$11</f>
        <v>0</v>
      </c>
      <c r="S41" s="121">
        <f>($I31-$I30)*'Op Rav'!$K$11*$I33*S$11</f>
        <v>0</v>
      </c>
      <c r="T41" s="121">
        <f>($I31-$I30)*'Op Rav'!$K$11*$I33*T$11</f>
        <v>0</v>
      </c>
      <c r="U41" s="121">
        <f>($I31-$I30)*'Op Rav'!$K$11*$I33*U$11</f>
        <v>0</v>
      </c>
      <c r="V41" s="121">
        <f>($I31-$I30)*'Op Rav'!$K$11*$I33*V$11</f>
        <v>0</v>
      </c>
      <c r="W41" s="121">
        <f>($I31-$I30)*'Op Rav'!$K$11*$I33*W$11</f>
        <v>0.90016100583360004</v>
      </c>
      <c r="X41" s="121">
        <f>($I31-$I30)*'Op Rav'!$K$11*$I33*X$11</f>
        <v>0</v>
      </c>
      <c r="Y41" s="121">
        <f>($I31-$I30)*'Op Rav'!$K$11*$I33*Y$11</f>
        <v>0</v>
      </c>
      <c r="Z41" s="121">
        <f>($I31-$I30)*'Op Rav'!$K$11*$I33*Z$11</f>
        <v>0</v>
      </c>
      <c r="AA41" s="121">
        <f>($I31-$I30)*'Op Rav'!$K$11*$I33*AA$11</f>
        <v>0</v>
      </c>
      <c r="AB41" s="121">
        <f>($I31-$I30)*'Op Rav'!$K$11*$I33*AB$11</f>
        <v>0</v>
      </c>
      <c r="AC41" s="121">
        <f>($I31-$I30)*'Op Rav'!$K$11*$I33*AC$11</f>
        <v>0</v>
      </c>
      <c r="AD41" s="121">
        <f>($I31-$I30)*'Op Rav'!$K$11*$I33*AD$11</f>
        <v>0</v>
      </c>
      <c r="AE41" s="121">
        <f>($I31-$I30)*'Op Rav'!$K$11*$I33*AE$11</f>
        <v>0</v>
      </c>
      <c r="AF41" s="121">
        <f>($I31-$I30)*'Op Rav'!$K$11*$I33*AF$11</f>
        <v>0</v>
      </c>
      <c r="AG41" s="121">
        <f>($I31-$I30)*'Op Rav'!$K$11*$I33*AG$11</f>
        <v>0</v>
      </c>
      <c r="AH41" s="121">
        <f>($I31-$I30)*'Op Rav'!$K$11*$I33*AH$11</f>
        <v>0</v>
      </c>
      <c r="AI41" s="121">
        <f>($I31-$I30)*'Op Rav'!$K$11*$I33*AI$11</f>
        <v>0</v>
      </c>
      <c r="AJ41" s="121">
        <f>($I31-$I30)*'Op Rav'!$K$11*$I33*AJ$11</f>
        <v>0</v>
      </c>
      <c r="AK41" s="121">
        <f>($I31-$I30)*'Op Rav'!$K$11*$I33*AK$11</f>
        <v>0</v>
      </c>
      <c r="AL41" s="121">
        <f>($I31-$I30)*'Op Rav'!$K$11*$I33*AL$11</f>
        <v>0</v>
      </c>
      <c r="AM41" s="121">
        <f>($I31-$I30)*'Op Rav'!$K$11*$I33*AM$11</f>
        <v>0</v>
      </c>
      <c r="AN41" s="121">
        <f>($I31-$I30)*'Op Rav'!$K$11*$I33*AN$11</f>
        <v>0</v>
      </c>
      <c r="AO41" s="121">
        <f>($I31-$I30)*'Op Rav'!$K$11*$I33*AO$11</f>
        <v>0</v>
      </c>
      <c r="AP41" s="121">
        <f>($I31-$I30)*'Op Rav'!$K$11*$I33*AP$11</f>
        <v>0</v>
      </c>
      <c r="AQ41" s="121">
        <f>($I31-$I30)*'Op Rav'!$K$11*$I33*AQ$11</f>
        <v>0</v>
      </c>
      <c r="AR41" s="121">
        <f>($I31-$I30)*'Op Rav'!$K$11*$I33*AR$11</f>
        <v>0</v>
      </c>
      <c r="AS41" s="121">
        <f>($I31-$I30)*'Op Rav'!$K$11*$I33*AS$11</f>
        <v>0</v>
      </c>
      <c r="AT41" s="121">
        <f>($I31-$I30)*'Op Rav'!$K$11*$I33*AT$11</f>
        <v>0</v>
      </c>
      <c r="AU41" s="121">
        <f>($I31-$I30)*'Op Rav'!$K$11*$I33*AU$11</f>
        <v>0</v>
      </c>
      <c r="AV41" s="121">
        <f>($I31-$I30)*'Op Rav'!$K$11*$I33*AV$11</f>
        <v>0</v>
      </c>
      <c r="AW41" s="121">
        <f>($I31-$I30)*'Op Rav'!$K$11*$I33*AW$11</f>
        <v>0</v>
      </c>
      <c r="AX41" s="121">
        <f>($I31-$I30)*'Op Rav'!$K$11*$I33*AX$11</f>
        <v>0</v>
      </c>
    </row>
    <row r="42" spans="1:50" ht="15" customHeight="1">
      <c r="A42"/>
      <c r="B42" s="90"/>
      <c r="C42" s="90"/>
      <c r="D42" s="90"/>
      <c r="E42" s="90" t="s">
        <v>175</v>
      </c>
      <c r="F42" s="90"/>
      <c r="G42" s="70" t="str">
        <f>Inputs!$I$11</f>
        <v>£m 16/17 prices</v>
      </c>
      <c r="H42" s="90"/>
      <c r="I42" s="29"/>
      <c r="J42" s="6"/>
      <c r="K42" s="121">
        <f>($I30-$I31)*'Op Rav'!$K$11*$I34*K$11</f>
        <v>0</v>
      </c>
      <c r="L42" s="121">
        <f>($I30-$I31)*'Op Rav'!$K$11*$I34*L$11</f>
        <v>0</v>
      </c>
      <c r="M42" s="121">
        <f>($I30-$I31)*'Op Rav'!$K$11*$I34*M$11</f>
        <v>0</v>
      </c>
      <c r="N42" s="121">
        <f>($I30-$I31)*'Op Rav'!$K$11*$I34*N$11</f>
        <v>0</v>
      </c>
      <c r="O42" s="121">
        <f>($I30-$I31)*'Op Rav'!$K$11*$I34*O$11</f>
        <v>0</v>
      </c>
      <c r="P42" s="121">
        <f>($I30-$I31)*'Op Rav'!$K$11*$I34*P$11</f>
        <v>0</v>
      </c>
      <c r="Q42" s="121">
        <f>($I30-$I31)*'Op Rav'!$K$11*$I34*Q$11</f>
        <v>0</v>
      </c>
      <c r="R42" s="121">
        <f>($I30-$I31)*'Op Rav'!$K$11*$I34*R$11</f>
        <v>0</v>
      </c>
      <c r="S42" s="121">
        <f>($I30-$I31)*'Op Rav'!$K$11*$I34*S$11</f>
        <v>0</v>
      </c>
      <c r="T42" s="121">
        <f>($I30-$I31)*'Op Rav'!$K$11*$I34*T$11</f>
        <v>0</v>
      </c>
      <c r="U42" s="121">
        <f>($I30-$I31)*'Op Rav'!$K$11*$I34*U$11</f>
        <v>0</v>
      </c>
      <c r="V42" s="121">
        <f>($I30-$I31)*'Op Rav'!$K$11*$I34*V$11</f>
        <v>0</v>
      </c>
      <c r="W42" s="121">
        <f>($I30-$I31)*'Op Rav'!$K$11*$I34*W$11</f>
        <v>-1.8003220116672001</v>
      </c>
      <c r="X42" s="121">
        <f>($I30-$I31)*'Op Rav'!$K$11*$I34*X$11</f>
        <v>0</v>
      </c>
      <c r="Y42" s="121">
        <f>($I30-$I31)*'Op Rav'!$K$11*$I34*Y$11</f>
        <v>0</v>
      </c>
      <c r="Z42" s="121">
        <f>($I30-$I31)*'Op Rav'!$K$11*$I34*Z$11</f>
        <v>0</v>
      </c>
      <c r="AA42" s="121">
        <f>($I30-$I31)*'Op Rav'!$K$11*$I34*AA$11</f>
        <v>0</v>
      </c>
      <c r="AB42" s="121">
        <f>($I30-$I31)*'Op Rav'!$K$11*$I34*AB$11</f>
        <v>0</v>
      </c>
      <c r="AC42" s="121">
        <f>($I30-$I31)*'Op Rav'!$K$11*$I34*AC$11</f>
        <v>0</v>
      </c>
      <c r="AD42" s="121">
        <f>($I30-$I31)*'Op Rav'!$K$11*$I34*AD$11</f>
        <v>0</v>
      </c>
      <c r="AE42" s="121">
        <f>($I30-$I31)*'Op Rav'!$K$11*$I34*AE$11</f>
        <v>0</v>
      </c>
      <c r="AF42" s="121">
        <f>($I30-$I31)*'Op Rav'!$K$11*$I34*AF$11</f>
        <v>0</v>
      </c>
      <c r="AG42" s="121">
        <f>($I30-$I31)*'Op Rav'!$K$11*$I34*AG$11</f>
        <v>0</v>
      </c>
      <c r="AH42" s="121">
        <f>($I30-$I31)*'Op Rav'!$K$11*$I34*AH$11</f>
        <v>0</v>
      </c>
      <c r="AI42" s="121">
        <f>($I30-$I31)*'Op Rav'!$K$11*$I34*AI$11</f>
        <v>0</v>
      </c>
      <c r="AJ42" s="121">
        <f>($I30-$I31)*'Op Rav'!$K$11*$I34*AJ$11</f>
        <v>0</v>
      </c>
      <c r="AK42" s="121">
        <f>($I30-$I31)*'Op Rav'!$K$11*$I34*AK$11</f>
        <v>0</v>
      </c>
      <c r="AL42" s="121">
        <f>($I30-$I31)*'Op Rav'!$K$11*$I34*AL$11</f>
        <v>0</v>
      </c>
      <c r="AM42" s="121">
        <f>($I30-$I31)*'Op Rav'!$K$11*$I34*AM$11</f>
        <v>0</v>
      </c>
      <c r="AN42" s="121">
        <f>($I30-$I31)*'Op Rav'!$K$11*$I34*AN$11</f>
        <v>0</v>
      </c>
      <c r="AO42" s="121">
        <f>($I30-$I31)*'Op Rav'!$K$11*$I34*AO$11</f>
        <v>0</v>
      </c>
      <c r="AP42" s="121">
        <f>($I30-$I31)*'Op Rav'!$K$11*$I34*AP$11</f>
        <v>0</v>
      </c>
      <c r="AQ42" s="121">
        <f>($I30-$I31)*'Op Rav'!$K$11*$I34*AQ$11</f>
        <v>0</v>
      </c>
      <c r="AR42" s="121">
        <f>($I30-$I31)*'Op Rav'!$K$11*$I34*AR$11</f>
        <v>0</v>
      </c>
      <c r="AS42" s="121">
        <f>($I30-$I31)*'Op Rav'!$K$11*$I34*AS$11</f>
        <v>0</v>
      </c>
      <c r="AT42" s="121">
        <f>($I30-$I31)*'Op Rav'!$K$11*$I34*AT$11</f>
        <v>0</v>
      </c>
      <c r="AU42" s="121">
        <f>($I30-$I31)*'Op Rav'!$K$11*$I34*AU$11</f>
        <v>0</v>
      </c>
      <c r="AV42" s="121">
        <f>($I30-$I31)*'Op Rav'!$K$11*$I34*AV$11</f>
        <v>0</v>
      </c>
      <c r="AW42" s="121">
        <f>($I30-$I31)*'Op Rav'!$K$11*$I34*AW$11</f>
        <v>0</v>
      </c>
      <c r="AX42" s="121">
        <f>($I30-$I31)*'Op Rav'!$K$11*$I34*AX$11</f>
        <v>0</v>
      </c>
    </row>
    <row r="43" spans="1:50" ht="15" customHeight="1">
      <c r="A43"/>
      <c r="B43" s="90"/>
      <c r="C43" s="90"/>
      <c r="D43" s="90"/>
      <c r="E43" s="90" t="s">
        <v>192</v>
      </c>
      <c r="F43" s="90"/>
      <c r="G43" s="70" t="str">
        <f>Inputs!$I$11</f>
        <v>£m 16/17 prices</v>
      </c>
      <c r="H43" s="90"/>
      <c r="I43" s="29"/>
      <c r="J43" s="6"/>
      <c r="K43" s="10">
        <f t="shared" ref="K43:AT43" si="45">SUM(K39:K42)</f>
        <v>0</v>
      </c>
      <c r="L43" s="10">
        <f t="shared" si="45"/>
        <v>0</v>
      </c>
      <c r="M43" s="10">
        <f t="shared" si="45"/>
        <v>0</v>
      </c>
      <c r="N43" s="10">
        <f t="shared" si="45"/>
        <v>0</v>
      </c>
      <c r="O43" s="10">
        <f t="shared" si="45"/>
        <v>0</v>
      </c>
      <c r="P43" s="10">
        <f t="shared" si="45"/>
        <v>0</v>
      </c>
      <c r="Q43" s="10">
        <f t="shared" si="45"/>
        <v>15.279729789117948</v>
      </c>
      <c r="R43" s="10">
        <f>SUM(R39:R42)</f>
        <v>0</v>
      </c>
      <c r="S43" s="10">
        <f t="shared" si="45"/>
        <v>0</v>
      </c>
      <c r="T43" s="10">
        <f t="shared" si="45"/>
        <v>0</v>
      </c>
      <c r="U43" s="10">
        <f t="shared" si="45"/>
        <v>0</v>
      </c>
      <c r="V43" s="10">
        <f t="shared" si="45"/>
        <v>0</v>
      </c>
      <c r="W43" s="10">
        <f t="shared" si="45"/>
        <v>-0.90016100583360004</v>
      </c>
      <c r="X43" s="10">
        <f t="shared" si="45"/>
        <v>0</v>
      </c>
      <c r="Y43" s="10">
        <f t="shared" si="45"/>
        <v>0</v>
      </c>
      <c r="Z43" s="10">
        <f t="shared" si="45"/>
        <v>0</v>
      </c>
      <c r="AA43" s="10">
        <f t="shared" si="45"/>
        <v>0</v>
      </c>
      <c r="AB43" s="10">
        <f t="shared" si="45"/>
        <v>0</v>
      </c>
      <c r="AC43" s="10">
        <f t="shared" si="45"/>
        <v>0</v>
      </c>
      <c r="AD43" s="10">
        <f t="shared" si="45"/>
        <v>0</v>
      </c>
      <c r="AE43" s="10">
        <f t="shared" si="45"/>
        <v>0</v>
      </c>
      <c r="AF43" s="10">
        <f t="shared" si="45"/>
        <v>0</v>
      </c>
      <c r="AG43" s="10">
        <f t="shared" si="45"/>
        <v>0</v>
      </c>
      <c r="AH43" s="10">
        <f t="shared" si="45"/>
        <v>0</v>
      </c>
      <c r="AI43" s="10">
        <f t="shared" si="45"/>
        <v>0</v>
      </c>
      <c r="AJ43" s="10">
        <f t="shared" si="45"/>
        <v>0</v>
      </c>
      <c r="AK43" s="10">
        <f t="shared" si="45"/>
        <v>0</v>
      </c>
      <c r="AL43" s="10">
        <f t="shared" si="45"/>
        <v>0</v>
      </c>
      <c r="AM43" s="10">
        <f t="shared" si="45"/>
        <v>0</v>
      </c>
      <c r="AN43" s="10">
        <f t="shared" si="45"/>
        <v>0</v>
      </c>
      <c r="AO43" s="10">
        <f t="shared" si="45"/>
        <v>0</v>
      </c>
      <c r="AP43" s="10">
        <f t="shared" si="45"/>
        <v>0</v>
      </c>
      <c r="AQ43" s="10">
        <f t="shared" si="45"/>
        <v>0</v>
      </c>
      <c r="AR43" s="10">
        <f t="shared" si="45"/>
        <v>0</v>
      </c>
      <c r="AS43" s="10">
        <f t="shared" si="45"/>
        <v>0</v>
      </c>
      <c r="AT43" s="10">
        <f t="shared" si="45"/>
        <v>0</v>
      </c>
      <c r="AU43" s="10">
        <f t="shared" ref="AU43:AX43" si="46">SUM(AU39:AU42)</f>
        <v>0</v>
      </c>
      <c r="AV43" s="10">
        <f t="shared" si="46"/>
        <v>0</v>
      </c>
      <c r="AW43" s="10">
        <f t="shared" si="46"/>
        <v>0</v>
      </c>
      <c r="AX43" s="10">
        <f t="shared" si="46"/>
        <v>0</v>
      </c>
    </row>
    <row r="44" spans="1:50" s="271" customFormat="1" ht="15" customHeight="1">
      <c r="B44" s="70"/>
      <c r="C44" s="70"/>
      <c r="D44" s="70"/>
      <c r="E44" s="71" t="s">
        <v>76</v>
      </c>
      <c r="F44" s="70"/>
      <c r="G44" s="70" t="str">
        <f>Inputs!$I$11</f>
        <v>£m 16/17 prices</v>
      </c>
      <c r="H44" s="70"/>
      <c r="I44" s="182"/>
      <c r="J44" s="153"/>
      <c r="K44" s="285">
        <f>((1+$I18)^K8-1)*(K38+(K39+K40+K41+K42)/(2+$I18))</f>
        <v>0</v>
      </c>
      <c r="L44" s="285">
        <f t="shared" ref="L44:AX44" si="47">((1+$I18)^L8-1)*(L38+(L39+L40+L41+L42)/(2+$I18))</f>
        <v>0</v>
      </c>
      <c r="M44" s="285">
        <f t="shared" si="47"/>
        <v>0</v>
      </c>
      <c r="N44" s="285">
        <f t="shared" si="47"/>
        <v>0</v>
      </c>
      <c r="O44" s="285">
        <f t="shared" si="47"/>
        <v>0</v>
      </c>
      <c r="P44" s="285">
        <f t="shared" si="47"/>
        <v>0</v>
      </c>
      <c r="Q44" s="285">
        <f t="shared" si="47"/>
        <v>0.49885453966890442</v>
      </c>
      <c r="R44" s="285">
        <f t="shared" si="47"/>
        <v>1.065054442193111</v>
      </c>
      <c r="S44" s="285">
        <f t="shared" si="47"/>
        <v>1.1369456170411458</v>
      </c>
      <c r="T44" s="285">
        <f t="shared" si="47"/>
        <v>1.2136894461914232</v>
      </c>
      <c r="U44" s="285">
        <f t="shared" si="47"/>
        <v>1.295613483809344</v>
      </c>
      <c r="V44" s="285">
        <f t="shared" si="47"/>
        <v>1.1146394544715639</v>
      </c>
      <c r="W44" s="285">
        <f t="shared" si="47"/>
        <v>0</v>
      </c>
      <c r="X44" s="285">
        <f t="shared" si="47"/>
        <v>0</v>
      </c>
      <c r="Y44" s="285">
        <f t="shared" si="47"/>
        <v>0</v>
      </c>
      <c r="Z44" s="285">
        <f t="shared" si="47"/>
        <v>0</v>
      </c>
      <c r="AA44" s="285">
        <f t="shared" si="47"/>
        <v>0</v>
      </c>
      <c r="AB44" s="285">
        <f t="shared" si="47"/>
        <v>0</v>
      </c>
      <c r="AC44" s="285">
        <f t="shared" si="47"/>
        <v>0</v>
      </c>
      <c r="AD44" s="285">
        <f t="shared" si="47"/>
        <v>0</v>
      </c>
      <c r="AE44" s="285">
        <f t="shared" si="47"/>
        <v>0</v>
      </c>
      <c r="AF44" s="285">
        <f t="shared" si="47"/>
        <v>0</v>
      </c>
      <c r="AG44" s="285">
        <f t="shared" si="47"/>
        <v>0</v>
      </c>
      <c r="AH44" s="285">
        <f t="shared" si="47"/>
        <v>0</v>
      </c>
      <c r="AI44" s="285">
        <f t="shared" si="47"/>
        <v>0</v>
      </c>
      <c r="AJ44" s="285">
        <f t="shared" si="47"/>
        <v>0</v>
      </c>
      <c r="AK44" s="285">
        <f t="shared" si="47"/>
        <v>0</v>
      </c>
      <c r="AL44" s="285">
        <f t="shared" si="47"/>
        <v>0</v>
      </c>
      <c r="AM44" s="285">
        <f t="shared" si="47"/>
        <v>0</v>
      </c>
      <c r="AN44" s="285">
        <f t="shared" si="47"/>
        <v>0</v>
      </c>
      <c r="AO44" s="285">
        <f t="shared" si="47"/>
        <v>0</v>
      </c>
      <c r="AP44" s="285">
        <f t="shared" si="47"/>
        <v>0</v>
      </c>
      <c r="AQ44" s="285">
        <f t="shared" si="47"/>
        <v>0</v>
      </c>
      <c r="AR44" s="285">
        <f t="shared" si="47"/>
        <v>0</v>
      </c>
      <c r="AS44" s="285">
        <f t="shared" si="47"/>
        <v>0</v>
      </c>
      <c r="AT44" s="285">
        <f t="shared" si="47"/>
        <v>0</v>
      </c>
      <c r="AU44" s="285">
        <f t="shared" si="47"/>
        <v>0</v>
      </c>
      <c r="AV44" s="285">
        <f t="shared" si="47"/>
        <v>0</v>
      </c>
      <c r="AW44" s="285">
        <f t="shared" si="47"/>
        <v>0</v>
      </c>
      <c r="AX44" s="285">
        <f t="shared" si="47"/>
        <v>0</v>
      </c>
    </row>
    <row r="45" spans="1:50" ht="15" customHeight="1">
      <c r="A45"/>
      <c r="B45" s="90"/>
      <c r="C45" s="90"/>
      <c r="D45" s="90"/>
      <c r="E45" s="20" t="s">
        <v>193</v>
      </c>
      <c r="F45" s="90"/>
      <c r="G45" s="70" t="str">
        <f>Inputs!$I$11</f>
        <v>£m 16/17 prices</v>
      </c>
      <c r="H45" s="90"/>
      <c r="I45" s="29"/>
      <c r="J45" s="6"/>
      <c r="K45" s="171">
        <f t="shared" ref="K45:AX45" si="48">-SUM(K38,K43,K44)*K$11</f>
        <v>0</v>
      </c>
      <c r="L45" s="171">
        <f t="shared" si="48"/>
        <v>0</v>
      </c>
      <c r="M45" s="171">
        <f t="shared" si="48"/>
        <v>0</v>
      </c>
      <c r="N45" s="171">
        <f t="shared" si="48"/>
        <v>0</v>
      </c>
      <c r="O45" s="171">
        <f t="shared" si="48"/>
        <v>0</v>
      </c>
      <c r="P45" s="171">
        <f t="shared" si="48"/>
        <v>0</v>
      </c>
      <c r="Q45" s="171">
        <f t="shared" si="48"/>
        <v>0</v>
      </c>
      <c r="R45" s="171">
        <f t="shared" si="48"/>
        <v>0</v>
      </c>
      <c r="S45" s="171">
        <f t="shared" si="48"/>
        <v>0</v>
      </c>
      <c r="T45" s="171">
        <f t="shared" si="48"/>
        <v>0</v>
      </c>
      <c r="U45" s="171">
        <f t="shared" si="48"/>
        <v>0</v>
      </c>
      <c r="V45" s="171">
        <f t="shared" si="48"/>
        <v>0</v>
      </c>
      <c r="W45" s="171">
        <f t="shared" si="48"/>
        <v>-20.704365766659844</v>
      </c>
      <c r="X45" s="171">
        <f t="shared" si="48"/>
        <v>0</v>
      </c>
      <c r="Y45" s="171">
        <f t="shared" si="48"/>
        <v>0</v>
      </c>
      <c r="Z45" s="171">
        <f t="shared" si="48"/>
        <v>0</v>
      </c>
      <c r="AA45" s="171">
        <f t="shared" si="48"/>
        <v>0</v>
      </c>
      <c r="AB45" s="171">
        <f t="shared" si="48"/>
        <v>0</v>
      </c>
      <c r="AC45" s="171">
        <f t="shared" si="48"/>
        <v>0</v>
      </c>
      <c r="AD45" s="171">
        <f t="shared" si="48"/>
        <v>0</v>
      </c>
      <c r="AE45" s="171">
        <f t="shared" si="48"/>
        <v>0</v>
      </c>
      <c r="AF45" s="171">
        <f t="shared" si="48"/>
        <v>0</v>
      </c>
      <c r="AG45" s="171">
        <f t="shared" si="48"/>
        <v>0</v>
      </c>
      <c r="AH45" s="171">
        <f t="shared" si="48"/>
        <v>0</v>
      </c>
      <c r="AI45" s="171">
        <f t="shared" si="48"/>
        <v>0</v>
      </c>
      <c r="AJ45" s="171">
        <f t="shared" si="48"/>
        <v>0</v>
      </c>
      <c r="AK45" s="171">
        <f t="shared" si="48"/>
        <v>0</v>
      </c>
      <c r="AL45" s="171">
        <f t="shared" si="48"/>
        <v>0</v>
      </c>
      <c r="AM45" s="171">
        <f t="shared" si="48"/>
        <v>0</v>
      </c>
      <c r="AN45" s="171">
        <f t="shared" si="48"/>
        <v>0</v>
      </c>
      <c r="AO45" s="171">
        <f t="shared" si="48"/>
        <v>0</v>
      </c>
      <c r="AP45" s="171">
        <f t="shared" si="48"/>
        <v>0</v>
      </c>
      <c r="AQ45" s="171">
        <f t="shared" si="48"/>
        <v>0</v>
      </c>
      <c r="AR45" s="171">
        <f t="shared" si="48"/>
        <v>0</v>
      </c>
      <c r="AS45" s="171">
        <f t="shared" si="48"/>
        <v>0</v>
      </c>
      <c r="AT45" s="171">
        <f t="shared" si="48"/>
        <v>0</v>
      </c>
      <c r="AU45" s="171">
        <f t="shared" si="48"/>
        <v>0</v>
      </c>
      <c r="AV45" s="171">
        <f t="shared" si="48"/>
        <v>0</v>
      </c>
      <c r="AW45" s="171">
        <f t="shared" si="48"/>
        <v>0</v>
      </c>
      <c r="AX45" s="171">
        <f t="shared" si="48"/>
        <v>0</v>
      </c>
    </row>
    <row r="46" spans="1:50" ht="15" customHeight="1">
      <c r="A46"/>
      <c r="B46" s="90"/>
      <c r="C46" s="90"/>
      <c r="D46" s="90"/>
      <c r="E46" s="90" t="s">
        <v>77</v>
      </c>
      <c r="F46" s="90"/>
      <c r="G46" s="70" t="str">
        <f>Inputs!$I$11</f>
        <v>£m 16/17 prices</v>
      </c>
      <c r="H46" s="90"/>
      <c r="I46" s="29"/>
      <c r="J46" s="6"/>
      <c r="K46" s="172">
        <f>SUM(K45,K44,K43,K38)</f>
        <v>0</v>
      </c>
      <c r="L46" s="172">
        <f t="shared" ref="L46:AX46" si="49">SUM(L45,L44,L43,L38)</f>
        <v>0</v>
      </c>
      <c r="M46" s="172">
        <f t="shared" si="49"/>
        <v>0</v>
      </c>
      <c r="N46" s="172">
        <f t="shared" si="49"/>
        <v>0</v>
      </c>
      <c r="O46" s="172">
        <f t="shared" si="49"/>
        <v>0</v>
      </c>
      <c r="P46" s="172">
        <f t="shared" si="49"/>
        <v>0</v>
      </c>
      <c r="Q46" s="172">
        <f t="shared" si="49"/>
        <v>15.778584328786852</v>
      </c>
      <c r="R46" s="172">
        <f t="shared" si="49"/>
        <v>16.843638770979965</v>
      </c>
      <c r="S46" s="172">
        <f t="shared" si="49"/>
        <v>17.980584388021111</v>
      </c>
      <c r="T46" s="172">
        <f t="shared" si="49"/>
        <v>19.194273834212535</v>
      </c>
      <c r="U46" s="172">
        <f t="shared" si="49"/>
        <v>20.489887318021879</v>
      </c>
      <c r="V46" s="172">
        <f t="shared" si="49"/>
        <v>21.604526772493443</v>
      </c>
      <c r="W46" s="172">
        <f t="shared" si="49"/>
        <v>0</v>
      </c>
      <c r="X46" s="172">
        <f t="shared" si="49"/>
        <v>0</v>
      </c>
      <c r="Y46" s="172">
        <f t="shared" si="49"/>
        <v>0</v>
      </c>
      <c r="Z46" s="172">
        <f t="shared" si="49"/>
        <v>0</v>
      </c>
      <c r="AA46" s="172">
        <f t="shared" si="49"/>
        <v>0</v>
      </c>
      <c r="AB46" s="172">
        <f t="shared" si="49"/>
        <v>0</v>
      </c>
      <c r="AC46" s="172">
        <f t="shared" si="49"/>
        <v>0</v>
      </c>
      <c r="AD46" s="172">
        <f t="shared" si="49"/>
        <v>0</v>
      </c>
      <c r="AE46" s="172">
        <f t="shared" si="49"/>
        <v>0</v>
      </c>
      <c r="AF46" s="172">
        <f t="shared" si="49"/>
        <v>0</v>
      </c>
      <c r="AG46" s="172">
        <f t="shared" si="49"/>
        <v>0</v>
      </c>
      <c r="AH46" s="172">
        <f t="shared" si="49"/>
        <v>0</v>
      </c>
      <c r="AI46" s="172">
        <f t="shared" si="49"/>
        <v>0</v>
      </c>
      <c r="AJ46" s="172">
        <f t="shared" si="49"/>
        <v>0</v>
      </c>
      <c r="AK46" s="172">
        <f t="shared" si="49"/>
        <v>0</v>
      </c>
      <c r="AL46" s="172">
        <f t="shared" si="49"/>
        <v>0</v>
      </c>
      <c r="AM46" s="172">
        <f t="shared" si="49"/>
        <v>0</v>
      </c>
      <c r="AN46" s="172">
        <f t="shared" si="49"/>
        <v>0</v>
      </c>
      <c r="AO46" s="172">
        <f t="shared" si="49"/>
        <v>0</v>
      </c>
      <c r="AP46" s="172">
        <f t="shared" si="49"/>
        <v>0</v>
      </c>
      <c r="AQ46" s="172">
        <f t="shared" si="49"/>
        <v>0</v>
      </c>
      <c r="AR46" s="172">
        <f t="shared" si="49"/>
        <v>0</v>
      </c>
      <c r="AS46" s="172">
        <f t="shared" si="49"/>
        <v>0</v>
      </c>
      <c r="AT46" s="172">
        <f t="shared" si="49"/>
        <v>0</v>
      </c>
      <c r="AU46" s="172">
        <f t="shared" si="49"/>
        <v>0</v>
      </c>
      <c r="AV46" s="172">
        <f t="shared" si="49"/>
        <v>0</v>
      </c>
      <c r="AW46" s="172">
        <f t="shared" si="49"/>
        <v>0</v>
      </c>
      <c r="AX46" s="172">
        <f t="shared" si="49"/>
        <v>0</v>
      </c>
    </row>
    <row r="47" spans="1:50" ht="15" customHeight="1">
      <c r="A47"/>
      <c r="B47" s="90"/>
      <c r="C47" s="90"/>
      <c r="D47" s="90"/>
      <c r="E47" s="90"/>
      <c r="F47" s="90"/>
      <c r="G47" s="9"/>
      <c r="H47" s="90"/>
      <c r="I47" s="29"/>
      <c r="J47" s="6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ht="15" customHeight="1">
      <c r="A48" s="90"/>
      <c r="B48" s="188" t="s">
        <v>8</v>
      </c>
      <c r="C48" s="72"/>
      <c r="D48" s="72"/>
      <c r="E48" s="72"/>
      <c r="F48" s="72"/>
      <c r="G48" s="72"/>
      <c r="H48" s="72"/>
      <c r="I48" s="115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</row>
    <row r="49" spans="47:50" ht="15" customHeight="1">
      <c r="AU49" s="91"/>
      <c r="AV49" s="91"/>
      <c r="AW49" s="91"/>
      <c r="AX49" s="91"/>
    </row>
    <row r="50" spans="47:50" ht="15" hidden="1" customHeight="1">
      <c r="AU50" s="91"/>
      <c r="AV50" s="91"/>
      <c r="AW50" s="91"/>
      <c r="AX50" s="91"/>
    </row>
  </sheetData>
  <sheetProtection algorithmName="SHA-512" hashValue="ITy2s7ChzobCVn5XDOdhqvJXDE3eT15JxO3KJ/FRwt0pPrF9eWbikc/3TZGwZmj6vgmGmPOqOe98qxSyqFWFDg==" saltValue="ppyJzUhkUjx7m4OgxEb7Sg==" spinCount="100000" sheet="1" objects="1" scenarios="1"/>
  <pageMargins left="0.23622047244094491" right="0.23622047244094491" top="0.74803149606299213" bottom="0.74803149606299213" header="0.31496062992125984" footer="0.31496062992125984"/>
  <pageSetup paperSize="8" scale="4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tabColor theme="7" tint="0.59999389629810485"/>
    <pageSetUpPr fitToPage="1"/>
  </sheetPr>
  <dimension ref="A1:AY59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defaultColWidth="0" defaultRowHeight="15" customHeight="1" zeroHeight="1"/>
  <cols>
    <col min="1" max="4" width="2.59765625" style="91" customWidth="1"/>
    <col min="5" max="5" width="50.59765625" style="91" customWidth="1"/>
    <col min="6" max="6" width="1.59765625" style="91" customWidth="1"/>
    <col min="7" max="7" width="15.59765625" style="91" customWidth="1"/>
    <col min="8" max="8" width="10.8984375" style="91" bestFit="1" customWidth="1"/>
    <col min="9" max="9" width="10.59765625" style="42" customWidth="1"/>
    <col min="10" max="10" width="1.59765625" style="91" customWidth="1"/>
    <col min="11" max="35" width="10.59765625" style="91" customWidth="1"/>
    <col min="36" max="36" width="3.09765625" customWidth="1"/>
    <col min="37" max="50" width="10.59765625" hidden="1" customWidth="1"/>
    <col min="51" max="51" width="2.59765625" hidden="1" customWidth="1"/>
    <col min="52" max="16384" width="9.09765625" hidden="1"/>
  </cols>
  <sheetData>
    <row r="1" spans="1:35" ht="14.5">
      <c r="A1" s="243" t="s">
        <v>244</v>
      </c>
      <c r="B1" s="16"/>
      <c r="C1" s="16"/>
      <c r="D1" s="16"/>
      <c r="E1" s="16"/>
      <c r="F1" s="16"/>
      <c r="G1" s="16"/>
      <c r="H1" s="16" t="s">
        <v>73</v>
      </c>
      <c r="I1" s="2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</row>
    <row r="2" spans="1:35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3" spans="1:35" ht="15" customHeight="1">
      <c r="A3" s="16"/>
      <c r="B3" s="16"/>
      <c r="C3" s="16"/>
      <c r="D3" s="16"/>
      <c r="E3" s="19" t="s">
        <v>10</v>
      </c>
      <c r="F3" s="18"/>
      <c r="G3" s="18"/>
      <c r="H3" s="18"/>
      <c r="I3" s="27"/>
      <c r="J3" s="19"/>
      <c r="K3" s="186" t="s">
        <v>88</v>
      </c>
      <c r="L3" s="186" t="s">
        <v>89</v>
      </c>
      <c r="M3" s="186" t="s">
        <v>90</v>
      </c>
      <c r="N3" s="186" t="s">
        <v>91</v>
      </c>
      <c r="O3" s="186" t="s">
        <v>92</v>
      </c>
      <c r="P3" s="186" t="s">
        <v>93</v>
      </c>
      <c r="Q3" s="186" t="s">
        <v>94</v>
      </c>
      <c r="R3" s="186" t="s">
        <v>95</v>
      </c>
      <c r="S3" s="186" t="s">
        <v>96</v>
      </c>
      <c r="T3" s="186" t="s">
        <v>97</v>
      </c>
      <c r="U3" s="186" t="s">
        <v>98</v>
      </c>
      <c r="V3" s="186" t="s">
        <v>99</v>
      </c>
      <c r="W3" s="186" t="s">
        <v>100</v>
      </c>
      <c r="X3" s="186" t="s">
        <v>101</v>
      </c>
      <c r="Y3" s="186" t="s">
        <v>102</v>
      </c>
      <c r="Z3" s="186" t="s">
        <v>103</v>
      </c>
      <c r="AA3" s="186" t="s">
        <v>104</v>
      </c>
      <c r="AB3" s="186" t="s">
        <v>105</v>
      </c>
      <c r="AC3" s="186" t="s">
        <v>106</v>
      </c>
      <c r="AD3" s="186" t="s">
        <v>107</v>
      </c>
      <c r="AE3" s="186" t="s">
        <v>108</v>
      </c>
      <c r="AF3" s="186" t="s">
        <v>109</v>
      </c>
      <c r="AG3" s="186" t="s">
        <v>110</v>
      </c>
      <c r="AH3" s="186" t="s">
        <v>111</v>
      </c>
      <c r="AI3" s="186" t="s">
        <v>112</v>
      </c>
    </row>
    <row r="4" spans="1:35" ht="15" customHeight="1">
      <c r="A4" s="90"/>
      <c r="B4" s="90"/>
      <c r="C4" s="90"/>
      <c r="D4" s="90"/>
      <c r="E4" s="90"/>
      <c r="F4" s="90"/>
      <c r="G4" s="90"/>
      <c r="H4" s="90"/>
      <c r="I4" s="29"/>
      <c r="J4" s="6"/>
      <c r="K4" s="6"/>
      <c r="L4" s="6"/>
      <c r="M4" s="6"/>
      <c r="N4" s="6"/>
      <c r="O4" s="6"/>
      <c r="P4" s="6"/>
      <c r="Q4" s="6"/>
      <c r="R4" s="6"/>
      <c r="S4" s="90"/>
      <c r="T4" s="90"/>
      <c r="U4" s="90"/>
      <c r="V4" s="90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5" customHeight="1">
      <c r="A5" s="90"/>
      <c r="B5" s="188" t="s">
        <v>232</v>
      </c>
      <c r="C5" s="82"/>
      <c r="D5" s="82"/>
      <c r="E5" s="82"/>
      <c r="F5" s="82"/>
      <c r="G5" s="82"/>
      <c r="H5" s="82"/>
      <c r="I5" s="30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</row>
    <row r="6" spans="1:35" ht="15" customHeight="1">
      <c r="A6" s="90"/>
      <c r="B6" s="90"/>
      <c r="C6" s="90"/>
      <c r="D6" s="90"/>
      <c r="E6" s="90"/>
      <c r="F6" s="90"/>
      <c r="G6" s="90"/>
      <c r="H6" s="90"/>
      <c r="I6" s="29"/>
      <c r="J6" s="6"/>
      <c r="K6" s="6"/>
      <c r="L6" s="6"/>
      <c r="M6" s="6"/>
      <c r="N6" s="6"/>
      <c r="O6" s="6"/>
      <c r="P6" s="6"/>
      <c r="Q6" s="6"/>
      <c r="R6" s="6"/>
      <c r="S6" s="90"/>
      <c r="T6" s="90"/>
      <c r="U6" s="90"/>
      <c r="V6" s="90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7" spans="1:35" ht="15" customHeight="1">
      <c r="A7" s="90"/>
      <c r="B7" s="90"/>
      <c r="C7" s="13" t="s">
        <v>32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</row>
    <row r="8" spans="1:35" ht="15" customHeight="1">
      <c r="A8" s="90"/>
      <c r="B8" s="90"/>
      <c r="C8" s="90"/>
      <c r="D8" s="90"/>
      <c r="E8" s="90"/>
      <c r="F8" s="90"/>
      <c r="G8" s="90"/>
      <c r="H8" s="90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</row>
    <row r="9" spans="1:35" ht="15" customHeight="1">
      <c r="A9"/>
      <c r="B9" s="90"/>
      <c r="C9" s="90"/>
      <c r="D9" s="90"/>
      <c r="E9" s="6" t="s">
        <v>87</v>
      </c>
      <c r="F9" s="90"/>
      <c r="G9" s="70" t="str">
        <f>Inputs!$I$11</f>
        <v>£m 16/17 prices</v>
      </c>
      <c r="H9" s="90"/>
      <c r="I9" s="29"/>
      <c r="J9" s="29"/>
      <c r="K9" s="90">
        <f t="shared" ref="K9:AI9" si="0">J15</f>
        <v>0</v>
      </c>
      <c r="L9" s="90">
        <f t="shared" si="0"/>
        <v>387.99315198807278</v>
      </c>
      <c r="M9" s="90">
        <f t="shared" si="0"/>
        <v>371.82677065523643</v>
      </c>
      <c r="N9" s="90">
        <f t="shared" si="0"/>
        <v>355.66038932240008</v>
      </c>
      <c r="O9" s="90">
        <f t="shared" si="0"/>
        <v>339.49400798956373</v>
      </c>
      <c r="P9" s="90">
        <f t="shared" si="0"/>
        <v>323.32762665672738</v>
      </c>
      <c r="Q9" s="90">
        <f t="shared" si="0"/>
        <v>307.16124532389102</v>
      </c>
      <c r="R9" s="90">
        <f t="shared" si="0"/>
        <v>293.44994422593686</v>
      </c>
      <c r="S9" s="90">
        <f t="shared" si="0"/>
        <v>280.56298737302529</v>
      </c>
      <c r="T9" s="90">
        <f t="shared" si="0"/>
        <v>264.05928223343557</v>
      </c>
      <c r="U9" s="90">
        <f t="shared" si="0"/>
        <v>248.68620912473114</v>
      </c>
      <c r="V9" s="90">
        <f t="shared" si="0"/>
        <v>232.10712851641574</v>
      </c>
      <c r="W9" s="90">
        <f t="shared" si="0"/>
        <v>216.21822354468591</v>
      </c>
      <c r="X9" s="90">
        <f t="shared" si="0"/>
        <v>200.74830881357593</v>
      </c>
      <c r="Y9" s="90">
        <f t="shared" si="0"/>
        <v>187.94014052185099</v>
      </c>
      <c r="Z9" s="90">
        <f t="shared" si="0"/>
        <v>170.85467320168271</v>
      </c>
      <c r="AA9" s="90">
        <f t="shared" si="0"/>
        <v>153.76920588151444</v>
      </c>
      <c r="AB9" s="90">
        <f t="shared" si="0"/>
        <v>160.18472679356651</v>
      </c>
      <c r="AC9" s="90">
        <f t="shared" si="0"/>
        <v>140.16163594437069</v>
      </c>
      <c r="AD9" s="90">
        <f t="shared" si="0"/>
        <v>120.13854509517488</v>
      </c>
      <c r="AE9" s="90">
        <f t="shared" si="0"/>
        <v>101.24608627686436</v>
      </c>
      <c r="AF9" s="90">
        <f t="shared" si="0"/>
        <v>83.451949256373666</v>
      </c>
      <c r="AG9" s="90">
        <f t="shared" si="0"/>
        <v>62.58896194228025</v>
      </c>
      <c r="AH9" s="90">
        <f t="shared" si="0"/>
        <v>41.725974628186833</v>
      </c>
      <c r="AI9" s="90">
        <f t="shared" si="0"/>
        <v>20.862987314093417</v>
      </c>
    </row>
    <row r="10" spans="1:35" ht="15" customHeight="1">
      <c r="A10"/>
      <c r="B10" s="90"/>
      <c r="C10" s="90"/>
      <c r="D10" s="90"/>
      <c r="E10" s="6" t="s">
        <v>194</v>
      </c>
      <c r="F10" s="90"/>
      <c r="G10" s="70" t="str">
        <f>Inputs!$I$11</f>
        <v>£m 16/17 prices</v>
      </c>
      <c r="H10" s="90"/>
      <c r="I10" s="29"/>
      <c r="J10" s="29"/>
      <c r="K10" s="173">
        <f>-SUM(Finance!K45:AX45)</f>
        <v>20.704365766659844</v>
      </c>
      <c r="L10" s="97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</row>
    <row r="11" spans="1:35" ht="15" customHeight="1">
      <c r="A11"/>
      <c r="B11" s="90"/>
      <c r="C11" s="90"/>
      <c r="D11" s="90"/>
      <c r="E11" s="6" t="s">
        <v>195</v>
      </c>
      <c r="F11" s="90"/>
      <c r="G11" s="70" t="str">
        <f>Inputs!$I$11</f>
        <v>£m 16/17 prices</v>
      </c>
      <c r="H11" s="90"/>
      <c r="I11" s="29"/>
      <c r="J11" s="29"/>
      <c r="K11" s="173">
        <f>-SUM('Pre Op RAV'!K23:AX23)</f>
        <v>383.45516755424927</v>
      </c>
      <c r="L11" s="98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</row>
    <row r="12" spans="1:35" ht="15" customHeight="1">
      <c r="A12"/>
      <c r="B12" s="90"/>
      <c r="C12" s="90"/>
      <c r="D12" s="90"/>
      <c r="E12" s="6" t="s">
        <v>33</v>
      </c>
      <c r="F12" s="90"/>
      <c r="G12" s="70" t="str">
        <f>Inputs!$I$11</f>
        <v>£m 16/17 prices</v>
      </c>
      <c r="H12" s="90"/>
      <c r="I12" s="29"/>
      <c r="J12" s="29"/>
      <c r="K12" s="130">
        <f>SUM(K9:K11)</f>
        <v>404.15953332090913</v>
      </c>
      <c r="L12" s="130">
        <f t="shared" ref="L12" si="1">SUM(L9:L11)</f>
        <v>387.99315198807278</v>
      </c>
      <c r="M12" s="130">
        <f t="shared" ref="M12:AI12" si="2">SUM(M9:M11)</f>
        <v>371.82677065523643</v>
      </c>
      <c r="N12" s="130">
        <f t="shared" si="2"/>
        <v>355.66038932240008</v>
      </c>
      <c r="O12" s="130">
        <f t="shared" si="2"/>
        <v>339.49400798956373</v>
      </c>
      <c r="P12" s="130">
        <f t="shared" si="2"/>
        <v>323.32762665672738</v>
      </c>
      <c r="Q12" s="130">
        <f t="shared" si="2"/>
        <v>307.16124532389102</v>
      </c>
      <c r="R12" s="130">
        <f t="shared" si="2"/>
        <v>293.44994422593686</v>
      </c>
      <c r="S12" s="130">
        <f t="shared" si="2"/>
        <v>280.56298737302529</v>
      </c>
      <c r="T12" s="130">
        <f t="shared" si="2"/>
        <v>264.05928223343557</v>
      </c>
      <c r="U12" s="130">
        <f t="shared" si="2"/>
        <v>248.68620912473114</v>
      </c>
      <c r="V12" s="130">
        <f t="shared" si="2"/>
        <v>232.10712851641574</v>
      </c>
      <c r="W12" s="130">
        <f t="shared" si="2"/>
        <v>216.21822354468591</v>
      </c>
      <c r="X12" s="130">
        <f t="shared" si="2"/>
        <v>200.74830881357593</v>
      </c>
      <c r="Y12" s="130">
        <f t="shared" si="2"/>
        <v>187.94014052185099</v>
      </c>
      <c r="Z12" s="130">
        <f t="shared" si="2"/>
        <v>170.85467320168271</v>
      </c>
      <c r="AA12" s="130">
        <f t="shared" si="2"/>
        <v>153.76920588151444</v>
      </c>
      <c r="AB12" s="130">
        <f t="shared" si="2"/>
        <v>160.18472679356651</v>
      </c>
      <c r="AC12" s="130">
        <f t="shared" si="2"/>
        <v>140.16163594437069</v>
      </c>
      <c r="AD12" s="130">
        <f t="shared" si="2"/>
        <v>120.13854509517488</v>
      </c>
      <c r="AE12" s="130">
        <f t="shared" si="2"/>
        <v>101.24608627686436</v>
      </c>
      <c r="AF12" s="130">
        <f t="shared" si="2"/>
        <v>83.451949256373666</v>
      </c>
      <c r="AG12" s="130">
        <f t="shared" si="2"/>
        <v>62.58896194228025</v>
      </c>
      <c r="AH12" s="130">
        <f t="shared" si="2"/>
        <v>41.725974628186833</v>
      </c>
      <c r="AI12" s="130">
        <f t="shared" si="2"/>
        <v>20.862987314093417</v>
      </c>
    </row>
    <row r="13" spans="1:35" ht="15" customHeight="1">
      <c r="A13"/>
      <c r="B13" s="90"/>
      <c r="C13" s="90"/>
      <c r="D13" s="90"/>
      <c r="E13" s="6" t="s">
        <v>240</v>
      </c>
      <c r="F13" s="90"/>
      <c r="G13" s="70" t="str">
        <f>Inputs!$I$11</f>
        <v>£m 16/17 prices</v>
      </c>
      <c r="H13" s="90"/>
      <c r="I13" s="29"/>
      <c r="J13" s="29"/>
      <c r="K13" s="257">
        <f>Inputs!K59</f>
        <v>0</v>
      </c>
      <c r="L13" s="257">
        <f>Inputs!L59</f>
        <v>0</v>
      </c>
      <c r="M13" s="257">
        <f>Inputs!M59</f>
        <v>0</v>
      </c>
      <c r="N13" s="257">
        <f>Inputs!N59</f>
        <v>0</v>
      </c>
      <c r="O13" s="257">
        <f>Inputs!O59</f>
        <v>0</v>
      </c>
      <c r="P13" s="257">
        <f>Inputs!P59</f>
        <v>0</v>
      </c>
      <c r="Q13" s="257">
        <f>Inputs!Q59</f>
        <v>2.4550802348821743</v>
      </c>
      <c r="R13" s="257">
        <f>Inputs!R59</f>
        <v>3.4158178263071504</v>
      </c>
      <c r="S13" s="257">
        <f>Inputs!S59</f>
        <v>0</v>
      </c>
      <c r="T13" s="257">
        <f>Inputs!T59</f>
        <v>1.1306320308852931</v>
      </c>
      <c r="U13" s="257">
        <f>Inputs!U59</f>
        <v>0</v>
      </c>
      <c r="V13" s="257">
        <f>Inputs!V59</f>
        <v>0.69017563658559289</v>
      </c>
      <c r="W13" s="257">
        <f>Inputs!W59</f>
        <v>1.1622563107889334</v>
      </c>
      <c r="X13" s="257">
        <f>Inputs!X59</f>
        <v>3.9208574427397171</v>
      </c>
      <c r="Y13" s="257">
        <f>Inputs!Y59</f>
        <v>0</v>
      </c>
      <c r="Z13" s="257">
        <f>Inputs!Z59</f>
        <v>0</v>
      </c>
      <c r="AA13" s="257">
        <f>Inputs!AA59</f>
        <v>23.500988232220344</v>
      </c>
      <c r="AB13" s="257">
        <f>Inputs!AB59</f>
        <v>0</v>
      </c>
      <c r="AC13" s="257">
        <f>Inputs!AC59</f>
        <v>0</v>
      </c>
      <c r="AD13" s="257">
        <f>Inputs!AD59</f>
        <v>1.1306320308852931</v>
      </c>
      <c r="AE13" s="257">
        <f>Inputs!AE59</f>
        <v>2.4550802348821743</v>
      </c>
      <c r="AF13" s="257">
        <f>Inputs!AF59</f>
        <v>0</v>
      </c>
      <c r="AG13" s="257">
        <f>Inputs!AG59</f>
        <v>0</v>
      </c>
      <c r="AH13" s="257">
        <f>Inputs!AH59</f>
        <v>0</v>
      </c>
      <c r="AI13" s="257">
        <f>Inputs!AI59</f>
        <v>0</v>
      </c>
    </row>
    <row r="14" spans="1:35" ht="15" customHeight="1">
      <c r="A14"/>
      <c r="B14" s="90"/>
      <c r="C14" s="90"/>
      <c r="D14" s="90"/>
      <c r="E14" s="6" t="s">
        <v>20</v>
      </c>
      <c r="F14" s="90"/>
      <c r="G14" s="70" t="str">
        <f>Inputs!$I$11</f>
        <v>£m 16/17 prices</v>
      </c>
      <c r="H14" s="90"/>
      <c r="I14" s="29"/>
      <c r="J14" s="29"/>
      <c r="K14" s="23">
        <f xml:space="preserve"> - K25</f>
        <v>-16.166381332836366</v>
      </c>
      <c r="L14" s="23">
        <f xml:space="preserve"> - L25</f>
        <v>-16.166381332836366</v>
      </c>
      <c r="M14" s="23">
        <f t="shared" ref="M14:AI14" si="3" xml:space="preserve"> - M25</f>
        <v>-16.166381332836366</v>
      </c>
      <c r="N14" s="23">
        <f t="shared" si="3"/>
        <v>-16.166381332836366</v>
      </c>
      <c r="O14" s="23">
        <f t="shared" si="3"/>
        <v>-16.166381332836369</v>
      </c>
      <c r="P14" s="23">
        <f t="shared" si="3"/>
        <v>-16.166381332836369</v>
      </c>
      <c r="Q14" s="23">
        <f t="shared" si="3"/>
        <v>-16.166381332836369</v>
      </c>
      <c r="R14" s="23">
        <f t="shared" si="3"/>
        <v>-16.302774679218714</v>
      </c>
      <c r="S14" s="23">
        <f t="shared" si="3"/>
        <v>-16.503705139589723</v>
      </c>
      <c r="T14" s="23">
        <f t="shared" si="3"/>
        <v>-16.503705139589723</v>
      </c>
      <c r="U14" s="23">
        <f t="shared" si="3"/>
        <v>-16.579080608315408</v>
      </c>
      <c r="V14" s="23">
        <f t="shared" si="3"/>
        <v>-16.579080608315412</v>
      </c>
      <c r="W14" s="23">
        <f t="shared" si="3"/>
        <v>-16.632171041898918</v>
      </c>
      <c r="X14" s="23">
        <f t="shared" si="3"/>
        <v>-16.72902573446466</v>
      </c>
      <c r="Y14" s="23">
        <f t="shared" si="3"/>
        <v>-17.085467320168274</v>
      </c>
      <c r="Z14" s="23">
        <f t="shared" si="3"/>
        <v>-17.08546732016827</v>
      </c>
      <c r="AA14" s="23">
        <f t="shared" si="3"/>
        <v>-17.08546732016827</v>
      </c>
      <c r="AB14" s="23">
        <f t="shared" si="3"/>
        <v>-20.023090849195814</v>
      </c>
      <c r="AC14" s="23">
        <f t="shared" si="3"/>
        <v>-20.023090849195814</v>
      </c>
      <c r="AD14" s="23">
        <f t="shared" si="3"/>
        <v>-20.023090849195814</v>
      </c>
      <c r="AE14" s="23">
        <f t="shared" si="3"/>
        <v>-20.249217255372873</v>
      </c>
      <c r="AF14" s="23">
        <f t="shared" si="3"/>
        <v>-20.862987314093417</v>
      </c>
      <c r="AG14" s="23">
        <f t="shared" si="3"/>
        <v>-20.862987314093417</v>
      </c>
      <c r="AH14" s="23">
        <f t="shared" si="3"/>
        <v>-20.862987314093417</v>
      </c>
      <c r="AI14" s="23">
        <f t="shared" si="3"/>
        <v>-20.862987314093417</v>
      </c>
    </row>
    <row r="15" spans="1:35" ht="15" customHeight="1">
      <c r="A15"/>
      <c r="B15" s="90"/>
      <c r="C15" s="90"/>
      <c r="D15" s="90"/>
      <c r="E15" s="6" t="s">
        <v>34</v>
      </c>
      <c r="F15" s="90"/>
      <c r="G15" s="70" t="str">
        <f>Inputs!$I$11</f>
        <v>£m 16/17 prices</v>
      </c>
      <c r="H15" s="90"/>
      <c r="I15" s="29"/>
      <c r="J15" s="29"/>
      <c r="K15" s="8">
        <f t="shared" ref="K15:AI15" si="4">SUM(K12:K14)</f>
        <v>387.99315198807278</v>
      </c>
      <c r="L15" s="8">
        <f t="shared" si="4"/>
        <v>371.82677065523643</v>
      </c>
      <c r="M15" s="8">
        <f t="shared" si="4"/>
        <v>355.66038932240008</v>
      </c>
      <c r="N15" s="8">
        <f t="shared" si="4"/>
        <v>339.49400798956373</v>
      </c>
      <c r="O15" s="8">
        <f t="shared" si="4"/>
        <v>323.32762665672738</v>
      </c>
      <c r="P15" s="8">
        <f t="shared" si="4"/>
        <v>307.16124532389102</v>
      </c>
      <c r="Q15" s="8">
        <f t="shared" si="4"/>
        <v>293.44994422593686</v>
      </c>
      <c r="R15" s="8">
        <f t="shared" si="4"/>
        <v>280.56298737302529</v>
      </c>
      <c r="S15" s="8">
        <f t="shared" si="4"/>
        <v>264.05928223343557</v>
      </c>
      <c r="T15" s="8">
        <f t="shared" si="4"/>
        <v>248.68620912473114</v>
      </c>
      <c r="U15" s="8">
        <f t="shared" si="4"/>
        <v>232.10712851641574</v>
      </c>
      <c r="V15" s="8">
        <f t="shared" si="4"/>
        <v>216.21822354468591</v>
      </c>
      <c r="W15" s="8">
        <f t="shared" si="4"/>
        <v>200.74830881357593</v>
      </c>
      <c r="X15" s="8">
        <f t="shared" si="4"/>
        <v>187.94014052185099</v>
      </c>
      <c r="Y15" s="8">
        <f t="shared" si="4"/>
        <v>170.85467320168271</v>
      </c>
      <c r="Z15" s="8">
        <f t="shared" si="4"/>
        <v>153.76920588151444</v>
      </c>
      <c r="AA15" s="8">
        <f t="shared" si="4"/>
        <v>160.18472679356651</v>
      </c>
      <c r="AB15" s="8">
        <f t="shared" si="4"/>
        <v>140.16163594437069</v>
      </c>
      <c r="AC15" s="8">
        <f t="shared" si="4"/>
        <v>120.13854509517488</v>
      </c>
      <c r="AD15" s="8">
        <f t="shared" si="4"/>
        <v>101.24608627686436</v>
      </c>
      <c r="AE15" s="8">
        <f t="shared" si="4"/>
        <v>83.451949256373666</v>
      </c>
      <c r="AF15" s="8">
        <f t="shared" si="4"/>
        <v>62.58896194228025</v>
      </c>
      <c r="AG15" s="8">
        <f t="shared" si="4"/>
        <v>41.725974628186833</v>
      </c>
      <c r="AH15" s="8">
        <f t="shared" si="4"/>
        <v>20.862987314093417</v>
      </c>
      <c r="AI15" s="8">
        <f t="shared" si="4"/>
        <v>0</v>
      </c>
    </row>
    <row r="16" spans="1:35" ht="15" customHeight="1">
      <c r="A16"/>
      <c r="B16" s="90"/>
      <c r="C16" s="90"/>
      <c r="D16" s="90"/>
      <c r="E16" s="90"/>
      <c r="F16" s="90"/>
      <c r="G16" s="70"/>
      <c r="H16" s="90"/>
      <c r="I16" s="29"/>
      <c r="J16" s="2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1:35" ht="15" customHeight="1">
      <c r="A17"/>
      <c r="B17" s="90"/>
      <c r="C17" s="90"/>
      <c r="D17" s="90"/>
      <c r="E17" s="90" t="s">
        <v>37</v>
      </c>
      <c r="F17" s="90"/>
      <c r="G17" s="70" t="str">
        <f>Inputs!$I$11</f>
        <v>£m 16/17 prices</v>
      </c>
      <c r="H17" s="90"/>
      <c r="I17" s="29"/>
      <c r="J17" s="29"/>
      <c r="K17" s="96">
        <f>AVERAGE(K12, K15)</f>
        <v>396.07634265449099</v>
      </c>
      <c r="L17" s="96">
        <f>AVERAGE(L12, L15)</f>
        <v>379.90996132165458</v>
      </c>
      <c r="M17" s="96">
        <f t="shared" ref="M17:AI17" si="5">AVERAGE(M12, M15)</f>
        <v>363.74357998881828</v>
      </c>
      <c r="N17" s="96">
        <f t="shared" si="5"/>
        <v>347.57719865598187</v>
      </c>
      <c r="O17" s="96">
        <f t="shared" si="5"/>
        <v>331.41081732314558</v>
      </c>
      <c r="P17" s="96">
        <f t="shared" si="5"/>
        <v>315.24443599030917</v>
      </c>
      <c r="Q17" s="96">
        <f t="shared" si="5"/>
        <v>300.30559477491397</v>
      </c>
      <c r="R17" s="96">
        <f t="shared" si="5"/>
        <v>287.00646579948108</v>
      </c>
      <c r="S17" s="96">
        <f t="shared" si="5"/>
        <v>272.3111348032304</v>
      </c>
      <c r="T17" s="96">
        <f t="shared" si="5"/>
        <v>256.37274567908332</v>
      </c>
      <c r="U17" s="96">
        <f t="shared" si="5"/>
        <v>240.39666882057344</v>
      </c>
      <c r="V17" s="96">
        <f t="shared" si="5"/>
        <v>224.16267603055081</v>
      </c>
      <c r="W17" s="96">
        <f t="shared" si="5"/>
        <v>208.48326617913091</v>
      </c>
      <c r="X17" s="96">
        <f t="shared" si="5"/>
        <v>194.34422466771346</v>
      </c>
      <c r="Y17" s="96">
        <f t="shared" si="5"/>
        <v>179.39740686176685</v>
      </c>
      <c r="Z17" s="96">
        <f t="shared" si="5"/>
        <v>162.31193954159858</v>
      </c>
      <c r="AA17" s="96">
        <f>AVERAGE(AA12, AA15)</f>
        <v>156.97696633754049</v>
      </c>
      <c r="AB17" s="96">
        <f t="shared" si="5"/>
        <v>150.17318136896859</v>
      </c>
      <c r="AC17" s="96">
        <f t="shared" si="5"/>
        <v>130.15009051977279</v>
      </c>
      <c r="AD17" s="96">
        <f t="shared" si="5"/>
        <v>110.69231568601961</v>
      </c>
      <c r="AE17" s="96">
        <f t="shared" si="5"/>
        <v>92.349017766619014</v>
      </c>
      <c r="AF17" s="96">
        <f t="shared" si="5"/>
        <v>73.020455599326965</v>
      </c>
      <c r="AG17" s="96">
        <f t="shared" si="5"/>
        <v>52.157468285233541</v>
      </c>
      <c r="AH17" s="96">
        <f t="shared" si="5"/>
        <v>31.294480971140125</v>
      </c>
      <c r="AI17" s="96">
        <f t="shared" si="5"/>
        <v>10.431493657046708</v>
      </c>
    </row>
    <row r="18" spans="1:35" ht="15" customHeight="1">
      <c r="A18"/>
      <c r="B18" s="90"/>
      <c r="C18" s="90"/>
      <c r="D18" s="90"/>
      <c r="E18" s="90"/>
      <c r="F18" s="90"/>
      <c r="G18" s="90"/>
      <c r="H18" s="90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</row>
    <row r="19" spans="1:35" ht="15" customHeight="1">
      <c r="A19"/>
      <c r="B19" s="188" t="s">
        <v>234</v>
      </c>
      <c r="C19" s="72"/>
      <c r="D19" s="72"/>
      <c r="E19" s="72"/>
      <c r="F19" s="72"/>
      <c r="G19" s="72"/>
      <c r="H19" s="72"/>
      <c r="I19" s="115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</row>
    <row r="20" spans="1:35" ht="15" customHeight="1">
      <c r="A20"/>
      <c r="B20" s="90"/>
      <c r="C20" s="90"/>
      <c r="D20" s="90"/>
      <c r="E20" s="90"/>
      <c r="F20" s="90"/>
      <c r="G20" s="90"/>
      <c r="H20" s="90"/>
      <c r="I20" s="29"/>
      <c r="J20" s="6"/>
      <c r="K20" s="6"/>
      <c r="L20" s="6"/>
      <c r="M20" s="6"/>
      <c r="N20" s="6"/>
      <c r="O20" s="6"/>
      <c r="P20" s="6"/>
      <c r="Q20" s="6"/>
      <c r="R20" s="6"/>
      <c r="S20" s="90"/>
      <c r="T20" s="90"/>
      <c r="U20" s="90"/>
      <c r="V20" s="90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</row>
    <row r="21" spans="1:35" ht="15" customHeight="1">
      <c r="A21"/>
      <c r="B21" s="90"/>
      <c r="C21" s="90"/>
      <c r="D21" s="90"/>
      <c r="E21" s="6" t="s">
        <v>16</v>
      </c>
      <c r="F21" s="90"/>
      <c r="G21" s="6" t="s">
        <v>15</v>
      </c>
      <c r="H21" s="90"/>
      <c r="I21" s="174">
        <f>Inputs!I89</f>
        <v>25</v>
      </c>
      <c r="J21" s="6"/>
      <c r="K21" s="6"/>
      <c r="L21" s="6"/>
      <c r="M21" s="6"/>
      <c r="N21" s="6"/>
      <c r="O21" s="6"/>
      <c r="P21" s="6"/>
      <c r="Q21" s="6"/>
      <c r="R21" s="6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</row>
    <row r="22" spans="1:35" ht="15" customHeight="1">
      <c r="A22"/>
      <c r="B22" s="90"/>
      <c r="C22" s="90"/>
      <c r="D22" s="90"/>
      <c r="E22" s="90" t="s">
        <v>36</v>
      </c>
      <c r="F22" s="90"/>
      <c r="G22" s="6" t="s">
        <v>15</v>
      </c>
      <c r="H22" s="90"/>
      <c r="I22" s="29"/>
      <c r="J22" s="6"/>
      <c r="K22" s="25">
        <f>I21</f>
        <v>25</v>
      </c>
      <c r="L22" s="25">
        <f>+K22-1</f>
        <v>24</v>
      </c>
      <c r="M22" s="25">
        <f t="shared" ref="M22:AI22" si="6">+L22-1</f>
        <v>23</v>
      </c>
      <c r="N22" s="25">
        <f t="shared" si="6"/>
        <v>22</v>
      </c>
      <c r="O22" s="25">
        <f t="shared" si="6"/>
        <v>21</v>
      </c>
      <c r="P22" s="25">
        <f t="shared" si="6"/>
        <v>20</v>
      </c>
      <c r="Q22" s="25">
        <f t="shared" si="6"/>
        <v>19</v>
      </c>
      <c r="R22" s="25">
        <f t="shared" si="6"/>
        <v>18</v>
      </c>
      <c r="S22" s="25">
        <f t="shared" si="6"/>
        <v>17</v>
      </c>
      <c r="T22" s="25">
        <f t="shared" si="6"/>
        <v>16</v>
      </c>
      <c r="U22" s="25">
        <f t="shared" si="6"/>
        <v>15</v>
      </c>
      <c r="V22" s="25">
        <f t="shared" si="6"/>
        <v>14</v>
      </c>
      <c r="W22" s="25">
        <f t="shared" si="6"/>
        <v>13</v>
      </c>
      <c r="X22" s="25">
        <f t="shared" si="6"/>
        <v>12</v>
      </c>
      <c r="Y22" s="25">
        <f t="shared" si="6"/>
        <v>11</v>
      </c>
      <c r="Z22" s="25">
        <f t="shared" si="6"/>
        <v>10</v>
      </c>
      <c r="AA22" s="25">
        <f t="shared" si="6"/>
        <v>9</v>
      </c>
      <c r="AB22" s="25">
        <f t="shared" si="6"/>
        <v>8</v>
      </c>
      <c r="AC22" s="25">
        <f t="shared" si="6"/>
        <v>7</v>
      </c>
      <c r="AD22" s="25">
        <f t="shared" si="6"/>
        <v>6</v>
      </c>
      <c r="AE22" s="25">
        <f t="shared" si="6"/>
        <v>5</v>
      </c>
      <c r="AF22" s="25">
        <f t="shared" si="6"/>
        <v>4</v>
      </c>
      <c r="AG22" s="25">
        <f t="shared" si="6"/>
        <v>3</v>
      </c>
      <c r="AH22" s="25">
        <f t="shared" si="6"/>
        <v>2</v>
      </c>
      <c r="AI22" s="25">
        <f t="shared" si="6"/>
        <v>1</v>
      </c>
    </row>
    <row r="23" spans="1:35" ht="15" customHeight="1">
      <c r="A23"/>
      <c r="B23" s="90"/>
      <c r="C23" s="90"/>
      <c r="D23" s="90"/>
      <c r="E23" s="90" t="s">
        <v>39</v>
      </c>
      <c r="F23" s="90"/>
      <c r="G23" s="90" t="s">
        <v>7</v>
      </c>
      <c r="H23" s="90"/>
      <c r="I23" s="31"/>
      <c r="J23" s="6"/>
      <c r="K23" s="25" t="b">
        <f t="shared" ref="K23:AI23" si="7">K22 &gt; 0</f>
        <v>1</v>
      </c>
      <c r="L23" s="25" t="b">
        <f t="shared" si="7"/>
        <v>1</v>
      </c>
      <c r="M23" s="25" t="b">
        <f t="shared" si="7"/>
        <v>1</v>
      </c>
      <c r="N23" s="25" t="b">
        <f t="shared" si="7"/>
        <v>1</v>
      </c>
      <c r="O23" s="25" t="b">
        <f t="shared" si="7"/>
        <v>1</v>
      </c>
      <c r="P23" s="25" t="b">
        <f t="shared" si="7"/>
        <v>1</v>
      </c>
      <c r="Q23" s="25" t="b">
        <f t="shared" si="7"/>
        <v>1</v>
      </c>
      <c r="R23" s="25" t="b">
        <f t="shared" si="7"/>
        <v>1</v>
      </c>
      <c r="S23" s="25" t="b">
        <f t="shared" si="7"/>
        <v>1</v>
      </c>
      <c r="T23" s="25" t="b">
        <f t="shared" si="7"/>
        <v>1</v>
      </c>
      <c r="U23" s="25" t="b">
        <f t="shared" si="7"/>
        <v>1</v>
      </c>
      <c r="V23" s="25" t="b">
        <f t="shared" si="7"/>
        <v>1</v>
      </c>
      <c r="W23" s="25" t="b">
        <f t="shared" si="7"/>
        <v>1</v>
      </c>
      <c r="X23" s="25" t="b">
        <f t="shared" si="7"/>
        <v>1</v>
      </c>
      <c r="Y23" s="25" t="b">
        <f t="shared" si="7"/>
        <v>1</v>
      </c>
      <c r="Z23" s="25" t="b">
        <f t="shared" si="7"/>
        <v>1</v>
      </c>
      <c r="AA23" s="25" t="b">
        <f t="shared" si="7"/>
        <v>1</v>
      </c>
      <c r="AB23" s="25" t="b">
        <f t="shared" si="7"/>
        <v>1</v>
      </c>
      <c r="AC23" s="25" t="b">
        <f t="shared" si="7"/>
        <v>1</v>
      </c>
      <c r="AD23" s="25" t="b">
        <f t="shared" si="7"/>
        <v>1</v>
      </c>
      <c r="AE23" s="25" t="b">
        <f t="shared" si="7"/>
        <v>1</v>
      </c>
      <c r="AF23" s="25" t="b">
        <f t="shared" si="7"/>
        <v>1</v>
      </c>
      <c r="AG23" s="25" t="b">
        <f t="shared" si="7"/>
        <v>1</v>
      </c>
      <c r="AH23" s="25" t="b">
        <f t="shared" si="7"/>
        <v>1</v>
      </c>
      <c r="AI23" s="25" t="b">
        <f t="shared" si="7"/>
        <v>1</v>
      </c>
    </row>
    <row r="24" spans="1:35" ht="15" customHeight="1">
      <c r="A24"/>
      <c r="B24" s="90"/>
      <c r="C24" s="90"/>
      <c r="D24" s="90"/>
      <c r="E24" s="90"/>
      <c r="F24" s="90"/>
      <c r="G24" s="6"/>
      <c r="H24" s="90"/>
      <c r="I24" s="29"/>
      <c r="J24" s="6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</row>
    <row r="25" spans="1:35" ht="15" customHeight="1">
      <c r="A25"/>
      <c r="B25" s="90"/>
      <c r="C25" s="90"/>
      <c r="D25" s="90"/>
      <c r="E25" s="90" t="s">
        <v>40</v>
      </c>
      <c r="F25" s="90"/>
      <c r="G25" s="70" t="str">
        <f>Inputs!$I$11</f>
        <v>£m 16/17 prices</v>
      </c>
      <c r="H25" s="90"/>
      <c r="I25" s="29"/>
      <c r="J25" s="6"/>
      <c r="K25" s="258">
        <f>IF(K23, IF(K22=1,SUM(K12:K13),K12 / K22), 0)</f>
        <v>16.166381332836366</v>
      </c>
      <c r="L25" s="258">
        <f t="shared" ref="L25:AI25" si="8">IF(L23, IF(L22=1,SUM(L12:L13),L12 / L22), 0)</f>
        <v>16.166381332836366</v>
      </c>
      <c r="M25" s="258">
        <f t="shared" si="8"/>
        <v>16.166381332836366</v>
      </c>
      <c r="N25" s="258">
        <f t="shared" si="8"/>
        <v>16.166381332836366</v>
      </c>
      <c r="O25" s="258">
        <f t="shared" si="8"/>
        <v>16.166381332836369</v>
      </c>
      <c r="P25" s="258">
        <f t="shared" si="8"/>
        <v>16.166381332836369</v>
      </c>
      <c r="Q25" s="258">
        <f t="shared" si="8"/>
        <v>16.166381332836369</v>
      </c>
      <c r="R25" s="258">
        <f t="shared" si="8"/>
        <v>16.302774679218714</v>
      </c>
      <c r="S25" s="258">
        <f t="shared" si="8"/>
        <v>16.503705139589723</v>
      </c>
      <c r="T25" s="258">
        <f t="shared" si="8"/>
        <v>16.503705139589723</v>
      </c>
      <c r="U25" s="258">
        <f t="shared" si="8"/>
        <v>16.579080608315408</v>
      </c>
      <c r="V25" s="258">
        <f t="shared" si="8"/>
        <v>16.579080608315412</v>
      </c>
      <c r="W25" s="258">
        <f t="shared" si="8"/>
        <v>16.632171041898918</v>
      </c>
      <c r="X25" s="258">
        <f t="shared" si="8"/>
        <v>16.72902573446466</v>
      </c>
      <c r="Y25" s="258">
        <f t="shared" si="8"/>
        <v>17.085467320168274</v>
      </c>
      <c r="Z25" s="258">
        <f t="shared" si="8"/>
        <v>17.08546732016827</v>
      </c>
      <c r="AA25" s="258">
        <f t="shared" si="8"/>
        <v>17.08546732016827</v>
      </c>
      <c r="AB25" s="258">
        <f t="shared" si="8"/>
        <v>20.023090849195814</v>
      </c>
      <c r="AC25" s="258">
        <f t="shared" si="8"/>
        <v>20.023090849195814</v>
      </c>
      <c r="AD25" s="258">
        <f t="shared" si="8"/>
        <v>20.023090849195814</v>
      </c>
      <c r="AE25" s="258">
        <f t="shared" si="8"/>
        <v>20.249217255372873</v>
      </c>
      <c r="AF25" s="258">
        <f t="shared" si="8"/>
        <v>20.862987314093417</v>
      </c>
      <c r="AG25" s="258">
        <f t="shared" si="8"/>
        <v>20.862987314093417</v>
      </c>
      <c r="AH25" s="258">
        <f t="shared" si="8"/>
        <v>20.862987314093417</v>
      </c>
      <c r="AI25" s="258">
        <f t="shared" si="8"/>
        <v>20.862987314093417</v>
      </c>
    </row>
    <row r="26" spans="1:35" ht="15" customHeight="1">
      <c r="A26"/>
      <c r="B26" s="90"/>
      <c r="C26" s="90"/>
      <c r="D26" s="90"/>
      <c r="E26" s="90"/>
      <c r="F26" s="90"/>
      <c r="G26" s="90"/>
      <c r="H26" s="90"/>
      <c r="I26" s="29"/>
      <c r="J26" s="6"/>
      <c r="K26" s="6"/>
      <c r="L26" s="6"/>
      <c r="M26" s="6"/>
      <c r="N26" s="6"/>
      <c r="O26" s="6"/>
      <c r="P26" s="6"/>
      <c r="Q26" s="6"/>
      <c r="R26" s="6"/>
      <c r="S26" s="90"/>
      <c r="T26" s="90"/>
      <c r="U26" s="90"/>
      <c r="V26" s="90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</row>
    <row r="27" spans="1:35" ht="15" customHeight="1">
      <c r="A27"/>
      <c r="B27" s="90"/>
      <c r="C27" s="90"/>
      <c r="D27" s="90"/>
      <c r="E27" s="90" t="s">
        <v>70</v>
      </c>
      <c r="F27" s="90"/>
      <c r="G27" s="90" t="s">
        <v>300</v>
      </c>
      <c r="H27" s="90"/>
      <c r="I27" s="274" t="str">
        <f>IF(ABS(SUM('Pre Op RAV'!K18:AX21,Finance!K39:AX42,Finance!K44:AX44,K13:AI13)-SUM(K25:AI25))&lt;0.00000001,"TRUE","FALSE")</f>
        <v>TRUE</v>
      </c>
      <c r="J27" s="6"/>
      <c r="K27" s="90"/>
      <c r="L27" s="6"/>
      <c r="M27" s="6"/>
      <c r="N27" s="6"/>
      <c r="O27" s="6"/>
      <c r="P27" s="6"/>
      <c r="Q27" s="6"/>
      <c r="R27" s="6"/>
      <c r="S27" s="90"/>
      <c r="T27" s="7"/>
      <c r="U27" s="7"/>
      <c r="V27" s="7"/>
      <c r="W27" s="7"/>
      <c r="X27" s="7"/>
      <c r="Y27" s="7"/>
      <c r="Z27" s="7"/>
      <c r="AA27" s="249"/>
      <c r="AB27" s="7"/>
      <c r="AC27" s="7"/>
      <c r="AD27" s="7"/>
      <c r="AE27" s="7"/>
      <c r="AF27" s="7"/>
      <c r="AG27" s="7"/>
      <c r="AH27" s="7"/>
      <c r="AI27" s="7"/>
    </row>
    <row r="28" spans="1:35" ht="15" customHeight="1">
      <c r="A28"/>
      <c r="B28" s="90"/>
      <c r="C28" s="90"/>
      <c r="D28" s="90"/>
      <c r="E28" s="90"/>
      <c r="F28" s="90"/>
      <c r="G28" s="90"/>
      <c r="H28" s="90"/>
      <c r="I28" s="90"/>
      <c r="J28" s="6"/>
      <c r="K28" s="90"/>
      <c r="L28" s="6"/>
      <c r="M28" s="6"/>
      <c r="N28" s="6"/>
      <c r="O28" s="6"/>
      <c r="P28" s="6"/>
      <c r="Q28" s="6"/>
      <c r="R28" s="6"/>
      <c r="S28" s="90"/>
      <c r="T28" s="7"/>
      <c r="U28" s="7"/>
      <c r="V28" s="7"/>
      <c r="W28" s="7"/>
      <c r="X28" s="7"/>
      <c r="Y28" s="7"/>
      <c r="Z28" s="7"/>
      <c r="AA28" s="249"/>
      <c r="AB28" s="7"/>
      <c r="AC28" s="7"/>
      <c r="AD28" s="7"/>
      <c r="AE28" s="7"/>
      <c r="AF28" s="7"/>
      <c r="AG28" s="7"/>
      <c r="AH28" s="7"/>
      <c r="AI28" s="7"/>
    </row>
    <row r="29" spans="1:35" ht="15" customHeight="1">
      <c r="A29"/>
      <c r="B29" s="188" t="s">
        <v>41</v>
      </c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</row>
    <row r="30" spans="1:35" ht="15" customHeight="1">
      <c r="A30"/>
      <c r="B30" s="34"/>
      <c r="C30" s="68"/>
      <c r="D30" s="68"/>
      <c r="E30" s="67"/>
      <c r="F30" s="68"/>
      <c r="G30" s="68"/>
      <c r="H30" s="62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 ht="15" customHeight="1">
      <c r="A31"/>
      <c r="B31" s="90"/>
      <c r="C31" s="90"/>
      <c r="D31" s="90"/>
      <c r="E31" s="71" t="s">
        <v>181</v>
      </c>
      <c r="F31" s="90"/>
      <c r="G31" s="71" t="str">
        <f>Inputs!G68</f>
        <v>real annual %</v>
      </c>
      <c r="H31" s="83"/>
      <c r="I31" s="155">
        <f>Inputs!I68</f>
        <v>8.0999999999999989E-2</v>
      </c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</row>
    <row r="32" spans="1:35" ht="15" customHeight="1">
      <c r="A32"/>
      <c r="B32" s="90"/>
      <c r="C32" s="90"/>
      <c r="D32" s="90"/>
      <c r="E32" s="71" t="s">
        <v>182</v>
      </c>
      <c r="F32" s="90"/>
      <c r="G32" s="71" t="str">
        <f>Inputs!G69</f>
        <v>real annual %</v>
      </c>
      <c r="H32" s="83"/>
      <c r="I32" s="155">
        <f>Inputs!I69</f>
        <v>-2.0999999999999999E-3</v>
      </c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</row>
    <row r="33" spans="1:35" ht="15" customHeight="1">
      <c r="A33"/>
      <c r="B33" s="90"/>
      <c r="C33" s="90"/>
      <c r="D33" s="90"/>
      <c r="E33" s="90"/>
      <c r="F33" s="90"/>
      <c r="G33" s="90"/>
      <c r="H33" s="90"/>
      <c r="I33" s="6"/>
      <c r="J33" s="6"/>
      <c r="K33" s="6"/>
      <c r="L33" s="6"/>
      <c r="M33" s="6"/>
      <c r="N33" s="6"/>
      <c r="O33" s="6"/>
      <c r="P33" s="6"/>
      <c r="Q33" s="6"/>
      <c r="R33" s="6"/>
      <c r="S33" s="90"/>
      <c r="T33" s="90"/>
      <c r="U33" s="90"/>
      <c r="V33" s="90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</row>
    <row r="34" spans="1:35" ht="15" customHeight="1">
      <c r="A34"/>
      <c r="B34" s="34"/>
      <c r="C34" s="68"/>
      <c r="D34" s="68"/>
      <c r="E34" s="67" t="s">
        <v>33</v>
      </c>
      <c r="F34" s="68"/>
      <c r="G34" s="70" t="str">
        <f>Inputs!$I$11</f>
        <v>£m 16/17 prices</v>
      </c>
      <c r="H34" s="62"/>
      <c r="I34" s="68"/>
      <c r="J34" s="68"/>
      <c r="K34" s="23">
        <f t="shared" ref="K34:AI34" si="9">K12</f>
        <v>404.15953332090913</v>
      </c>
      <c r="L34" s="23">
        <f t="shared" si="9"/>
        <v>387.99315198807278</v>
      </c>
      <c r="M34" s="23">
        <f t="shared" si="9"/>
        <v>371.82677065523643</v>
      </c>
      <c r="N34" s="23">
        <f t="shared" si="9"/>
        <v>355.66038932240008</v>
      </c>
      <c r="O34" s="23">
        <f t="shared" si="9"/>
        <v>339.49400798956373</v>
      </c>
      <c r="P34" s="23">
        <f t="shared" si="9"/>
        <v>323.32762665672738</v>
      </c>
      <c r="Q34" s="23">
        <f t="shared" si="9"/>
        <v>307.16124532389102</v>
      </c>
      <c r="R34" s="23">
        <f t="shared" si="9"/>
        <v>293.44994422593686</v>
      </c>
      <c r="S34" s="23">
        <f t="shared" si="9"/>
        <v>280.56298737302529</v>
      </c>
      <c r="T34" s="23">
        <f t="shared" si="9"/>
        <v>264.05928223343557</v>
      </c>
      <c r="U34" s="23">
        <f t="shared" si="9"/>
        <v>248.68620912473114</v>
      </c>
      <c r="V34" s="23">
        <f t="shared" si="9"/>
        <v>232.10712851641574</v>
      </c>
      <c r="W34" s="23">
        <f t="shared" si="9"/>
        <v>216.21822354468591</v>
      </c>
      <c r="X34" s="23">
        <f t="shared" si="9"/>
        <v>200.74830881357593</v>
      </c>
      <c r="Y34" s="23">
        <f t="shared" si="9"/>
        <v>187.94014052185099</v>
      </c>
      <c r="Z34" s="23">
        <f t="shared" si="9"/>
        <v>170.85467320168271</v>
      </c>
      <c r="AA34" s="23">
        <f t="shared" si="9"/>
        <v>153.76920588151444</v>
      </c>
      <c r="AB34" s="23">
        <f t="shared" si="9"/>
        <v>160.18472679356651</v>
      </c>
      <c r="AC34" s="23">
        <f t="shared" si="9"/>
        <v>140.16163594437069</v>
      </c>
      <c r="AD34" s="23">
        <f t="shared" si="9"/>
        <v>120.13854509517488</v>
      </c>
      <c r="AE34" s="23">
        <f t="shared" si="9"/>
        <v>101.24608627686436</v>
      </c>
      <c r="AF34" s="23">
        <f t="shared" si="9"/>
        <v>83.451949256373666</v>
      </c>
      <c r="AG34" s="23">
        <f t="shared" si="9"/>
        <v>62.58896194228025</v>
      </c>
      <c r="AH34" s="23">
        <f t="shared" si="9"/>
        <v>41.725974628186833</v>
      </c>
      <c r="AI34" s="23">
        <f t="shared" si="9"/>
        <v>20.862987314093417</v>
      </c>
    </row>
    <row r="35" spans="1:35" ht="15" customHeight="1">
      <c r="A35"/>
      <c r="B35" s="34"/>
      <c r="C35" s="68"/>
      <c r="D35" s="68"/>
      <c r="E35" s="67" t="s">
        <v>34</v>
      </c>
      <c r="F35" s="68"/>
      <c r="G35" s="70" t="str">
        <f>Inputs!$I$11</f>
        <v>£m 16/17 prices</v>
      </c>
      <c r="H35" s="62"/>
      <c r="I35" s="68"/>
      <c r="J35" s="68"/>
      <c r="K35" s="23">
        <f t="shared" ref="K35:AI35" si="10">K15</f>
        <v>387.99315198807278</v>
      </c>
      <c r="L35" s="23">
        <f t="shared" si="10"/>
        <v>371.82677065523643</v>
      </c>
      <c r="M35" s="23">
        <f t="shared" si="10"/>
        <v>355.66038932240008</v>
      </c>
      <c r="N35" s="23">
        <f t="shared" si="10"/>
        <v>339.49400798956373</v>
      </c>
      <c r="O35" s="23">
        <f t="shared" si="10"/>
        <v>323.32762665672738</v>
      </c>
      <c r="P35" s="23">
        <f t="shared" si="10"/>
        <v>307.16124532389102</v>
      </c>
      <c r="Q35" s="23">
        <f t="shared" si="10"/>
        <v>293.44994422593686</v>
      </c>
      <c r="R35" s="23">
        <f t="shared" si="10"/>
        <v>280.56298737302529</v>
      </c>
      <c r="S35" s="23">
        <f t="shared" si="10"/>
        <v>264.05928223343557</v>
      </c>
      <c r="T35" s="23">
        <f t="shared" si="10"/>
        <v>248.68620912473114</v>
      </c>
      <c r="U35" s="23">
        <f t="shared" si="10"/>
        <v>232.10712851641574</v>
      </c>
      <c r="V35" s="23">
        <f t="shared" si="10"/>
        <v>216.21822354468591</v>
      </c>
      <c r="W35" s="23">
        <f t="shared" si="10"/>
        <v>200.74830881357593</v>
      </c>
      <c r="X35" s="23">
        <f t="shared" si="10"/>
        <v>187.94014052185099</v>
      </c>
      <c r="Y35" s="23">
        <f t="shared" si="10"/>
        <v>170.85467320168271</v>
      </c>
      <c r="Z35" s="23">
        <f t="shared" si="10"/>
        <v>153.76920588151444</v>
      </c>
      <c r="AA35" s="23">
        <f t="shared" si="10"/>
        <v>160.18472679356651</v>
      </c>
      <c r="AB35" s="23">
        <f t="shared" si="10"/>
        <v>140.16163594437069</v>
      </c>
      <c r="AC35" s="23">
        <f t="shared" si="10"/>
        <v>120.13854509517488</v>
      </c>
      <c r="AD35" s="23">
        <f t="shared" si="10"/>
        <v>101.24608627686436</v>
      </c>
      <c r="AE35" s="23">
        <f t="shared" si="10"/>
        <v>83.451949256373666</v>
      </c>
      <c r="AF35" s="23">
        <f t="shared" si="10"/>
        <v>62.58896194228025</v>
      </c>
      <c r="AG35" s="23">
        <f t="shared" si="10"/>
        <v>41.725974628186833</v>
      </c>
      <c r="AH35" s="23">
        <f t="shared" si="10"/>
        <v>20.862987314093417</v>
      </c>
      <c r="AI35" s="23">
        <f t="shared" si="10"/>
        <v>0</v>
      </c>
    </row>
    <row r="36" spans="1:35" ht="15" customHeight="1">
      <c r="A36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</row>
    <row r="37" spans="1:35" ht="15" customHeight="1">
      <c r="A37"/>
      <c r="B37" s="9"/>
      <c r="C37" s="9"/>
      <c r="D37" s="9"/>
      <c r="E37" s="67" t="s">
        <v>44</v>
      </c>
      <c r="F37" s="68"/>
      <c r="G37" s="70" t="str">
        <f>Inputs!$I$11</f>
        <v>£m 16/17 prices</v>
      </c>
      <c r="H37" s="62"/>
      <c r="I37" s="20"/>
      <c r="J37" s="68"/>
      <c r="K37" s="23">
        <f>0.5 * K$34 + 0.5 * K$35 / (1 + $I31)</f>
        <v>381.54005897686193</v>
      </c>
      <c r="L37" s="23">
        <f t="shared" ref="L37:AI37" si="11">0.5 * L$34 + 0.5 * L$35 / (1 + $I31)</f>
        <v>365.97935613059349</v>
      </c>
      <c r="M37" s="23">
        <f t="shared" si="11"/>
        <v>350.41865328432505</v>
      </c>
      <c r="N37" s="23">
        <f t="shared" si="11"/>
        <v>334.85795043805649</v>
      </c>
      <c r="O37" s="23">
        <f t="shared" si="11"/>
        <v>319.29724759178805</v>
      </c>
      <c r="P37" s="23">
        <f t="shared" si="11"/>
        <v>303.73654474551961</v>
      </c>
      <c r="Q37" s="23">
        <f t="shared" si="11"/>
        <v>289.31140167486728</v>
      </c>
      <c r="R37" s="23">
        <f t="shared" si="11"/>
        <v>276.49508653157403</v>
      </c>
      <c r="S37" s="23">
        <f t="shared" si="11"/>
        <v>262.41807196284731</v>
      </c>
      <c r="T37" s="23">
        <f t="shared" si="11"/>
        <v>247.05563978680618</v>
      </c>
      <c r="U37" s="23">
        <f t="shared" si="11"/>
        <v>231.70070332111476</v>
      </c>
      <c r="V37" s="23">
        <f t="shared" si="11"/>
        <v>216.06199327980173</v>
      </c>
      <c r="W37" s="23">
        <f t="shared" si="11"/>
        <v>200.96216857788224</v>
      </c>
      <c r="X37" s="23">
        <f t="shared" si="11"/>
        <v>187.3029890607431</v>
      </c>
      <c r="Y37" s="23">
        <f t="shared" si="11"/>
        <v>172.99628358270289</v>
      </c>
      <c r="Z37" s="23">
        <f t="shared" si="11"/>
        <v>156.550928590441</v>
      </c>
      <c r="AA37" s="23">
        <f t="shared" si="11"/>
        <v>150.97559590725422</v>
      </c>
      <c r="AB37" s="23">
        <f t="shared" si="11"/>
        <v>144.92198224246812</v>
      </c>
      <c r="AC37" s="23">
        <f t="shared" si="11"/>
        <v>125.6490626970581</v>
      </c>
      <c r="AD37" s="23">
        <f t="shared" si="11"/>
        <v>106.89909968767272</v>
      </c>
      <c r="AE37" s="23">
        <f t="shared" si="11"/>
        <v>89.222464626116576</v>
      </c>
      <c r="AF37" s="23">
        <f t="shared" si="11"/>
        <v>70.675540743950137</v>
      </c>
      <c r="AG37" s="23">
        <f t="shared" si="11"/>
        <v>50.594191714982323</v>
      </c>
      <c r="AH37" s="23">
        <f t="shared" si="11"/>
        <v>30.512842686014515</v>
      </c>
      <c r="AI37" s="23">
        <f t="shared" si="11"/>
        <v>10.431493657046708</v>
      </c>
    </row>
    <row r="38" spans="1:35" ht="15" customHeight="1">
      <c r="A38"/>
      <c r="B38" s="9"/>
      <c r="C38" s="9"/>
      <c r="D38" s="9"/>
      <c r="E38" s="67" t="s">
        <v>45</v>
      </c>
      <c r="F38" s="68"/>
      <c r="G38" s="70" t="str">
        <f>Inputs!$I$11</f>
        <v>£m 16/17 prices</v>
      </c>
      <c r="H38" s="62"/>
      <c r="I38" s="20"/>
      <c r="J38" s="68"/>
      <c r="K38" s="23">
        <f t="shared" ref="K38:AI38" si="12">0.5 * K$34 + 0.5 * K$35 / (1 + $I32)</f>
        <v>396.48459278936167</v>
      </c>
      <c r="L38" s="23">
        <f t="shared" si="12"/>
        <v>380.30120103423906</v>
      </c>
      <c r="M38" s="23">
        <f t="shared" si="12"/>
        <v>364.11780927911639</v>
      </c>
      <c r="N38" s="23">
        <f t="shared" si="12"/>
        <v>347.93441752399377</v>
      </c>
      <c r="O38" s="23">
        <f t="shared" si="12"/>
        <v>331.75102576887116</v>
      </c>
      <c r="P38" s="23">
        <f t="shared" si="12"/>
        <v>315.56763401374849</v>
      </c>
      <c r="Q38" s="23">
        <f t="shared" si="12"/>
        <v>300.6143656351577</v>
      </c>
      <c r="R38" s="23">
        <f t="shared" si="12"/>
        <v>287.30167687949074</v>
      </c>
      <c r="S38" s="23">
        <f t="shared" si="12"/>
        <v>272.58898052559249</v>
      </c>
      <c r="T38" s="23">
        <f t="shared" si="12"/>
        <v>256.63441570572024</v>
      </c>
      <c r="U38" s="23">
        <f t="shared" si="12"/>
        <v>240.64089417876789</v>
      </c>
      <c r="V38" s="23">
        <f t="shared" si="12"/>
        <v>224.39018292976107</v>
      </c>
      <c r="W38" s="23">
        <f t="shared" si="12"/>
        <v>208.69449548492736</v>
      </c>
      <c r="X38" s="23">
        <f t="shared" si="12"/>
        <v>194.54197709535947</v>
      </c>
      <c r="Y38" s="23">
        <f t="shared" si="12"/>
        <v>179.5771817959905</v>
      </c>
      <c r="Z38" s="23">
        <f t="shared" si="12"/>
        <v>162.47373698239983</v>
      </c>
      <c r="AA38" s="23">
        <f t="shared" si="12"/>
        <v>157.14551425129258</v>
      </c>
      <c r="AB38" s="23">
        <f t="shared" si="12"/>
        <v>150.3206607935017</v>
      </c>
      <c r="AC38" s="23">
        <f t="shared" si="12"/>
        <v>130.27650145508687</v>
      </c>
      <c r="AD38" s="23">
        <f t="shared" si="12"/>
        <v>110.79884779403716</v>
      </c>
      <c r="AE38" s="23">
        <f t="shared" si="12"/>
        <v>92.436826712123775</v>
      </c>
      <c r="AF38" s="23">
        <f t="shared" si="12"/>
        <v>73.086312308455518</v>
      </c>
      <c r="AG38" s="23">
        <f t="shared" si="12"/>
        <v>52.201372757985922</v>
      </c>
      <c r="AH38" s="23">
        <f t="shared" si="12"/>
        <v>31.316433207516312</v>
      </c>
      <c r="AI38" s="23">
        <f t="shared" si="12"/>
        <v>10.431493657046708</v>
      </c>
    </row>
    <row r="39" spans="1:35" ht="15" customHeight="1">
      <c r="A39"/>
      <c r="B39" s="9"/>
      <c r="C39" s="9"/>
      <c r="D39" s="9"/>
      <c r="E39" s="67"/>
      <c r="F39" s="68"/>
      <c r="G39" s="68"/>
      <c r="H39" s="62"/>
      <c r="I39" s="20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 ht="15" customHeight="1">
      <c r="A40"/>
      <c r="B40" s="90"/>
      <c r="C40" s="90"/>
      <c r="D40" s="90"/>
      <c r="E40" s="20" t="s">
        <v>116</v>
      </c>
      <c r="F40" s="90"/>
      <c r="G40" s="70" t="str">
        <f>Inputs!$I$11</f>
        <v>£m 16/17 prices</v>
      </c>
      <c r="H40" s="90"/>
      <c r="I40" s="6"/>
      <c r="J40" s="6"/>
      <c r="K40" s="121">
        <f t="shared" ref="K40:AI40" si="13">K37 * $I31</f>
        <v>30.904744777125813</v>
      </c>
      <c r="L40" s="121">
        <f t="shared" si="13"/>
        <v>29.644327846578069</v>
      </c>
      <c r="M40" s="121">
        <f t="shared" si="13"/>
        <v>28.383910916030324</v>
      </c>
      <c r="N40" s="121">
        <f t="shared" si="13"/>
        <v>27.123493985482572</v>
      </c>
      <c r="O40" s="121">
        <f t="shared" si="13"/>
        <v>25.863077054934827</v>
      </c>
      <c r="P40" s="121">
        <f t="shared" si="13"/>
        <v>24.602660124387086</v>
      </c>
      <c r="Q40" s="121">
        <f t="shared" si="13"/>
        <v>23.434223535664248</v>
      </c>
      <c r="R40" s="121">
        <f t="shared" si="13"/>
        <v>22.396102009057493</v>
      </c>
      <c r="S40" s="121">
        <f t="shared" si="13"/>
        <v>21.255863828990631</v>
      </c>
      <c r="T40" s="121">
        <f t="shared" si="13"/>
        <v>20.011506822731299</v>
      </c>
      <c r="U40" s="121">
        <f t="shared" si="13"/>
        <v>18.767756969010293</v>
      </c>
      <c r="V40" s="121">
        <f t="shared" si="13"/>
        <v>17.501021455663938</v>
      </c>
      <c r="W40" s="121">
        <f t="shared" si="13"/>
        <v>16.277935654808459</v>
      </c>
      <c r="X40" s="121">
        <f t="shared" si="13"/>
        <v>15.171542113920189</v>
      </c>
      <c r="Y40" s="121">
        <f t="shared" si="13"/>
        <v>14.012698970198931</v>
      </c>
      <c r="Z40" s="121">
        <f t="shared" si="13"/>
        <v>12.680625215825719</v>
      </c>
      <c r="AA40" s="121">
        <f t="shared" si="13"/>
        <v>12.229023268487589</v>
      </c>
      <c r="AB40" s="121">
        <f t="shared" si="13"/>
        <v>11.738680561639915</v>
      </c>
      <c r="AC40" s="121">
        <f t="shared" si="13"/>
        <v>10.177574078461705</v>
      </c>
      <c r="AD40" s="121">
        <f t="shared" si="13"/>
        <v>8.6588270747014882</v>
      </c>
      <c r="AE40" s="121">
        <f t="shared" si="13"/>
        <v>7.2270196347154414</v>
      </c>
      <c r="AF40" s="121">
        <f t="shared" si="13"/>
        <v>5.7247188002599607</v>
      </c>
      <c r="AG40" s="121">
        <f t="shared" si="13"/>
        <v>4.0981295289135673</v>
      </c>
      <c r="AH40" s="121">
        <f t="shared" si="13"/>
        <v>2.4715402575671752</v>
      </c>
      <c r="AI40" s="121">
        <f t="shared" si="13"/>
        <v>0.84495098622078324</v>
      </c>
    </row>
    <row r="41" spans="1:35" ht="15" customHeight="1">
      <c r="A41"/>
      <c r="B41" s="90"/>
      <c r="C41" s="90"/>
      <c r="D41" s="90"/>
      <c r="E41" s="20" t="s">
        <v>117</v>
      </c>
      <c r="F41" s="90"/>
      <c r="G41" s="70" t="str">
        <f>Inputs!$I$11</f>
        <v>£m 16/17 prices</v>
      </c>
      <c r="H41" s="90"/>
      <c r="I41" s="6"/>
      <c r="J41" s="6"/>
      <c r="K41" s="121">
        <f t="shared" ref="K41:AI41" si="14">K38 * $I32</f>
        <v>-0.83261764485765943</v>
      </c>
      <c r="L41" s="121">
        <f t="shared" si="14"/>
        <v>-0.79863252217190195</v>
      </c>
      <c r="M41" s="121">
        <f t="shared" si="14"/>
        <v>-0.76464739948614435</v>
      </c>
      <c r="N41" s="121">
        <f t="shared" si="14"/>
        <v>-0.73066227680038687</v>
      </c>
      <c r="O41" s="121">
        <f t="shared" si="14"/>
        <v>-0.69667715411462938</v>
      </c>
      <c r="P41" s="121">
        <f t="shared" si="14"/>
        <v>-0.66269203142887179</v>
      </c>
      <c r="Q41" s="121">
        <f t="shared" si="14"/>
        <v>-0.63129016783383107</v>
      </c>
      <c r="R41" s="121">
        <f t="shared" si="14"/>
        <v>-0.60333352144693053</v>
      </c>
      <c r="S41" s="121">
        <f t="shared" si="14"/>
        <v>-0.5724368591037442</v>
      </c>
      <c r="T41" s="121">
        <f t="shared" si="14"/>
        <v>-0.53893227298201252</v>
      </c>
      <c r="U41" s="121">
        <f t="shared" si="14"/>
        <v>-0.50534587777541251</v>
      </c>
      <c r="V41" s="121">
        <f t="shared" si="14"/>
        <v>-0.4712193841524982</v>
      </c>
      <c r="W41" s="121">
        <f t="shared" si="14"/>
        <v>-0.43825844051834745</v>
      </c>
      <c r="X41" s="121">
        <f t="shared" si="14"/>
        <v>-0.40853815190025489</v>
      </c>
      <c r="Y41" s="121">
        <f t="shared" si="14"/>
        <v>-0.37711208177158001</v>
      </c>
      <c r="Z41" s="121">
        <f t="shared" si="14"/>
        <v>-0.34119484766303959</v>
      </c>
      <c r="AA41" s="121">
        <f t="shared" si="14"/>
        <v>-0.3300055799277144</v>
      </c>
      <c r="AB41" s="121">
        <f t="shared" si="14"/>
        <v>-0.31567338766635356</v>
      </c>
      <c r="AC41" s="121">
        <f t="shared" si="14"/>
        <v>-0.27358065305568241</v>
      </c>
      <c r="AD41" s="121">
        <f t="shared" si="14"/>
        <v>-0.23267758036747802</v>
      </c>
      <c r="AE41" s="121">
        <f t="shared" si="14"/>
        <v>-0.19411733609545992</v>
      </c>
      <c r="AF41" s="121">
        <f t="shared" si="14"/>
        <v>-0.15348125584775657</v>
      </c>
      <c r="AG41" s="121">
        <f t="shared" si="14"/>
        <v>-0.10962288279177043</v>
      </c>
      <c r="AH41" s="121">
        <f t="shared" si="14"/>
        <v>-6.5764509735784252E-2</v>
      </c>
      <c r="AI41" s="121">
        <f t="shared" si="14"/>
        <v>-2.1906136679798086E-2</v>
      </c>
    </row>
    <row r="42" spans="1:35" ht="15" customHeight="1">
      <c r="A42"/>
      <c r="B42" s="90"/>
      <c r="C42" s="90"/>
      <c r="D42" s="90"/>
      <c r="E42" s="90"/>
      <c r="F42" s="90"/>
      <c r="G42" s="90"/>
      <c r="H42" s="90"/>
      <c r="I42" s="29"/>
      <c r="J42" s="6"/>
      <c r="K42" s="6"/>
      <c r="L42" s="6"/>
      <c r="M42" s="6"/>
      <c r="N42" s="6"/>
      <c r="O42" s="6"/>
      <c r="P42" s="6"/>
      <c r="Q42" s="6"/>
      <c r="R42" s="6"/>
      <c r="S42" s="90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</row>
    <row r="43" spans="1:35" ht="15" customHeight="1">
      <c r="A43"/>
      <c r="B43" s="188" t="s">
        <v>8</v>
      </c>
      <c r="C43" s="72"/>
      <c r="D43" s="72"/>
      <c r="E43" s="72"/>
      <c r="F43" s="72"/>
      <c r="G43" s="72"/>
      <c r="H43" s="72"/>
      <c r="I43" s="115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</row>
    <row r="44" spans="1:35" ht="15" customHeight="1">
      <c r="A44"/>
    </row>
    <row r="45" spans="1:35" ht="15" hidden="1" customHeight="1">
      <c r="A45"/>
    </row>
    <row r="46" spans="1:35" ht="15" hidden="1" customHeight="1">
      <c r="A46"/>
    </row>
    <row r="47" spans="1:35" ht="15" hidden="1" customHeight="1">
      <c r="A47"/>
    </row>
    <row r="48" spans="1:35" ht="15" hidden="1" customHeight="1">
      <c r="A48"/>
    </row>
    <row r="49" spans="1:1" ht="15" hidden="1" customHeight="1">
      <c r="A49"/>
    </row>
    <row r="50" spans="1:1" ht="15" hidden="1" customHeight="1">
      <c r="A50"/>
    </row>
    <row r="51" spans="1:1" ht="15" hidden="1" customHeight="1">
      <c r="A51"/>
    </row>
    <row r="52" spans="1:1" ht="15" hidden="1" customHeight="1">
      <c r="A52"/>
    </row>
    <row r="53" spans="1:1" ht="15" hidden="1" customHeight="1">
      <c r="A53"/>
    </row>
    <row r="54" spans="1:1" ht="15" hidden="1" customHeight="1">
      <c r="A54"/>
    </row>
    <row r="55" spans="1:1" ht="15" hidden="1" customHeight="1">
      <c r="A55"/>
    </row>
    <row r="56" spans="1:1" ht="15" hidden="1" customHeight="1">
      <c r="A56"/>
    </row>
    <row r="57" spans="1:1" ht="15" hidden="1" customHeight="1">
      <c r="A57"/>
    </row>
    <row r="58" spans="1:1" ht="15" hidden="1" customHeight="1">
      <c r="A58"/>
    </row>
    <row r="59" spans="1:1" ht="15" hidden="1" customHeight="1">
      <c r="A59"/>
    </row>
  </sheetData>
  <sheetProtection algorithmName="SHA-512" hashValue="rfKE+x/TSic3tO3Khxke6j/k9pCGgSt4fDDBeN1x8kzX00LB1+sdpTRRwWroQu6GtrTBt8cjVQgithpPsuXyOg==" saltValue="OVwkgHVmeklv8o4nUDZZJg==" spinCount="100000" sheet="1" objects="1" scenarios="1"/>
  <conditionalFormatting sqref="S21:AI21">
    <cfRule type="cellIs" dxfId="3" priority="2" operator="equal">
      <formula>FALSE()</formula>
    </cfRule>
  </conditionalFormatting>
  <conditionalFormatting sqref="K23:AI23">
    <cfRule type="cellIs" dxfId="2" priority="1" operator="equal">
      <formula>FALSE()</formula>
    </cfRule>
  </conditionalFormatting>
  <pageMargins left="0.23622047244094491" right="0.23622047244094491" top="0.74803149606299213" bottom="0.74803149606299213" header="0.31496062992125984" footer="0.31496062992125984"/>
  <pageSetup paperSize="8" scale="43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59999389629810485"/>
    <pageSetUpPr fitToPage="1"/>
  </sheetPr>
  <dimension ref="A1:AY40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defaultColWidth="0" defaultRowHeight="15" customHeight="1" zeroHeight="1"/>
  <cols>
    <col min="1" max="3" width="2.59765625" style="32" customWidth="1"/>
    <col min="4" max="4" width="2.59765625" style="21" customWidth="1"/>
    <col min="5" max="5" width="50.59765625" style="21" customWidth="1"/>
    <col min="6" max="6" width="1.59765625" style="21" customWidth="1"/>
    <col min="7" max="7" width="15.59765625" style="21" customWidth="1"/>
    <col min="8" max="8" width="10.8984375" style="21" bestFit="1" customWidth="1"/>
    <col min="9" max="9" width="10.59765625" style="21" customWidth="1"/>
    <col min="10" max="10" width="1.59765625" style="21" customWidth="1"/>
    <col min="11" max="15" width="10.59765625" style="83" customWidth="1"/>
    <col min="16" max="35" width="10.59765625" style="21" customWidth="1"/>
    <col min="36" max="36" width="3.09765625" customWidth="1"/>
    <col min="37" max="50" width="10.59765625" hidden="1" customWidth="1"/>
    <col min="51" max="51" width="2.59765625" hidden="1" customWidth="1"/>
    <col min="52" max="16384" width="9.09765625" hidden="1"/>
  </cols>
  <sheetData>
    <row r="1" spans="1:35" ht="15" customHeight="1">
      <c r="A1" s="242" t="s">
        <v>245</v>
      </c>
      <c r="B1" s="16"/>
      <c r="C1" s="16"/>
      <c r="D1" s="16"/>
      <c r="E1" s="16"/>
      <c r="F1" s="16"/>
      <c r="G1" s="16"/>
      <c r="H1" s="16" t="s">
        <v>73</v>
      </c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</row>
    <row r="2" spans="1:35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3" spans="1:35" ht="15" customHeight="1">
      <c r="A3" s="16"/>
      <c r="B3" s="16"/>
      <c r="C3" s="16"/>
      <c r="D3" s="16"/>
      <c r="E3" s="19" t="s">
        <v>10</v>
      </c>
      <c r="F3" s="18"/>
      <c r="G3" s="18"/>
      <c r="H3" s="18"/>
      <c r="I3" s="27"/>
      <c r="J3" s="19"/>
      <c r="K3" s="186" t="s">
        <v>88</v>
      </c>
      <c r="L3" s="186" t="s">
        <v>89</v>
      </c>
      <c r="M3" s="186" t="s">
        <v>90</v>
      </c>
      <c r="N3" s="186" t="s">
        <v>91</v>
      </c>
      <c r="O3" s="186" t="s">
        <v>92</v>
      </c>
      <c r="P3" s="186" t="s">
        <v>93</v>
      </c>
      <c r="Q3" s="186" t="s">
        <v>94</v>
      </c>
      <c r="R3" s="186" t="s">
        <v>95</v>
      </c>
      <c r="S3" s="186" t="s">
        <v>96</v>
      </c>
      <c r="T3" s="186" t="s">
        <v>97</v>
      </c>
      <c r="U3" s="186" t="s">
        <v>98</v>
      </c>
      <c r="V3" s="186" t="s">
        <v>99</v>
      </c>
      <c r="W3" s="186" t="s">
        <v>100</v>
      </c>
      <c r="X3" s="186" t="s">
        <v>101</v>
      </c>
      <c r="Y3" s="186" t="s">
        <v>102</v>
      </c>
      <c r="Z3" s="186" t="s">
        <v>103</v>
      </c>
      <c r="AA3" s="186" t="s">
        <v>104</v>
      </c>
      <c r="AB3" s="186" t="s">
        <v>105</v>
      </c>
      <c r="AC3" s="186" t="s">
        <v>106</v>
      </c>
      <c r="AD3" s="186" t="s">
        <v>107</v>
      </c>
      <c r="AE3" s="186" t="s">
        <v>108</v>
      </c>
      <c r="AF3" s="186" t="s">
        <v>109</v>
      </c>
      <c r="AG3" s="186" t="s">
        <v>110</v>
      </c>
      <c r="AH3" s="186" t="s">
        <v>111</v>
      </c>
      <c r="AI3" s="186" t="s">
        <v>112</v>
      </c>
    </row>
    <row r="4" spans="1:35" ht="15" customHeight="1">
      <c r="A4" s="16"/>
      <c r="B4" s="16"/>
      <c r="C4" s="16"/>
      <c r="D4" s="16"/>
      <c r="E4" s="11" t="s">
        <v>113</v>
      </c>
      <c r="F4" s="18"/>
      <c r="G4" s="18"/>
      <c r="H4" s="18"/>
      <c r="I4" s="18"/>
      <c r="J4" s="19"/>
      <c r="K4" s="189">
        <v>1</v>
      </c>
      <c r="L4" s="189">
        <f>+K4+1</f>
        <v>2</v>
      </c>
      <c r="M4" s="189">
        <f t="shared" ref="M4:AI4" si="0">+L4+1</f>
        <v>3</v>
      </c>
      <c r="N4" s="189">
        <f t="shared" si="0"/>
        <v>4</v>
      </c>
      <c r="O4" s="189">
        <f t="shared" si="0"/>
        <v>5</v>
      </c>
      <c r="P4" s="189">
        <f t="shared" si="0"/>
        <v>6</v>
      </c>
      <c r="Q4" s="189">
        <f t="shared" si="0"/>
        <v>7</v>
      </c>
      <c r="R4" s="189">
        <f t="shared" si="0"/>
        <v>8</v>
      </c>
      <c r="S4" s="189">
        <f t="shared" si="0"/>
        <v>9</v>
      </c>
      <c r="T4" s="189">
        <f t="shared" si="0"/>
        <v>10</v>
      </c>
      <c r="U4" s="189">
        <f t="shared" si="0"/>
        <v>11</v>
      </c>
      <c r="V4" s="189">
        <f t="shared" si="0"/>
        <v>12</v>
      </c>
      <c r="W4" s="189">
        <f t="shared" si="0"/>
        <v>13</v>
      </c>
      <c r="X4" s="189">
        <f t="shared" si="0"/>
        <v>14</v>
      </c>
      <c r="Y4" s="189">
        <f t="shared" si="0"/>
        <v>15</v>
      </c>
      <c r="Z4" s="189">
        <f t="shared" si="0"/>
        <v>16</v>
      </c>
      <c r="AA4" s="189">
        <f t="shared" si="0"/>
        <v>17</v>
      </c>
      <c r="AB4" s="189">
        <f t="shared" si="0"/>
        <v>18</v>
      </c>
      <c r="AC4" s="189">
        <f t="shared" si="0"/>
        <v>19</v>
      </c>
      <c r="AD4" s="189">
        <f t="shared" si="0"/>
        <v>20</v>
      </c>
      <c r="AE4" s="189">
        <f t="shared" si="0"/>
        <v>21</v>
      </c>
      <c r="AF4" s="189">
        <f t="shared" si="0"/>
        <v>22</v>
      </c>
      <c r="AG4" s="189">
        <f t="shared" si="0"/>
        <v>23</v>
      </c>
      <c r="AH4" s="189">
        <f t="shared" si="0"/>
        <v>24</v>
      </c>
      <c r="AI4" s="189">
        <f t="shared" si="0"/>
        <v>25</v>
      </c>
    </row>
    <row r="5" spans="1:35" ht="15" customHeight="1">
      <c r="I5" s="33"/>
      <c r="J5" s="33"/>
      <c r="K5" s="85"/>
      <c r="L5" s="85"/>
      <c r="M5" s="85"/>
      <c r="N5" s="85"/>
      <c r="O5" s="85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</row>
    <row r="6" spans="1:35" ht="15" customHeight="1">
      <c r="A6" t="s">
        <v>223</v>
      </c>
      <c r="B6" s="188" t="s">
        <v>47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</row>
    <row r="7" spans="1:35" ht="15" customHeight="1">
      <c r="A7"/>
      <c r="B7" s="84"/>
      <c r="C7" s="84"/>
      <c r="D7" s="83"/>
      <c r="E7" s="83"/>
      <c r="F7" s="83"/>
      <c r="G7" s="83"/>
      <c r="H7" s="83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</row>
    <row r="8" spans="1:35" ht="15" customHeight="1">
      <c r="A8"/>
      <c r="B8" s="34"/>
      <c r="C8" s="34"/>
      <c r="D8" s="39"/>
      <c r="E8" s="90" t="s">
        <v>237</v>
      </c>
      <c r="F8" s="37"/>
      <c r="G8" s="70" t="str">
        <f>Inputs!$I$11</f>
        <v>£m 16/17 prices</v>
      </c>
      <c r="H8" s="39"/>
      <c r="I8" s="35"/>
      <c r="J8" s="35"/>
      <c r="K8" s="117">
        <f>Inputs!K61</f>
        <v>14.44214945515499</v>
      </c>
      <c r="L8" s="117">
        <f>Inputs!L61</f>
        <v>10.852731227485117</v>
      </c>
      <c r="M8" s="117">
        <f>Inputs!M61</f>
        <v>14.836665994901963</v>
      </c>
      <c r="N8" s="117">
        <f>Inputs!N61</f>
        <v>14.55284567999627</v>
      </c>
      <c r="O8" s="117">
        <f>Inputs!O61</f>
        <v>15.525196798650219</v>
      </c>
      <c r="P8" s="117">
        <f>Inputs!P61</f>
        <v>15.485257213715073</v>
      </c>
      <c r="Q8" s="117">
        <f>Inputs!Q61</f>
        <v>15.309436357939406</v>
      </c>
      <c r="R8" s="117">
        <f>Inputs!R61</f>
        <v>16.503506579036483</v>
      </c>
      <c r="S8" s="117">
        <f>Inputs!S61</f>
        <v>16.844325279280508</v>
      </c>
      <c r="T8" s="117">
        <f>Inputs!T61</f>
        <v>17.776611902928519</v>
      </c>
      <c r="U8" s="117">
        <f>Inputs!U61</f>
        <v>17.456705345592507</v>
      </c>
      <c r="V8" s="117">
        <f>Inputs!V61</f>
        <v>17.487043053346056</v>
      </c>
      <c r="W8" s="117">
        <f>Inputs!W61</f>
        <v>17.517981301582545</v>
      </c>
      <c r="X8" s="117">
        <f>Inputs!X61</f>
        <v>17.549536415439125</v>
      </c>
      <c r="Y8" s="117">
        <f>Inputs!Y61</f>
        <v>18.337181141440603</v>
      </c>
      <c r="Z8" s="117">
        <f>Inputs!Z61</f>
        <v>17.866684110196161</v>
      </c>
      <c r="AA8" s="117">
        <f>Inputs!AA61</f>
        <v>17.902064412959103</v>
      </c>
      <c r="AB8" s="117">
        <f>Inputs!AB61</f>
        <v>17.938169600363263</v>
      </c>
      <c r="AC8" s="117">
        <f>Inputs!AC61</f>
        <v>17.975019477613689</v>
      </c>
      <c r="AD8" s="117">
        <f>Inputs!AD61</f>
        <v>18.779616841015756</v>
      </c>
      <c r="AE8" s="117">
        <f>Inputs!AE61</f>
        <v>18.360273036434535</v>
      </c>
      <c r="AF8" s="117">
        <f>Inputs!AF61</f>
        <v>18.401358203189748</v>
      </c>
      <c r="AG8" s="117">
        <f>Inputs!AG61</f>
        <v>18.443311154686921</v>
      </c>
      <c r="AH8" s="117">
        <f>Inputs!AH61</f>
        <v>18.486155725117051</v>
      </c>
      <c r="AI8" s="117">
        <f>Inputs!AI61</f>
        <v>18.690478265584147</v>
      </c>
    </row>
    <row r="9" spans="1:35" ht="15" customHeight="1">
      <c r="A9"/>
      <c r="B9" s="34"/>
      <c r="C9" s="34"/>
      <c r="D9" s="39"/>
      <c r="E9" s="90" t="s">
        <v>239</v>
      </c>
      <c r="F9" s="37"/>
      <c r="G9" s="70" t="str">
        <f>Inputs!$I$11</f>
        <v>£m 16/17 prices</v>
      </c>
      <c r="H9" s="39"/>
      <c r="I9" s="35"/>
      <c r="J9" s="35"/>
      <c r="K9" s="117">
        <f>Inputs!K62</f>
        <v>1.0615144493734652</v>
      </c>
      <c r="L9" s="117">
        <f>Inputs!L62</f>
        <v>1.0480665434133698</v>
      </c>
      <c r="M9" s="117">
        <f>Inputs!M62</f>
        <v>1.0382232216850515</v>
      </c>
      <c r="N9" s="117">
        <f>Inputs!N62</f>
        <v>1.0284725252444746</v>
      </c>
      <c r="O9" s="117">
        <f>Inputs!O62</f>
        <v>1.0188135808622372</v>
      </c>
      <c r="P9" s="117">
        <f>Inputs!P62</f>
        <v>1.0092455235562319</v>
      </c>
      <c r="Q9" s="117">
        <f>Inputs!Q62</f>
        <v>0.9997674965136214</v>
      </c>
      <c r="R9" s="117">
        <f>Inputs!R62</f>
        <v>0.99037865101354716</v>
      </c>
      <c r="S9" s="117">
        <f>Inputs!S62</f>
        <v>0.98107814635057489</v>
      </c>
      <c r="T9" s="117">
        <f>Inputs!T62</f>
        <v>0.97186514975886296</v>
      </c>
      <c r="U9" s="117">
        <f>Inputs!U62</f>
        <v>0.96273883633705104</v>
      </c>
      <c r="V9" s="117">
        <f>Inputs!V62</f>
        <v>0.95369838897385817</v>
      </c>
      <c r="W9" s="117">
        <f>Inputs!W62</f>
        <v>0.94474299827438946</v>
      </c>
      <c r="X9" s="117">
        <f>Inputs!X62</f>
        <v>0.9358718624871385</v>
      </c>
      <c r="Y9" s="117">
        <f>Inputs!Y62</f>
        <v>0.92708418743168119</v>
      </c>
      <c r="Z9" s="117">
        <f>Inputs!Z62</f>
        <v>0.91837918642705685</v>
      </c>
      <c r="AA9" s="117">
        <f>Inputs!AA62</f>
        <v>0.90975608022082677</v>
      </c>
      <c r="AB9" s="117">
        <f>Inputs!AB62</f>
        <v>0.90121409691880305</v>
      </c>
      <c r="AC9" s="117">
        <f>Inputs!AC62</f>
        <v>0.89275247191544826</v>
      </c>
      <c r="AD9" s="117">
        <f>Inputs!AD62</f>
        <v>0.88437044782492846</v>
      </c>
      <c r="AE9" s="117">
        <f>Inputs!AE62</f>
        <v>0.87606727441282495</v>
      </c>
      <c r="AF9" s="117">
        <f>Inputs!AF62</f>
        <v>0.86784220852848915</v>
      </c>
      <c r="AG9" s="117">
        <f>Inputs!AG62</f>
        <v>0.85969451403803987</v>
      </c>
      <c r="AH9" s="117">
        <f>Inputs!AH62</f>
        <v>0.85162346175799697</v>
      </c>
      <c r="AI9" s="117">
        <f>Inputs!AI62</f>
        <v>0.84362832938954024</v>
      </c>
    </row>
    <row r="10" spans="1:35" ht="15" customHeight="1">
      <c r="A10"/>
      <c r="B10" s="34"/>
      <c r="C10" s="34"/>
      <c r="D10" s="39"/>
      <c r="E10" s="90" t="s">
        <v>123</v>
      </c>
      <c r="F10" s="37"/>
      <c r="G10" s="70" t="str">
        <f>Inputs!$I$11</f>
        <v>£m 16/17 prices</v>
      </c>
      <c r="H10" s="39"/>
      <c r="I10" s="35"/>
      <c r="J10" s="35"/>
      <c r="K10" s="117">
        <f>Inputs!K60</f>
        <v>0</v>
      </c>
      <c r="L10" s="117">
        <f>Inputs!L60</f>
        <v>0</v>
      </c>
      <c r="M10" s="117">
        <f>Inputs!M60</f>
        <v>0</v>
      </c>
      <c r="N10" s="117">
        <f>Inputs!N60</f>
        <v>0</v>
      </c>
      <c r="O10" s="117">
        <f>Inputs!O60</f>
        <v>0</v>
      </c>
      <c r="P10" s="117">
        <f>Inputs!P60</f>
        <v>0</v>
      </c>
      <c r="Q10" s="117">
        <f>Inputs!Q60</f>
        <v>0</v>
      </c>
      <c r="R10" s="117">
        <f>Inputs!R60</f>
        <v>0</v>
      </c>
      <c r="S10" s="117">
        <f>Inputs!S60</f>
        <v>0</v>
      </c>
      <c r="T10" s="117">
        <f>Inputs!T60</f>
        <v>0</v>
      </c>
      <c r="U10" s="117">
        <f>Inputs!U60</f>
        <v>0</v>
      </c>
      <c r="V10" s="117">
        <f>Inputs!V60</f>
        <v>0</v>
      </c>
      <c r="W10" s="117">
        <f>Inputs!W60</f>
        <v>0</v>
      </c>
      <c r="X10" s="117">
        <f>Inputs!X60</f>
        <v>0</v>
      </c>
      <c r="Y10" s="117">
        <f>Inputs!Y60</f>
        <v>0</v>
      </c>
      <c r="Z10" s="117">
        <f>Inputs!Z60</f>
        <v>0</v>
      </c>
      <c r="AA10" s="117">
        <f>Inputs!AA60</f>
        <v>0</v>
      </c>
      <c r="AB10" s="117">
        <f>Inputs!AB60</f>
        <v>0</v>
      </c>
      <c r="AC10" s="117">
        <f>Inputs!AC60</f>
        <v>0</v>
      </c>
      <c r="AD10" s="117">
        <f>Inputs!AD60</f>
        <v>0</v>
      </c>
      <c r="AE10" s="117">
        <f>Inputs!AE60</f>
        <v>0</v>
      </c>
      <c r="AF10" s="117">
        <f>Inputs!AF60</f>
        <v>0</v>
      </c>
      <c r="AG10" s="117">
        <f>Inputs!AG60</f>
        <v>0</v>
      </c>
      <c r="AH10" s="117">
        <f>Inputs!AH60</f>
        <v>0</v>
      </c>
      <c r="AI10" s="117">
        <f>Inputs!AI60</f>
        <v>26.210380723083983</v>
      </c>
    </row>
    <row r="11" spans="1:35" ht="15" customHeight="1">
      <c r="A11"/>
      <c r="B11" s="34"/>
      <c r="C11" s="34"/>
      <c r="D11" s="39"/>
      <c r="E11" s="90" t="s">
        <v>40</v>
      </c>
      <c r="F11" s="37"/>
      <c r="G11" s="70" t="str">
        <f>Inputs!$I$11</f>
        <v>£m 16/17 prices</v>
      </c>
      <c r="H11" s="39"/>
      <c r="I11" s="35"/>
      <c r="J11" s="35"/>
      <c r="K11" s="117">
        <f>'Op Rav'!K25</f>
        <v>16.166381332836366</v>
      </c>
      <c r="L11" s="117">
        <f>'Op Rav'!L25</f>
        <v>16.166381332836366</v>
      </c>
      <c r="M11" s="117">
        <f>'Op Rav'!M25</f>
        <v>16.166381332836366</v>
      </c>
      <c r="N11" s="117">
        <f>'Op Rav'!N25</f>
        <v>16.166381332836366</v>
      </c>
      <c r="O11" s="117">
        <f>'Op Rav'!O25</f>
        <v>16.166381332836369</v>
      </c>
      <c r="P11" s="117">
        <f>'Op Rav'!P25</f>
        <v>16.166381332836369</v>
      </c>
      <c r="Q11" s="117">
        <f>'Op Rav'!Q25</f>
        <v>16.166381332836369</v>
      </c>
      <c r="R11" s="117">
        <f>'Op Rav'!R25</f>
        <v>16.302774679218714</v>
      </c>
      <c r="S11" s="117">
        <f>'Op Rav'!S25</f>
        <v>16.503705139589723</v>
      </c>
      <c r="T11" s="117">
        <f>'Op Rav'!T25</f>
        <v>16.503705139589723</v>
      </c>
      <c r="U11" s="117">
        <f>'Op Rav'!U25</f>
        <v>16.579080608315408</v>
      </c>
      <c r="V11" s="117">
        <f>'Op Rav'!V25</f>
        <v>16.579080608315412</v>
      </c>
      <c r="W11" s="117">
        <f>'Op Rav'!W25</f>
        <v>16.632171041898918</v>
      </c>
      <c r="X11" s="117">
        <f>'Op Rav'!X25</f>
        <v>16.72902573446466</v>
      </c>
      <c r="Y11" s="117">
        <f>'Op Rav'!Y25</f>
        <v>17.085467320168274</v>
      </c>
      <c r="Z11" s="117">
        <f>'Op Rav'!Z25</f>
        <v>17.08546732016827</v>
      </c>
      <c r="AA11" s="117">
        <f>'Op Rav'!AA25</f>
        <v>17.08546732016827</v>
      </c>
      <c r="AB11" s="117">
        <f>'Op Rav'!AB25</f>
        <v>20.023090849195814</v>
      </c>
      <c r="AC11" s="117">
        <f>'Op Rav'!AC25</f>
        <v>20.023090849195814</v>
      </c>
      <c r="AD11" s="117">
        <f>'Op Rav'!AD25</f>
        <v>20.023090849195814</v>
      </c>
      <c r="AE11" s="117">
        <f>'Op Rav'!AE25</f>
        <v>20.249217255372873</v>
      </c>
      <c r="AF11" s="117">
        <f>'Op Rav'!AF25</f>
        <v>20.862987314093417</v>
      </c>
      <c r="AG11" s="117">
        <f>'Op Rav'!AG25</f>
        <v>20.862987314093417</v>
      </c>
      <c r="AH11" s="117">
        <f>'Op Rav'!AH25</f>
        <v>20.862987314093417</v>
      </c>
      <c r="AI11" s="117">
        <f>'Op Rav'!AI25</f>
        <v>20.862987314093417</v>
      </c>
    </row>
    <row r="12" spans="1:35" ht="15" customHeight="1">
      <c r="A12"/>
      <c r="B12" s="84"/>
      <c r="C12" s="84"/>
      <c r="D12" s="83"/>
      <c r="E12" s="9" t="s">
        <v>116</v>
      </c>
      <c r="F12" s="83"/>
      <c r="G12" s="70" t="str">
        <f>Inputs!$I$11</f>
        <v>£m 16/17 prices</v>
      </c>
      <c r="H12" s="83"/>
      <c r="I12" s="90"/>
      <c r="J12" s="83"/>
      <c r="K12" s="118">
        <f>'Op Rav'!K40</f>
        <v>30.904744777125813</v>
      </c>
      <c r="L12" s="118">
        <f>'Op Rav'!L40</f>
        <v>29.644327846578069</v>
      </c>
      <c r="M12" s="118">
        <f>'Op Rav'!M40</f>
        <v>28.383910916030324</v>
      </c>
      <c r="N12" s="118">
        <f>'Op Rav'!N40</f>
        <v>27.123493985482572</v>
      </c>
      <c r="O12" s="118">
        <f>'Op Rav'!O40</f>
        <v>25.863077054934827</v>
      </c>
      <c r="P12" s="118">
        <f>'Op Rav'!P40</f>
        <v>24.602660124387086</v>
      </c>
      <c r="Q12" s="118">
        <f>'Op Rav'!Q40</f>
        <v>23.434223535664248</v>
      </c>
      <c r="R12" s="118">
        <f>'Op Rav'!R40</f>
        <v>22.396102009057493</v>
      </c>
      <c r="S12" s="118">
        <f>'Op Rav'!S40</f>
        <v>21.255863828990631</v>
      </c>
      <c r="T12" s="118">
        <f>'Op Rav'!T40</f>
        <v>20.011506822731299</v>
      </c>
      <c r="U12" s="118">
        <f>'Op Rav'!U40</f>
        <v>18.767756969010293</v>
      </c>
      <c r="V12" s="118">
        <f>'Op Rav'!V40</f>
        <v>17.501021455663938</v>
      </c>
      <c r="W12" s="118">
        <f>'Op Rav'!W40</f>
        <v>16.277935654808459</v>
      </c>
      <c r="X12" s="118">
        <f>'Op Rav'!X40</f>
        <v>15.171542113920189</v>
      </c>
      <c r="Y12" s="118">
        <f>'Op Rav'!Y40</f>
        <v>14.012698970198931</v>
      </c>
      <c r="Z12" s="118">
        <f>'Op Rav'!Z40</f>
        <v>12.680625215825719</v>
      </c>
      <c r="AA12" s="118">
        <f>'Op Rav'!AA40</f>
        <v>12.229023268487589</v>
      </c>
      <c r="AB12" s="118">
        <f>'Op Rav'!AB40</f>
        <v>11.738680561639915</v>
      </c>
      <c r="AC12" s="118">
        <f>'Op Rav'!AC40</f>
        <v>10.177574078461705</v>
      </c>
      <c r="AD12" s="118">
        <f>'Op Rav'!AD40</f>
        <v>8.6588270747014882</v>
      </c>
      <c r="AE12" s="118">
        <f>'Op Rav'!AE40</f>
        <v>7.2270196347154414</v>
      </c>
      <c r="AF12" s="118">
        <f>'Op Rav'!AF40</f>
        <v>5.7247188002599607</v>
      </c>
      <c r="AG12" s="118">
        <f>'Op Rav'!AG40</f>
        <v>4.0981295289135673</v>
      </c>
      <c r="AH12" s="118">
        <f>'Op Rav'!AH40</f>
        <v>2.4715402575671752</v>
      </c>
      <c r="AI12" s="118">
        <f>'Op Rav'!AI40</f>
        <v>0.84495098622078324</v>
      </c>
    </row>
    <row r="13" spans="1:35" ht="15" customHeight="1">
      <c r="A13"/>
      <c r="B13" s="84"/>
      <c r="C13" s="39"/>
      <c r="D13" s="83"/>
      <c r="E13" s="83" t="s">
        <v>47</v>
      </c>
      <c r="F13" s="83"/>
      <c r="G13" s="70" t="str">
        <f>Inputs!$I$11</f>
        <v>£m 16/17 prices</v>
      </c>
      <c r="H13" s="83"/>
      <c r="I13" s="90"/>
      <c r="J13" s="83"/>
      <c r="K13" s="8">
        <f>SUM(K8:K12)</f>
        <v>62.574790014490631</v>
      </c>
      <c r="L13" s="8">
        <f t="shared" ref="L13:AI13" si="1">SUM(L8:L12)</f>
        <v>57.711506950312923</v>
      </c>
      <c r="M13" s="8">
        <f t="shared" si="1"/>
        <v>60.425181465453704</v>
      </c>
      <c r="N13" s="8">
        <f t="shared" si="1"/>
        <v>58.871193523559683</v>
      </c>
      <c r="O13" s="8">
        <f t="shared" si="1"/>
        <v>58.57346876728365</v>
      </c>
      <c r="P13" s="8">
        <f t="shared" si="1"/>
        <v>57.263544194494756</v>
      </c>
      <c r="Q13" s="8">
        <f t="shared" si="1"/>
        <v>55.909808722953642</v>
      </c>
      <c r="R13" s="8">
        <f t="shared" si="1"/>
        <v>56.192761918326234</v>
      </c>
      <c r="S13" s="8">
        <f t="shared" si="1"/>
        <v>55.584972394211434</v>
      </c>
      <c r="T13" s="8">
        <f t="shared" si="1"/>
        <v>55.263689015008403</v>
      </c>
      <c r="U13" s="8">
        <f t="shared" si="1"/>
        <v>53.766281759255257</v>
      </c>
      <c r="V13" s="8">
        <f t="shared" si="1"/>
        <v>52.520843506299265</v>
      </c>
      <c r="W13" s="8">
        <f t="shared" si="1"/>
        <v>51.372830996564311</v>
      </c>
      <c r="X13" s="8">
        <f t="shared" si="1"/>
        <v>50.385976126311114</v>
      </c>
      <c r="Y13" s="8">
        <f t="shared" si="1"/>
        <v>50.362431619239494</v>
      </c>
      <c r="Z13" s="8">
        <f t="shared" si="1"/>
        <v>48.551155832617205</v>
      </c>
      <c r="AA13" s="8">
        <f t="shared" si="1"/>
        <v>48.126311081835787</v>
      </c>
      <c r="AB13" s="8">
        <f t="shared" si="1"/>
        <v>50.601155108117801</v>
      </c>
      <c r="AC13" s="8">
        <f t="shared" si="1"/>
        <v>49.068436877186656</v>
      </c>
      <c r="AD13" s="8">
        <f t="shared" si="1"/>
        <v>48.345905212737989</v>
      </c>
      <c r="AE13" s="8">
        <f t="shared" si="1"/>
        <v>46.712577200935677</v>
      </c>
      <c r="AF13" s="8">
        <f t="shared" si="1"/>
        <v>45.856906526071612</v>
      </c>
      <c r="AG13" s="8">
        <f t="shared" si="1"/>
        <v>44.264122511731948</v>
      </c>
      <c r="AH13" s="8">
        <f t="shared" si="1"/>
        <v>42.67230675853564</v>
      </c>
      <c r="AI13" s="8">
        <f t="shared" si="1"/>
        <v>67.452425618371862</v>
      </c>
    </row>
    <row r="14" spans="1:35" ht="15" customHeight="1">
      <c r="A14"/>
      <c r="B14" s="84"/>
      <c r="C14" s="84"/>
      <c r="D14" s="83"/>
      <c r="E14" s="83"/>
      <c r="F14" s="83"/>
      <c r="G14" s="83"/>
      <c r="H14" s="83"/>
      <c r="I14" s="83"/>
      <c r="J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</row>
    <row r="15" spans="1:35" ht="15" customHeight="1">
      <c r="A15"/>
      <c r="B15" s="188" t="s">
        <v>64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</row>
    <row r="16" spans="1:35" ht="15" customHeight="1">
      <c r="A16"/>
      <c r="B16" s="90"/>
      <c r="C16" s="90"/>
      <c r="D16" s="90"/>
      <c r="E16" s="83"/>
      <c r="F16" s="83"/>
      <c r="G16" s="83"/>
      <c r="H16" s="83"/>
      <c r="I16" s="83"/>
      <c r="J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</row>
    <row r="17" spans="1:35" ht="15" customHeight="1">
      <c r="A17"/>
      <c r="B17" s="90"/>
      <c r="C17" s="13" t="s">
        <v>60</v>
      </c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</row>
    <row r="18" spans="1:35" ht="15" customHeight="1">
      <c r="A18"/>
      <c r="B18" s="90"/>
      <c r="C18" s="90"/>
      <c r="D18" s="90"/>
      <c r="E18" s="83"/>
      <c r="F18" s="83"/>
      <c r="G18" s="83"/>
      <c r="H18" s="83"/>
      <c r="I18" s="83"/>
      <c r="J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</row>
    <row r="19" spans="1:35" ht="15" customHeight="1">
      <c r="A19"/>
      <c r="B19" s="84"/>
      <c r="C19" s="84"/>
      <c r="D19" s="83"/>
      <c r="E19" s="20" t="s">
        <v>181</v>
      </c>
      <c r="F19" s="39"/>
      <c r="G19" s="20" t="str">
        <f>Inputs!G68</f>
        <v>real annual %</v>
      </c>
      <c r="H19" s="83"/>
      <c r="I19" s="119">
        <f>Inputs!I68</f>
        <v>8.0999999999999989E-2</v>
      </c>
      <c r="J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77"/>
      <c r="AF19" s="83"/>
      <c r="AG19" s="83"/>
      <c r="AH19" s="83"/>
      <c r="AI19" s="83"/>
    </row>
    <row r="20" spans="1:35" ht="15" customHeight="1">
      <c r="A20"/>
      <c r="B20" s="90"/>
      <c r="C20" s="90"/>
      <c r="D20" s="90"/>
      <c r="E20" s="20" t="s">
        <v>16</v>
      </c>
      <c r="F20" s="83"/>
      <c r="G20" s="20" t="str">
        <f>Inputs!G89</f>
        <v>full years</v>
      </c>
      <c r="H20" s="83"/>
      <c r="I20" s="175">
        <f>Inputs!I89</f>
        <v>25</v>
      </c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</row>
    <row r="21" spans="1:35" ht="15" customHeight="1">
      <c r="A21"/>
      <c r="B21" s="90"/>
      <c r="C21" s="90"/>
      <c r="D21" s="90"/>
      <c r="E21" s="39" t="s">
        <v>65</v>
      </c>
      <c r="F21" s="39"/>
      <c r="G21" s="39" t="s">
        <v>29</v>
      </c>
      <c r="H21" s="39"/>
      <c r="I21" s="116">
        <f>I19 / (1 - (1 + I19)^(-I20))</f>
        <v>9.4480276733656054E-2</v>
      </c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</row>
    <row r="22" spans="1:35" ht="15" customHeight="1">
      <c r="A22"/>
      <c r="B22" s="84"/>
      <c r="C22" s="84"/>
      <c r="D22" s="83"/>
      <c r="E22" s="20"/>
      <c r="F22" s="39"/>
      <c r="G22" s="20"/>
      <c r="H22" s="83"/>
      <c r="I22" s="20"/>
      <c r="J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</row>
    <row r="23" spans="1:35" ht="15" customHeight="1">
      <c r="A23"/>
      <c r="B23" s="90"/>
      <c r="C23" s="90"/>
      <c r="D23" s="90"/>
      <c r="E23" s="90" t="s">
        <v>19</v>
      </c>
      <c r="F23" s="90"/>
      <c r="G23" s="90" t="s">
        <v>7</v>
      </c>
      <c r="H23" s="90"/>
      <c r="I23" s="31"/>
      <c r="J23" s="6"/>
      <c r="K23" s="25" t="b">
        <f t="shared" ref="K23:AI23" si="2">AND(K4 &gt; 0, K4&lt;= $I20)</f>
        <v>1</v>
      </c>
      <c r="L23" s="25" t="b">
        <f t="shared" si="2"/>
        <v>1</v>
      </c>
      <c r="M23" s="25" t="b">
        <f t="shared" si="2"/>
        <v>1</v>
      </c>
      <c r="N23" s="25" t="b">
        <f t="shared" si="2"/>
        <v>1</v>
      </c>
      <c r="O23" s="25" t="b">
        <f t="shared" si="2"/>
        <v>1</v>
      </c>
      <c r="P23" s="25" t="b">
        <f t="shared" si="2"/>
        <v>1</v>
      </c>
      <c r="Q23" s="25" t="b">
        <f t="shared" si="2"/>
        <v>1</v>
      </c>
      <c r="R23" s="25" t="b">
        <f t="shared" si="2"/>
        <v>1</v>
      </c>
      <c r="S23" s="25" t="b">
        <f t="shared" si="2"/>
        <v>1</v>
      </c>
      <c r="T23" s="25" t="b">
        <f t="shared" si="2"/>
        <v>1</v>
      </c>
      <c r="U23" s="25" t="b">
        <f t="shared" si="2"/>
        <v>1</v>
      </c>
      <c r="V23" s="25" t="b">
        <f t="shared" si="2"/>
        <v>1</v>
      </c>
      <c r="W23" s="25" t="b">
        <f t="shared" si="2"/>
        <v>1</v>
      </c>
      <c r="X23" s="25" t="b">
        <f t="shared" si="2"/>
        <v>1</v>
      </c>
      <c r="Y23" s="25" t="b">
        <f t="shared" si="2"/>
        <v>1</v>
      </c>
      <c r="Z23" s="25" t="b">
        <f t="shared" si="2"/>
        <v>1</v>
      </c>
      <c r="AA23" s="25" t="b">
        <f t="shared" si="2"/>
        <v>1</v>
      </c>
      <c r="AB23" s="25" t="b">
        <f t="shared" si="2"/>
        <v>1</v>
      </c>
      <c r="AC23" s="25" t="b">
        <f t="shared" si="2"/>
        <v>1</v>
      </c>
      <c r="AD23" s="25" t="b">
        <f t="shared" si="2"/>
        <v>1</v>
      </c>
      <c r="AE23" s="25" t="b">
        <f t="shared" si="2"/>
        <v>1</v>
      </c>
      <c r="AF23" s="25" t="b">
        <f t="shared" si="2"/>
        <v>1</v>
      </c>
      <c r="AG23" s="25" t="b">
        <f t="shared" si="2"/>
        <v>1</v>
      </c>
      <c r="AH23" s="25" t="b">
        <f t="shared" si="2"/>
        <v>1</v>
      </c>
      <c r="AI23" s="25" t="b">
        <f t="shared" si="2"/>
        <v>1</v>
      </c>
    </row>
    <row r="24" spans="1:35" ht="15" customHeight="1">
      <c r="A24"/>
      <c r="B24" s="90"/>
      <c r="C24" s="90"/>
      <c r="D24" s="90"/>
      <c r="E24" s="39" t="s">
        <v>67</v>
      </c>
      <c r="F24" s="39"/>
      <c r="G24" s="39" t="s">
        <v>29</v>
      </c>
      <c r="H24" s="39"/>
      <c r="I24" s="35"/>
      <c r="J24" s="35"/>
      <c r="K24" s="259">
        <f t="shared" ref="K24:AI24" si="3">(1 + $I19) ^ - K4</f>
        <v>0.92506938020351526</v>
      </c>
      <c r="L24" s="259">
        <f t="shared" si="3"/>
        <v>0.85575335819011589</v>
      </c>
      <c r="M24" s="259">
        <f t="shared" si="3"/>
        <v>0.79163122866800739</v>
      </c>
      <c r="N24" s="259">
        <f t="shared" si="3"/>
        <v>0.73231381005366081</v>
      </c>
      <c r="O24" s="259">
        <f t="shared" si="3"/>
        <v>0.67744108238081491</v>
      </c>
      <c r="P24" s="259">
        <f t="shared" si="3"/>
        <v>0.62668000220241893</v>
      </c>
      <c r="Q24" s="259">
        <f t="shared" si="3"/>
        <v>0.57972248122332926</v>
      </c>
      <c r="R24" s="259">
        <f t="shared" si="3"/>
        <v>0.53628351639530925</v>
      </c>
      <c r="S24" s="259">
        <f t="shared" si="3"/>
        <v>0.49609946012517048</v>
      </c>
      <c r="T24" s="259">
        <f t="shared" si="3"/>
        <v>0.45892642009728996</v>
      </c>
      <c r="U24" s="259">
        <f t="shared" si="3"/>
        <v>0.42453877899841808</v>
      </c>
      <c r="V24" s="259">
        <f t="shared" si="3"/>
        <v>0.39272782516042376</v>
      </c>
      <c r="W24" s="259">
        <f t="shared" si="3"/>
        <v>0.36330048580982777</v>
      </c>
      <c r="X24" s="259">
        <f t="shared" si="3"/>
        <v>0.33607815523573337</v>
      </c>
      <c r="Y24" s="259">
        <f t="shared" si="3"/>
        <v>0.31089561076386063</v>
      </c>
      <c r="Z24" s="259">
        <f t="shared" si="3"/>
        <v>0.28760000995731788</v>
      </c>
      <c r="AA24" s="259">
        <f t="shared" si="3"/>
        <v>0.26604996295774092</v>
      </c>
      <c r="AB24" s="259">
        <f t="shared" si="3"/>
        <v>0.24611467433648557</v>
      </c>
      <c r="AC24" s="259">
        <f t="shared" si="3"/>
        <v>0.22767314924744272</v>
      </c>
      <c r="AD24" s="259">
        <f t="shared" si="3"/>
        <v>0.21061345906331425</v>
      </c>
      <c r="AE24" s="259">
        <f t="shared" si="3"/>
        <v>0.19483206203821857</v>
      </c>
      <c r="AF24" s="259">
        <f t="shared" si="3"/>
        <v>0.18023317487346768</v>
      </c>
      <c r="AG24" s="259">
        <f t="shared" si="3"/>
        <v>0.16672819137231054</v>
      </c>
      <c r="AH24" s="259">
        <f t="shared" si="3"/>
        <v>0.15423514465523638</v>
      </c>
      <c r="AI24" s="259">
        <f t="shared" si="3"/>
        <v>0.14267820967181905</v>
      </c>
    </row>
    <row r="25" spans="1:35" ht="15" customHeight="1">
      <c r="A25"/>
      <c r="B25" s="90"/>
      <c r="C25" s="90"/>
      <c r="D25" s="90"/>
      <c r="E25" s="83"/>
      <c r="F25" s="83"/>
      <c r="G25" s="83"/>
      <c r="H25" s="83"/>
      <c r="I25" s="83"/>
      <c r="J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</row>
    <row r="26" spans="1:35" ht="15" customHeight="1">
      <c r="A26"/>
      <c r="B26" s="90"/>
      <c r="C26" s="13" t="s">
        <v>59</v>
      </c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</row>
    <row r="27" spans="1:35" ht="15" customHeight="1">
      <c r="A27"/>
      <c r="B27" s="90"/>
      <c r="C27" s="90"/>
      <c r="D27" s="90"/>
      <c r="E27" s="83"/>
      <c r="F27" s="83"/>
      <c r="G27" s="83"/>
      <c r="H27" s="83"/>
      <c r="I27" s="83"/>
      <c r="J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</row>
    <row r="28" spans="1:35" ht="15" customHeight="1">
      <c r="A28"/>
      <c r="B28" s="90"/>
      <c r="C28" s="90"/>
      <c r="D28" s="90"/>
      <c r="E28" s="90" t="s">
        <v>48</v>
      </c>
      <c r="F28" s="39"/>
      <c r="G28" s="70" t="str">
        <f>Inputs!$I$11</f>
        <v>£m 16/17 prices</v>
      </c>
      <c r="H28" s="39"/>
      <c r="I28" s="35"/>
      <c r="J28" s="35"/>
      <c r="K28" s="90">
        <f>K13 * K$24</f>
        <v>57.886022215069964</v>
      </c>
      <c r="L28" s="90">
        <f t="shared" ref="L28:X28" si="4">L13 * L$24</f>
        <v>49.3868158789425</v>
      </c>
      <c r="M28" s="90">
        <f t="shared" si="4"/>
        <v>47.834460645984421</v>
      </c>
      <c r="N28" s="90">
        <f t="shared" si="4"/>
        <v>43.112188031644394</v>
      </c>
      <c r="O28" s="90">
        <f t="shared" si="4"/>
        <v>39.680074080507495</v>
      </c>
      <c r="P28" s="90">
        <f t="shared" si="4"/>
        <v>35.885918001924288</v>
      </c>
      <c r="Q28" s="90">
        <f t="shared" si="4"/>
        <v>32.412173037592424</v>
      </c>
      <c r="R28" s="90">
        <f t="shared" si="4"/>
        <v>30.135251957524417</v>
      </c>
      <c r="S28" s="90">
        <f t="shared" si="4"/>
        <v>27.575674795840797</v>
      </c>
      <c r="T28" s="90">
        <f t="shared" si="4"/>
        <v>25.361966961027733</v>
      </c>
      <c r="U28" s="90">
        <f t="shared" si="4"/>
        <v>22.825871609359144</v>
      </c>
      <c r="V28" s="90">
        <f t="shared" si="4"/>
        <v>20.626396645819874</v>
      </c>
      <c r="W28" s="90">
        <f t="shared" si="4"/>
        <v>18.663774458477992</v>
      </c>
      <c r="X28" s="90">
        <f t="shared" si="4"/>
        <v>16.933625906282341</v>
      </c>
      <c r="Y28" s="90">
        <f>Y13 * Y$24</f>
        <v>15.65745893781663</v>
      </c>
      <c r="Z28" s="90">
        <f t="shared" ref="Z28:AI28" si="5">Z13 * Z$24</f>
        <v>13.9633129009</v>
      </c>
      <c r="AA28" s="90">
        <f t="shared" si="5"/>
        <v>12.804003280615127</v>
      </c>
      <c r="AB28" s="90">
        <f t="shared" si="5"/>
        <v>12.453686810484406</v>
      </c>
      <c r="AC28" s="90">
        <f t="shared" si="5"/>
        <v>11.171565552478439</v>
      </c>
      <c r="AD28" s="90">
        <f t="shared" si="5"/>
        <v>10.182298328401863</v>
      </c>
      <c r="AE28" s="90">
        <f t="shared" si="5"/>
        <v>9.1011077391777739</v>
      </c>
      <c r="AF28" s="90">
        <f t="shared" si="5"/>
        <v>8.2649358530697263</v>
      </c>
      <c r="AG28" s="90">
        <f t="shared" si="5"/>
        <v>7.3800770890634437</v>
      </c>
      <c r="AH28" s="90">
        <f t="shared" si="5"/>
        <v>6.5815694056753653</v>
      </c>
      <c r="AI28" s="90">
        <f t="shared" si="5"/>
        <v>9.6239913252508398</v>
      </c>
    </row>
    <row r="29" spans="1:35" ht="15" customHeight="1">
      <c r="A29"/>
      <c r="B29" s="90"/>
      <c r="C29" s="90"/>
      <c r="D29" s="90"/>
      <c r="E29" s="39" t="s">
        <v>50</v>
      </c>
      <c r="F29" s="39"/>
      <c r="G29" s="70" t="str">
        <f>Inputs!$I$11</f>
        <v>£m 16/17 prices</v>
      </c>
      <c r="H29" s="39"/>
      <c r="I29" s="74">
        <f>SUM(K28:AI28)</f>
        <v>585.50422144893139</v>
      </c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</row>
    <row r="30" spans="1:35" ht="15" customHeight="1">
      <c r="A30"/>
      <c r="B30" s="90"/>
      <c r="C30" s="90"/>
      <c r="D30" s="90"/>
      <c r="E30" s="39"/>
      <c r="F30" s="39"/>
      <c r="G30" s="39"/>
      <c r="H30" s="39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</row>
    <row r="31" spans="1:35" ht="15" customHeight="1">
      <c r="A31"/>
      <c r="B31" s="90"/>
      <c r="C31" s="90"/>
      <c r="D31" s="90"/>
      <c r="E31" s="75" t="s">
        <v>65</v>
      </c>
      <c r="F31" s="83"/>
      <c r="G31" s="75" t="str">
        <f>G$21</f>
        <v>scalar</v>
      </c>
      <c r="H31" s="83"/>
      <c r="I31" s="260">
        <f>I$21</f>
        <v>9.4480276733656054E-2</v>
      </c>
      <c r="J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</row>
    <row r="32" spans="1:35" ht="15" customHeight="1">
      <c r="A32"/>
      <c r="B32" s="90"/>
      <c r="C32" s="90"/>
      <c r="D32" s="90"/>
      <c r="E32" s="39"/>
      <c r="F32" s="39"/>
      <c r="G32" s="39"/>
      <c r="H32" s="39"/>
      <c r="I32" s="39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</row>
    <row r="33" spans="1:35" ht="15" customHeight="1">
      <c r="A33"/>
      <c r="B33" s="90"/>
      <c r="C33" s="90"/>
      <c r="D33" s="90"/>
      <c r="E33" s="39" t="s">
        <v>54</v>
      </c>
      <c r="F33" s="39"/>
      <c r="G33" s="70" t="str">
        <f>Inputs!$I$11</f>
        <v>£m 16/17 prices</v>
      </c>
      <c r="H33" s="39"/>
      <c r="I33" s="120">
        <f>I29 * I31</f>
        <v>55.318600871218877</v>
      </c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</row>
    <row r="34" spans="1:35" ht="15" customHeight="1">
      <c r="A34"/>
      <c r="B34" s="90"/>
      <c r="C34" s="90"/>
      <c r="D34" s="90"/>
      <c r="E34" s="90" t="s">
        <v>52</v>
      </c>
      <c r="F34" s="39"/>
      <c r="G34" s="70" t="str">
        <f>Inputs!$I$11</f>
        <v>£m 16/17 prices</v>
      </c>
      <c r="H34" s="39"/>
      <c r="I34" s="39"/>
      <c r="J34" s="35"/>
      <c r="K34" s="121">
        <f t="shared" ref="K34:W34" si="6">K$23 * $I33</f>
        <v>55.318600871218877</v>
      </c>
      <c r="L34" s="121">
        <f t="shared" si="6"/>
        <v>55.318600871218877</v>
      </c>
      <c r="M34" s="121">
        <f t="shared" si="6"/>
        <v>55.318600871218877</v>
      </c>
      <c r="N34" s="121">
        <f t="shared" si="6"/>
        <v>55.318600871218877</v>
      </c>
      <c r="O34" s="121">
        <f t="shared" si="6"/>
        <v>55.318600871218877</v>
      </c>
      <c r="P34" s="121">
        <f t="shared" si="6"/>
        <v>55.318600871218877</v>
      </c>
      <c r="Q34" s="121">
        <f t="shared" si="6"/>
        <v>55.318600871218877</v>
      </c>
      <c r="R34" s="121">
        <f t="shared" si="6"/>
        <v>55.318600871218877</v>
      </c>
      <c r="S34" s="121">
        <f t="shared" si="6"/>
        <v>55.318600871218877</v>
      </c>
      <c r="T34" s="121">
        <f t="shared" si="6"/>
        <v>55.318600871218877</v>
      </c>
      <c r="U34" s="121">
        <f t="shared" si="6"/>
        <v>55.318600871218877</v>
      </c>
      <c r="V34" s="121">
        <f t="shared" si="6"/>
        <v>55.318600871218877</v>
      </c>
      <c r="W34" s="121">
        <f t="shared" si="6"/>
        <v>55.318600871218877</v>
      </c>
      <c r="X34" s="121">
        <f>X$23 * $I33</f>
        <v>55.318600871218877</v>
      </c>
      <c r="Y34" s="121">
        <f t="shared" ref="Y34:AI34" si="7">Y$23 * $I33</f>
        <v>55.318600871218877</v>
      </c>
      <c r="Z34" s="121">
        <f t="shared" si="7"/>
        <v>55.318600871218877</v>
      </c>
      <c r="AA34" s="121">
        <f t="shared" si="7"/>
        <v>55.318600871218877</v>
      </c>
      <c r="AB34" s="121">
        <f t="shared" si="7"/>
        <v>55.318600871218877</v>
      </c>
      <c r="AC34" s="121">
        <f t="shared" si="7"/>
        <v>55.318600871218877</v>
      </c>
      <c r="AD34" s="121">
        <f t="shared" si="7"/>
        <v>55.318600871218877</v>
      </c>
      <c r="AE34" s="121">
        <f t="shared" si="7"/>
        <v>55.318600871218877</v>
      </c>
      <c r="AF34" s="121">
        <f t="shared" si="7"/>
        <v>55.318600871218877</v>
      </c>
      <c r="AG34" s="121">
        <f t="shared" si="7"/>
        <v>55.318600871218877</v>
      </c>
      <c r="AH34" s="121">
        <f t="shared" si="7"/>
        <v>55.318600871218877</v>
      </c>
      <c r="AI34" s="121">
        <f t="shared" si="7"/>
        <v>55.318600871218877</v>
      </c>
    </row>
    <row r="35" spans="1:35" ht="15" customHeight="1">
      <c r="A35"/>
      <c r="B35" s="90"/>
      <c r="C35" s="90"/>
      <c r="D35" s="90"/>
      <c r="E35" s="39"/>
      <c r="F35" s="39"/>
      <c r="G35" s="39"/>
      <c r="H35" s="39"/>
      <c r="I35" s="39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</row>
    <row r="36" spans="1:35" ht="15" customHeight="1">
      <c r="A36"/>
      <c r="B36" s="188" t="s">
        <v>8</v>
      </c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</row>
    <row r="37" spans="1:35" ht="15" customHeight="1">
      <c r="A37"/>
    </row>
    <row r="38" spans="1:35" ht="15" hidden="1" customHeight="1">
      <c r="A38"/>
    </row>
    <row r="39" spans="1:35" ht="15" hidden="1" customHeight="1">
      <c r="A39"/>
    </row>
    <row r="40" spans="1:35" ht="15" hidden="1" customHeight="1">
      <c r="A40"/>
    </row>
  </sheetData>
  <sheetProtection algorithmName="SHA-512" hashValue="tJUwhQ2561fkcDdl93GfB5rlC1SeOsmEyXS6cghyBH07c7X2O72r+JtusMco/3/RhsJXIPKXj+XbQw6qXs4l5g==" saltValue="NHWYrxcZX6QBtQxvC0CEmA==" spinCount="100000" sheet="1" objects="1" scenarios="1"/>
  <conditionalFormatting sqref="K23:AI23">
    <cfRule type="cellIs" dxfId="1" priority="1" operator="equal">
      <formula>FALSE()</formula>
    </cfRule>
  </conditionalFormatting>
  <pageMargins left="0.23622047244094491" right="0.23622047244094491" top="0.74803149606299213" bottom="0.74803149606299213" header="0.31496062992125984" footer="0.31496062992125984"/>
  <pageSetup paperSize="8" scale="43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7" tint="0.59999389629810485"/>
    <pageSetUpPr fitToPage="1"/>
  </sheetPr>
  <dimension ref="A1:AY37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M20" sqref="M20"/>
    </sheetView>
  </sheetViews>
  <sheetFormatPr defaultColWidth="0" defaultRowHeight="15" customHeight="1" zeroHeight="1"/>
  <cols>
    <col min="1" max="3" width="2.59765625" style="32" customWidth="1"/>
    <col min="4" max="4" width="2.59765625" style="21" customWidth="1"/>
    <col min="5" max="5" width="50.59765625" style="21" customWidth="1"/>
    <col min="6" max="6" width="1.59765625" style="21" customWidth="1"/>
    <col min="7" max="7" width="15.59765625" style="21" customWidth="1"/>
    <col min="8" max="8" width="10.8984375" style="21" bestFit="1" customWidth="1"/>
    <col min="9" max="9" width="10.59765625" style="21" customWidth="1"/>
    <col min="10" max="10" width="1.59765625" style="21" customWidth="1"/>
    <col min="11" max="15" width="10.59765625" style="83" customWidth="1"/>
    <col min="16" max="35" width="10.59765625" style="21" customWidth="1"/>
    <col min="36" max="36" width="3.09765625" customWidth="1"/>
    <col min="37" max="50" width="10.59765625" hidden="1" customWidth="1"/>
    <col min="51" max="51" width="2.59765625" hidden="1" customWidth="1"/>
    <col min="52" max="16384" width="9.09765625" hidden="1"/>
  </cols>
  <sheetData>
    <row r="1" spans="1:35" ht="15" customHeight="1">
      <c r="A1" s="242" t="s">
        <v>246</v>
      </c>
      <c r="B1" s="16"/>
      <c r="C1" s="16"/>
      <c r="D1" s="16"/>
      <c r="E1" s="16"/>
      <c r="F1" s="16"/>
      <c r="G1" s="16"/>
      <c r="H1" s="16" t="s">
        <v>73</v>
      </c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</row>
    <row r="2" spans="1:35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3" spans="1:35" ht="15" customHeight="1">
      <c r="A3" s="16"/>
      <c r="B3" s="16"/>
      <c r="C3" s="16"/>
      <c r="D3" s="16"/>
      <c r="E3" s="19" t="s">
        <v>10</v>
      </c>
      <c r="F3" s="18"/>
      <c r="G3" s="18"/>
      <c r="H3" s="18"/>
      <c r="I3" s="27"/>
      <c r="J3" s="19"/>
      <c r="K3" s="186" t="s">
        <v>88</v>
      </c>
      <c r="L3" s="186" t="s">
        <v>89</v>
      </c>
      <c r="M3" s="186" t="s">
        <v>90</v>
      </c>
      <c r="N3" s="186" t="s">
        <v>91</v>
      </c>
      <c r="O3" s="186" t="s">
        <v>92</v>
      </c>
      <c r="P3" s="186" t="s">
        <v>93</v>
      </c>
      <c r="Q3" s="186" t="s">
        <v>94</v>
      </c>
      <c r="R3" s="186" t="s">
        <v>95</v>
      </c>
      <c r="S3" s="186" t="s">
        <v>96</v>
      </c>
      <c r="T3" s="186" t="s">
        <v>97</v>
      </c>
      <c r="U3" s="186" t="s">
        <v>98</v>
      </c>
      <c r="V3" s="186" t="s">
        <v>99</v>
      </c>
      <c r="W3" s="186" t="s">
        <v>100</v>
      </c>
      <c r="X3" s="186" t="s">
        <v>101</v>
      </c>
      <c r="Y3" s="186" t="s">
        <v>102</v>
      </c>
      <c r="Z3" s="186" t="s">
        <v>103</v>
      </c>
      <c r="AA3" s="186" t="s">
        <v>104</v>
      </c>
      <c r="AB3" s="186" t="s">
        <v>105</v>
      </c>
      <c r="AC3" s="186" t="s">
        <v>106</v>
      </c>
      <c r="AD3" s="186" t="s">
        <v>107</v>
      </c>
      <c r="AE3" s="186" t="s">
        <v>108</v>
      </c>
      <c r="AF3" s="186" t="s">
        <v>109</v>
      </c>
      <c r="AG3" s="186" t="s">
        <v>110</v>
      </c>
      <c r="AH3" s="186" t="s">
        <v>111</v>
      </c>
      <c r="AI3" s="186" t="s">
        <v>112</v>
      </c>
    </row>
    <row r="4" spans="1:35" ht="15" customHeight="1">
      <c r="A4" s="16"/>
      <c r="B4" s="16"/>
      <c r="C4" s="16"/>
      <c r="D4" s="16"/>
      <c r="E4" s="11" t="s">
        <v>113</v>
      </c>
      <c r="F4" s="18"/>
      <c r="G4" s="18"/>
      <c r="H4" s="18"/>
      <c r="I4" s="18"/>
      <c r="J4" s="19"/>
      <c r="K4" s="189">
        <v>1</v>
      </c>
      <c r="L4" s="189">
        <f>+K4+1</f>
        <v>2</v>
      </c>
      <c r="M4" s="189">
        <f t="shared" ref="M4:AI4" si="0">+L4+1</f>
        <v>3</v>
      </c>
      <c r="N4" s="189">
        <f t="shared" si="0"/>
        <v>4</v>
      </c>
      <c r="O4" s="189">
        <f t="shared" si="0"/>
        <v>5</v>
      </c>
      <c r="P4" s="189">
        <f t="shared" si="0"/>
        <v>6</v>
      </c>
      <c r="Q4" s="189">
        <f t="shared" si="0"/>
        <v>7</v>
      </c>
      <c r="R4" s="189">
        <f t="shared" si="0"/>
        <v>8</v>
      </c>
      <c r="S4" s="189">
        <f t="shared" si="0"/>
        <v>9</v>
      </c>
      <c r="T4" s="189">
        <f t="shared" si="0"/>
        <v>10</v>
      </c>
      <c r="U4" s="189">
        <f t="shared" si="0"/>
        <v>11</v>
      </c>
      <c r="V4" s="189">
        <f t="shared" si="0"/>
        <v>12</v>
      </c>
      <c r="W4" s="189">
        <f t="shared" si="0"/>
        <v>13</v>
      </c>
      <c r="X4" s="189">
        <f t="shared" si="0"/>
        <v>14</v>
      </c>
      <c r="Y4" s="189">
        <f t="shared" si="0"/>
        <v>15</v>
      </c>
      <c r="Z4" s="189">
        <f t="shared" si="0"/>
        <v>16</v>
      </c>
      <c r="AA4" s="189">
        <f t="shared" si="0"/>
        <v>17</v>
      </c>
      <c r="AB4" s="189">
        <f t="shared" si="0"/>
        <v>18</v>
      </c>
      <c r="AC4" s="189">
        <f t="shared" si="0"/>
        <v>19</v>
      </c>
      <c r="AD4" s="189">
        <f t="shared" si="0"/>
        <v>20</v>
      </c>
      <c r="AE4" s="189">
        <f t="shared" si="0"/>
        <v>21</v>
      </c>
      <c r="AF4" s="189">
        <f t="shared" si="0"/>
        <v>22</v>
      </c>
      <c r="AG4" s="189">
        <f t="shared" si="0"/>
        <v>23</v>
      </c>
      <c r="AH4" s="189">
        <f t="shared" si="0"/>
        <v>24</v>
      </c>
      <c r="AI4" s="189">
        <f t="shared" si="0"/>
        <v>25</v>
      </c>
    </row>
    <row r="5" spans="1:35" ht="15" customHeight="1">
      <c r="I5" s="33"/>
      <c r="J5" s="33"/>
      <c r="K5" s="85"/>
      <c r="L5" s="85"/>
      <c r="M5" s="85"/>
      <c r="N5" s="85"/>
      <c r="O5" s="85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</row>
    <row r="6" spans="1:35" ht="15" customHeight="1">
      <c r="A6" s="90"/>
      <c r="B6" s="188" t="s">
        <v>46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</row>
    <row r="7" spans="1:35" ht="15" customHeight="1">
      <c r="A7" s="84"/>
      <c r="B7" s="84"/>
      <c r="C7" s="84"/>
      <c r="D7" s="83"/>
      <c r="E7" s="83"/>
      <c r="F7" s="83"/>
      <c r="G7" s="83"/>
      <c r="H7" s="83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</row>
    <row r="8" spans="1:35" ht="15" customHeight="1">
      <c r="A8"/>
      <c r="B8" s="34"/>
      <c r="C8" s="34"/>
      <c r="D8" s="39"/>
      <c r="E8" s="90" t="s">
        <v>237</v>
      </c>
      <c r="F8" s="37"/>
      <c r="G8" s="70" t="str">
        <f>Inputs!$I$11</f>
        <v>£m 16/17 prices</v>
      </c>
      <c r="H8" s="39"/>
      <c r="I8" s="35"/>
      <c r="J8" s="35"/>
      <c r="K8" s="117">
        <f>Inputs!K61</f>
        <v>14.44214945515499</v>
      </c>
      <c r="L8" s="117">
        <f>Inputs!L61</f>
        <v>10.852731227485117</v>
      </c>
      <c r="M8" s="117">
        <f>Inputs!M61</f>
        <v>14.836665994901963</v>
      </c>
      <c r="N8" s="117">
        <f>Inputs!N61</f>
        <v>14.55284567999627</v>
      </c>
      <c r="O8" s="117">
        <f>Inputs!O61</f>
        <v>15.525196798650219</v>
      </c>
      <c r="P8" s="117">
        <f>Inputs!P61</f>
        <v>15.485257213715073</v>
      </c>
      <c r="Q8" s="117">
        <f>Inputs!Q61</f>
        <v>15.309436357939406</v>
      </c>
      <c r="R8" s="117">
        <f>Inputs!R61</f>
        <v>16.503506579036483</v>
      </c>
      <c r="S8" s="117">
        <f>Inputs!S61</f>
        <v>16.844325279280508</v>
      </c>
      <c r="T8" s="117">
        <f>Inputs!T61</f>
        <v>17.776611902928519</v>
      </c>
      <c r="U8" s="117">
        <f>Inputs!U61</f>
        <v>17.456705345592507</v>
      </c>
      <c r="V8" s="117">
        <f>Inputs!V61</f>
        <v>17.487043053346056</v>
      </c>
      <c r="W8" s="117">
        <f>Inputs!W61</f>
        <v>17.517981301582545</v>
      </c>
      <c r="X8" s="117">
        <f>Inputs!X61</f>
        <v>17.549536415439125</v>
      </c>
      <c r="Y8" s="117">
        <f>Inputs!Y61</f>
        <v>18.337181141440603</v>
      </c>
      <c r="Z8" s="117">
        <f>Inputs!Z61</f>
        <v>17.866684110196161</v>
      </c>
      <c r="AA8" s="117">
        <f>Inputs!AA61</f>
        <v>17.902064412959103</v>
      </c>
      <c r="AB8" s="117">
        <f>Inputs!AB61</f>
        <v>17.938169600363263</v>
      </c>
      <c r="AC8" s="117">
        <f>Inputs!AC61</f>
        <v>17.975019477613689</v>
      </c>
      <c r="AD8" s="117">
        <f>Inputs!AD61</f>
        <v>18.779616841015756</v>
      </c>
      <c r="AE8" s="117">
        <f>Inputs!AE61</f>
        <v>18.360273036434535</v>
      </c>
      <c r="AF8" s="117">
        <f>Inputs!AF61</f>
        <v>18.401358203189748</v>
      </c>
      <c r="AG8" s="117">
        <f>Inputs!AG61</f>
        <v>18.443311154686921</v>
      </c>
      <c r="AH8" s="117">
        <f>Inputs!AH61</f>
        <v>18.486155725117051</v>
      </c>
      <c r="AI8" s="117">
        <f>Inputs!AI61</f>
        <v>18.690478265584147</v>
      </c>
    </row>
    <row r="9" spans="1:35" ht="15" customHeight="1">
      <c r="A9"/>
      <c r="B9" s="34"/>
      <c r="C9" s="34"/>
      <c r="D9" s="39"/>
      <c r="E9" s="90" t="s">
        <v>239</v>
      </c>
      <c r="F9" s="37"/>
      <c r="G9" s="70" t="str">
        <f>Inputs!$I$11</f>
        <v>£m 16/17 prices</v>
      </c>
      <c r="H9" s="39"/>
      <c r="I9" s="35"/>
      <c r="J9" s="35"/>
      <c r="K9" s="117">
        <f>Inputs!K62</f>
        <v>1.0615144493734652</v>
      </c>
      <c r="L9" s="117">
        <f>Inputs!L62</f>
        <v>1.0480665434133698</v>
      </c>
      <c r="M9" s="117">
        <f>Inputs!M62</f>
        <v>1.0382232216850515</v>
      </c>
      <c r="N9" s="117">
        <f>Inputs!N62</f>
        <v>1.0284725252444746</v>
      </c>
      <c r="O9" s="117">
        <f>Inputs!O62</f>
        <v>1.0188135808622372</v>
      </c>
      <c r="P9" s="117">
        <f>Inputs!P62</f>
        <v>1.0092455235562319</v>
      </c>
      <c r="Q9" s="117">
        <f>Inputs!Q62</f>
        <v>0.9997674965136214</v>
      </c>
      <c r="R9" s="117">
        <f>Inputs!R62</f>
        <v>0.99037865101354716</v>
      </c>
      <c r="S9" s="117">
        <f>Inputs!S62</f>
        <v>0.98107814635057489</v>
      </c>
      <c r="T9" s="117">
        <f>Inputs!T62</f>
        <v>0.97186514975886296</v>
      </c>
      <c r="U9" s="117">
        <f>Inputs!U62</f>
        <v>0.96273883633705104</v>
      </c>
      <c r="V9" s="117">
        <f>Inputs!V62</f>
        <v>0.95369838897385817</v>
      </c>
      <c r="W9" s="117">
        <f>Inputs!W62</f>
        <v>0.94474299827438946</v>
      </c>
      <c r="X9" s="117">
        <f>Inputs!X62</f>
        <v>0.9358718624871385</v>
      </c>
      <c r="Y9" s="117">
        <f>Inputs!Y62</f>
        <v>0.92708418743168119</v>
      </c>
      <c r="Z9" s="117">
        <f>Inputs!Z62</f>
        <v>0.91837918642705685</v>
      </c>
      <c r="AA9" s="117">
        <f>Inputs!AA62</f>
        <v>0.90975608022082677</v>
      </c>
      <c r="AB9" s="117">
        <f>Inputs!AB62</f>
        <v>0.90121409691880305</v>
      </c>
      <c r="AC9" s="117">
        <f>Inputs!AC62</f>
        <v>0.89275247191544826</v>
      </c>
      <c r="AD9" s="117">
        <f>Inputs!AD62</f>
        <v>0.88437044782492846</v>
      </c>
      <c r="AE9" s="117">
        <f>Inputs!AE62</f>
        <v>0.87606727441282495</v>
      </c>
      <c r="AF9" s="117">
        <f>Inputs!AF62</f>
        <v>0.86784220852848915</v>
      </c>
      <c r="AG9" s="117">
        <f>Inputs!AG62</f>
        <v>0.85969451403803987</v>
      </c>
      <c r="AH9" s="117">
        <f>Inputs!AH62</f>
        <v>0.85162346175799697</v>
      </c>
      <c r="AI9" s="117">
        <f>Inputs!AI62</f>
        <v>0.84362832938954024</v>
      </c>
    </row>
    <row r="10" spans="1:35" ht="15" customHeight="1">
      <c r="A10"/>
      <c r="B10" s="34"/>
      <c r="C10" s="34"/>
      <c r="D10" s="39"/>
      <c r="E10" s="90" t="s">
        <v>123</v>
      </c>
      <c r="F10" s="37"/>
      <c r="G10" s="70" t="str">
        <f>Inputs!$I$11</f>
        <v>£m 16/17 prices</v>
      </c>
      <c r="H10" s="39"/>
      <c r="I10" s="35"/>
      <c r="J10" s="35"/>
      <c r="K10" s="117">
        <f>Inputs!K60</f>
        <v>0</v>
      </c>
      <c r="L10" s="117">
        <f>Inputs!L60</f>
        <v>0</v>
      </c>
      <c r="M10" s="117">
        <f>Inputs!M60</f>
        <v>0</v>
      </c>
      <c r="N10" s="117">
        <f>Inputs!N60</f>
        <v>0</v>
      </c>
      <c r="O10" s="117">
        <f>Inputs!O60</f>
        <v>0</v>
      </c>
      <c r="P10" s="117">
        <f>Inputs!P60</f>
        <v>0</v>
      </c>
      <c r="Q10" s="117">
        <f>Inputs!Q60</f>
        <v>0</v>
      </c>
      <c r="R10" s="117">
        <f>Inputs!R60</f>
        <v>0</v>
      </c>
      <c r="S10" s="117">
        <f>Inputs!S60</f>
        <v>0</v>
      </c>
      <c r="T10" s="117">
        <f>Inputs!T60</f>
        <v>0</v>
      </c>
      <c r="U10" s="117">
        <f>Inputs!U60</f>
        <v>0</v>
      </c>
      <c r="V10" s="117">
        <f>Inputs!V60</f>
        <v>0</v>
      </c>
      <c r="W10" s="117">
        <f>Inputs!W60</f>
        <v>0</v>
      </c>
      <c r="X10" s="117">
        <f>Inputs!X60</f>
        <v>0</v>
      </c>
      <c r="Y10" s="117">
        <f>Inputs!Y60</f>
        <v>0</v>
      </c>
      <c r="Z10" s="117">
        <f>Inputs!Z60</f>
        <v>0</v>
      </c>
      <c r="AA10" s="117">
        <f>Inputs!AA60</f>
        <v>0</v>
      </c>
      <c r="AB10" s="117">
        <f>Inputs!AB60</f>
        <v>0</v>
      </c>
      <c r="AC10" s="117">
        <f>Inputs!AC60</f>
        <v>0</v>
      </c>
      <c r="AD10" s="117">
        <f>Inputs!AD60</f>
        <v>0</v>
      </c>
      <c r="AE10" s="117">
        <f>Inputs!AE60</f>
        <v>0</v>
      </c>
      <c r="AF10" s="117">
        <f>Inputs!AF60</f>
        <v>0</v>
      </c>
      <c r="AG10" s="117">
        <f>Inputs!AG60</f>
        <v>0</v>
      </c>
      <c r="AH10" s="117">
        <f>Inputs!AH60</f>
        <v>0</v>
      </c>
      <c r="AI10" s="117">
        <f>Inputs!AI60</f>
        <v>26.210380723083983</v>
      </c>
    </row>
    <row r="11" spans="1:35" ht="15" customHeight="1">
      <c r="A11"/>
      <c r="B11" s="34"/>
      <c r="C11" s="34"/>
      <c r="D11" s="39"/>
      <c r="E11" s="90" t="s">
        <v>40</v>
      </c>
      <c r="F11" s="37"/>
      <c r="G11" s="70" t="str">
        <f>Inputs!$I$11</f>
        <v>£m 16/17 prices</v>
      </c>
      <c r="H11" s="39"/>
      <c r="I11" s="35"/>
      <c r="J11" s="35"/>
      <c r="K11" s="117">
        <f>'Op Rav'!K25</f>
        <v>16.166381332836366</v>
      </c>
      <c r="L11" s="117">
        <f>'Op Rav'!L25</f>
        <v>16.166381332836366</v>
      </c>
      <c r="M11" s="117">
        <f>'Op Rav'!M25</f>
        <v>16.166381332836366</v>
      </c>
      <c r="N11" s="117">
        <f>'Op Rav'!N25</f>
        <v>16.166381332836366</v>
      </c>
      <c r="O11" s="117">
        <f>'Op Rav'!O25</f>
        <v>16.166381332836369</v>
      </c>
      <c r="P11" s="117">
        <f>'Op Rav'!P25</f>
        <v>16.166381332836369</v>
      </c>
      <c r="Q11" s="117">
        <f>'Op Rav'!Q25</f>
        <v>16.166381332836369</v>
      </c>
      <c r="R11" s="117">
        <f>'Op Rav'!R25</f>
        <v>16.302774679218714</v>
      </c>
      <c r="S11" s="117">
        <f>'Op Rav'!S25</f>
        <v>16.503705139589723</v>
      </c>
      <c r="T11" s="117">
        <f>'Op Rav'!T25</f>
        <v>16.503705139589723</v>
      </c>
      <c r="U11" s="117">
        <f>'Op Rav'!U25</f>
        <v>16.579080608315408</v>
      </c>
      <c r="V11" s="117">
        <f>'Op Rav'!V25</f>
        <v>16.579080608315412</v>
      </c>
      <c r="W11" s="117">
        <f>'Op Rav'!W25</f>
        <v>16.632171041898918</v>
      </c>
      <c r="X11" s="117">
        <f>'Op Rav'!X25</f>
        <v>16.72902573446466</v>
      </c>
      <c r="Y11" s="117">
        <f>'Op Rav'!Y25</f>
        <v>17.085467320168274</v>
      </c>
      <c r="Z11" s="117">
        <f>'Op Rav'!Z25</f>
        <v>17.08546732016827</v>
      </c>
      <c r="AA11" s="117">
        <f>'Op Rav'!AA25</f>
        <v>17.08546732016827</v>
      </c>
      <c r="AB11" s="117">
        <f>'Op Rav'!AB25</f>
        <v>20.023090849195814</v>
      </c>
      <c r="AC11" s="117">
        <f>'Op Rav'!AC25</f>
        <v>20.023090849195814</v>
      </c>
      <c r="AD11" s="117">
        <f>'Op Rav'!AD25</f>
        <v>20.023090849195814</v>
      </c>
      <c r="AE11" s="117">
        <f>'Op Rav'!AE25</f>
        <v>20.249217255372873</v>
      </c>
      <c r="AF11" s="117">
        <f>'Op Rav'!AF25</f>
        <v>20.862987314093417</v>
      </c>
      <c r="AG11" s="117">
        <f>'Op Rav'!AG25</f>
        <v>20.862987314093417</v>
      </c>
      <c r="AH11" s="117">
        <f>'Op Rav'!AH25</f>
        <v>20.862987314093417</v>
      </c>
      <c r="AI11" s="117">
        <f>'Op Rav'!AI25</f>
        <v>20.862987314093417</v>
      </c>
    </row>
    <row r="12" spans="1:35" ht="15" customHeight="1">
      <c r="A12"/>
      <c r="B12" s="84"/>
      <c r="C12" s="84"/>
      <c r="D12" s="83"/>
      <c r="E12" s="9" t="s">
        <v>117</v>
      </c>
      <c r="F12" s="83"/>
      <c r="G12" s="70" t="str">
        <f>Inputs!$I$11</f>
        <v>£m 16/17 prices</v>
      </c>
      <c r="H12" s="83"/>
      <c r="I12" s="90"/>
      <c r="J12" s="83"/>
      <c r="K12" s="117">
        <f>'Op Rav'!K41</f>
        <v>-0.83261764485765943</v>
      </c>
      <c r="L12" s="117">
        <f>'Op Rav'!L41</f>
        <v>-0.79863252217190195</v>
      </c>
      <c r="M12" s="117">
        <f>'Op Rav'!M41</f>
        <v>-0.76464739948614435</v>
      </c>
      <c r="N12" s="117">
        <f>'Op Rav'!N41</f>
        <v>-0.73066227680038687</v>
      </c>
      <c r="O12" s="117">
        <f>'Op Rav'!O41</f>
        <v>-0.69667715411462938</v>
      </c>
      <c r="P12" s="117">
        <f>'Op Rav'!P41</f>
        <v>-0.66269203142887179</v>
      </c>
      <c r="Q12" s="117">
        <f>'Op Rav'!Q41</f>
        <v>-0.63129016783383107</v>
      </c>
      <c r="R12" s="117">
        <f>'Op Rav'!R41</f>
        <v>-0.60333352144693053</v>
      </c>
      <c r="S12" s="117">
        <f>'Op Rav'!S41</f>
        <v>-0.5724368591037442</v>
      </c>
      <c r="T12" s="117">
        <f>'Op Rav'!T41</f>
        <v>-0.53893227298201252</v>
      </c>
      <c r="U12" s="117">
        <f>'Op Rav'!U41</f>
        <v>-0.50534587777541251</v>
      </c>
      <c r="V12" s="117">
        <f>'Op Rav'!V41</f>
        <v>-0.4712193841524982</v>
      </c>
      <c r="W12" s="117">
        <f>'Op Rav'!W41</f>
        <v>-0.43825844051834745</v>
      </c>
      <c r="X12" s="117">
        <f>'Op Rav'!X41</f>
        <v>-0.40853815190025489</v>
      </c>
      <c r="Y12" s="117">
        <f>'Op Rav'!Y41</f>
        <v>-0.37711208177158001</v>
      </c>
      <c r="Z12" s="117">
        <f>'Op Rav'!Z41</f>
        <v>-0.34119484766303959</v>
      </c>
      <c r="AA12" s="117">
        <f>'Op Rav'!AA41</f>
        <v>-0.3300055799277144</v>
      </c>
      <c r="AB12" s="117">
        <f>'Op Rav'!AB41</f>
        <v>-0.31567338766635356</v>
      </c>
      <c r="AC12" s="117">
        <f>'Op Rav'!AC41</f>
        <v>-0.27358065305568241</v>
      </c>
      <c r="AD12" s="117">
        <f>'Op Rav'!AD41</f>
        <v>-0.23267758036747802</v>
      </c>
      <c r="AE12" s="117">
        <f>'Op Rav'!AE41</f>
        <v>-0.19411733609545992</v>
      </c>
      <c r="AF12" s="117">
        <f>'Op Rav'!AF41</f>
        <v>-0.15348125584775657</v>
      </c>
      <c r="AG12" s="117">
        <f>'Op Rav'!AG41</f>
        <v>-0.10962288279177043</v>
      </c>
      <c r="AH12" s="117">
        <f>'Op Rav'!AH41</f>
        <v>-6.5764509735784252E-2</v>
      </c>
      <c r="AI12" s="117">
        <f>'Op Rav'!AI41</f>
        <v>-2.1906136679798086E-2</v>
      </c>
    </row>
    <row r="13" spans="1:35" ht="15" customHeight="1">
      <c r="A13"/>
      <c r="B13" s="84"/>
      <c r="C13" s="84"/>
      <c r="D13" s="83"/>
      <c r="E13" s="83" t="s">
        <v>46</v>
      </c>
      <c r="F13" s="83"/>
      <c r="G13" s="70" t="str">
        <f>Inputs!$I$11</f>
        <v>£m 16/17 prices</v>
      </c>
      <c r="H13" s="83"/>
      <c r="I13" s="90"/>
      <c r="J13" s="83"/>
      <c r="K13" s="8">
        <f t="shared" ref="K13:AI13" si="1">SUM(K8:K12)</f>
        <v>30.837427592507161</v>
      </c>
      <c r="L13" s="8">
        <f t="shared" si="1"/>
        <v>27.268546581562948</v>
      </c>
      <c r="M13" s="8">
        <f t="shared" si="1"/>
        <v>31.276623149937237</v>
      </c>
      <c r="N13" s="8">
        <f t="shared" si="1"/>
        <v>31.017037261276723</v>
      </c>
      <c r="O13" s="8">
        <f t="shared" si="1"/>
        <v>32.013714558234192</v>
      </c>
      <c r="P13" s="8">
        <f t="shared" si="1"/>
        <v>31.998192038678798</v>
      </c>
      <c r="Q13" s="8">
        <f t="shared" si="1"/>
        <v>31.844295019455565</v>
      </c>
      <c r="R13" s="8">
        <f t="shared" si="1"/>
        <v>33.193326387821813</v>
      </c>
      <c r="S13" s="8">
        <f t="shared" si="1"/>
        <v>33.756671706117061</v>
      </c>
      <c r="T13" s="8">
        <f t="shared" si="1"/>
        <v>34.713249919295095</v>
      </c>
      <c r="U13" s="8">
        <f t="shared" si="1"/>
        <v>34.493178912469553</v>
      </c>
      <c r="V13" s="8">
        <f t="shared" si="1"/>
        <v>34.548602666482829</v>
      </c>
      <c r="W13" s="8">
        <f t="shared" si="1"/>
        <v>34.656636901237505</v>
      </c>
      <c r="X13" s="8">
        <f t="shared" si="1"/>
        <v>34.805895860490672</v>
      </c>
      <c r="Y13" s="8">
        <f t="shared" si="1"/>
        <v>35.972620567268983</v>
      </c>
      <c r="Z13" s="8">
        <f t="shared" si="1"/>
        <v>35.529335769128444</v>
      </c>
      <c r="AA13" s="8">
        <f t="shared" si="1"/>
        <v>35.567282233420485</v>
      </c>
      <c r="AB13" s="8">
        <f t="shared" si="1"/>
        <v>38.546801158811533</v>
      </c>
      <c r="AC13" s="8">
        <f t="shared" si="1"/>
        <v>38.617282145669272</v>
      </c>
      <c r="AD13" s="8">
        <f t="shared" si="1"/>
        <v>39.454400557669018</v>
      </c>
      <c r="AE13" s="8">
        <f t="shared" si="1"/>
        <v>39.291440230124778</v>
      </c>
      <c r="AF13" s="8">
        <f t="shared" si="1"/>
        <v>39.978706469963896</v>
      </c>
      <c r="AG13" s="8">
        <f t="shared" si="1"/>
        <v>40.056370100026612</v>
      </c>
      <c r="AH13" s="8">
        <f t="shared" si="1"/>
        <v>40.135001991232677</v>
      </c>
      <c r="AI13" s="8">
        <f t="shared" si="1"/>
        <v>66.585568495471279</v>
      </c>
    </row>
    <row r="14" spans="1:35" ht="15" customHeight="1">
      <c r="A14"/>
      <c r="B14" s="84"/>
      <c r="C14" s="84"/>
      <c r="D14" s="83"/>
      <c r="E14" s="83"/>
      <c r="F14" s="83"/>
      <c r="G14" s="83"/>
      <c r="H14" s="83"/>
      <c r="I14" s="83"/>
      <c r="J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</row>
    <row r="15" spans="1:35" ht="15" customHeight="1">
      <c r="A15"/>
      <c r="B15" s="188" t="s">
        <v>196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</row>
    <row r="16" spans="1:35" ht="15" customHeight="1">
      <c r="A16"/>
      <c r="B16" s="84"/>
      <c r="C16" s="84"/>
      <c r="D16" s="83"/>
      <c r="E16" s="83"/>
      <c r="F16" s="83"/>
      <c r="G16" s="83"/>
      <c r="H16" s="83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</row>
    <row r="17" spans="1:35" ht="15" customHeight="1">
      <c r="A17"/>
      <c r="B17" s="90"/>
      <c r="C17" s="13" t="s">
        <v>60</v>
      </c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</row>
    <row r="18" spans="1:35" ht="15" customHeight="1">
      <c r="A18"/>
      <c r="B18" s="90"/>
      <c r="C18" s="90"/>
      <c r="D18" s="90"/>
      <c r="E18" s="83"/>
      <c r="F18" s="83"/>
      <c r="G18" s="83"/>
      <c r="H18" s="83"/>
      <c r="I18" s="83"/>
      <c r="J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</row>
    <row r="19" spans="1:35" ht="15" customHeight="1">
      <c r="A19"/>
      <c r="B19" s="84"/>
      <c r="C19" s="84"/>
      <c r="D19" s="83"/>
      <c r="E19" s="20" t="s">
        <v>182</v>
      </c>
      <c r="F19" s="39"/>
      <c r="G19" s="20" t="str">
        <f>Inputs!G69</f>
        <v>real annual %</v>
      </c>
      <c r="H19" s="83"/>
      <c r="I19" s="119">
        <f>Inputs!I69</f>
        <v>-2.0999999999999999E-3</v>
      </c>
      <c r="J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</row>
    <row r="20" spans="1:35" ht="15" customHeight="1">
      <c r="A20"/>
      <c r="B20" s="90"/>
      <c r="C20" s="90"/>
      <c r="D20" s="90"/>
      <c r="E20" s="38" t="s">
        <v>16</v>
      </c>
      <c r="F20" s="83"/>
      <c r="G20" s="38" t="str">
        <f>Inputs!G89</f>
        <v>full years</v>
      </c>
      <c r="H20" s="83"/>
      <c r="I20" s="175">
        <f>Inputs!I89</f>
        <v>25</v>
      </c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</row>
    <row r="21" spans="1:35" ht="15" customHeight="1">
      <c r="A21"/>
      <c r="B21" s="90"/>
      <c r="C21" s="90"/>
      <c r="D21" s="90"/>
      <c r="E21" s="39" t="s">
        <v>66</v>
      </c>
      <c r="F21" s="39"/>
      <c r="G21" s="39" t="s">
        <v>29</v>
      </c>
      <c r="H21" s="39"/>
      <c r="I21" s="116">
        <f>I19 / (1 - (1 + I19)^(-I20))</f>
        <v>3.8917182021590405E-2</v>
      </c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</row>
    <row r="22" spans="1:35" ht="15" customHeight="1">
      <c r="A22"/>
      <c r="B22" s="90"/>
      <c r="C22" s="90"/>
      <c r="D22" s="90"/>
      <c r="E22" s="83"/>
      <c r="F22" s="83"/>
      <c r="G22" s="83"/>
      <c r="H22" s="83"/>
      <c r="I22" s="83"/>
      <c r="J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</row>
    <row r="23" spans="1:35" ht="15" customHeight="1">
      <c r="A23"/>
      <c r="B23" s="90"/>
      <c r="C23" s="90"/>
      <c r="D23" s="90"/>
      <c r="E23" s="90" t="s">
        <v>19</v>
      </c>
      <c r="F23" s="90"/>
      <c r="G23" s="90" t="s">
        <v>7</v>
      </c>
      <c r="H23" s="90"/>
      <c r="I23" s="31"/>
      <c r="J23" s="6"/>
      <c r="K23" s="25" t="b">
        <f t="shared" ref="K23:AI23" si="2">AND(K4 &gt; 0, K4&lt;= $I20)</f>
        <v>1</v>
      </c>
      <c r="L23" s="25" t="b">
        <f t="shared" si="2"/>
        <v>1</v>
      </c>
      <c r="M23" s="25" t="b">
        <f t="shared" si="2"/>
        <v>1</v>
      </c>
      <c r="N23" s="25" t="b">
        <f t="shared" si="2"/>
        <v>1</v>
      </c>
      <c r="O23" s="25" t="b">
        <f t="shared" si="2"/>
        <v>1</v>
      </c>
      <c r="P23" s="25" t="b">
        <f t="shared" si="2"/>
        <v>1</v>
      </c>
      <c r="Q23" s="25" t="b">
        <f t="shared" si="2"/>
        <v>1</v>
      </c>
      <c r="R23" s="25" t="b">
        <f t="shared" si="2"/>
        <v>1</v>
      </c>
      <c r="S23" s="25" t="b">
        <f t="shared" si="2"/>
        <v>1</v>
      </c>
      <c r="T23" s="25" t="b">
        <f t="shared" si="2"/>
        <v>1</v>
      </c>
      <c r="U23" s="25" t="b">
        <f t="shared" si="2"/>
        <v>1</v>
      </c>
      <c r="V23" s="25" t="b">
        <f t="shared" si="2"/>
        <v>1</v>
      </c>
      <c r="W23" s="25" t="b">
        <f t="shared" si="2"/>
        <v>1</v>
      </c>
      <c r="X23" s="25" t="b">
        <f t="shared" si="2"/>
        <v>1</v>
      </c>
      <c r="Y23" s="25" t="b">
        <f t="shared" si="2"/>
        <v>1</v>
      </c>
      <c r="Z23" s="25" t="b">
        <f t="shared" si="2"/>
        <v>1</v>
      </c>
      <c r="AA23" s="25" t="b">
        <f t="shared" si="2"/>
        <v>1</v>
      </c>
      <c r="AB23" s="25" t="b">
        <f t="shared" si="2"/>
        <v>1</v>
      </c>
      <c r="AC23" s="25" t="b">
        <f t="shared" si="2"/>
        <v>1</v>
      </c>
      <c r="AD23" s="25" t="b">
        <f t="shared" si="2"/>
        <v>1</v>
      </c>
      <c r="AE23" s="25" t="b">
        <f t="shared" si="2"/>
        <v>1</v>
      </c>
      <c r="AF23" s="25" t="b">
        <f t="shared" si="2"/>
        <v>1</v>
      </c>
      <c r="AG23" s="25" t="b">
        <f t="shared" si="2"/>
        <v>1</v>
      </c>
      <c r="AH23" s="25" t="b">
        <f t="shared" si="2"/>
        <v>1</v>
      </c>
      <c r="AI23" s="25" t="b">
        <f t="shared" si="2"/>
        <v>1</v>
      </c>
    </row>
    <row r="24" spans="1:35" ht="15" customHeight="1">
      <c r="A24"/>
      <c r="B24" s="90"/>
      <c r="C24" s="90"/>
      <c r="D24" s="90"/>
      <c r="E24" s="39" t="s">
        <v>68</v>
      </c>
      <c r="F24" s="39"/>
      <c r="G24" s="39" t="s">
        <v>29</v>
      </c>
      <c r="H24" s="39"/>
      <c r="I24" s="35"/>
      <c r="J24" s="35"/>
      <c r="K24" s="259">
        <f t="shared" ref="K24:AI24" si="3">(1 + $I19) ^ - K4</f>
        <v>1.0021044192804891</v>
      </c>
      <c r="L24" s="259">
        <f t="shared" si="3"/>
        <v>1.0042132671414861</v>
      </c>
      <c r="M24" s="259">
        <f t="shared" si="3"/>
        <v>1.0063265529025816</v>
      </c>
      <c r="N24" s="259">
        <f t="shared" si="3"/>
        <v>1.0084442859029779</v>
      </c>
      <c r="O24" s="259">
        <f t="shared" si="3"/>
        <v>1.0105664755015311</v>
      </c>
      <c r="P24" s="259">
        <f t="shared" si="3"/>
        <v>1.0126931310767924</v>
      </c>
      <c r="Q24" s="259">
        <f t="shared" si="3"/>
        <v>1.0148242620270491</v>
      </c>
      <c r="R24" s="259">
        <f t="shared" si="3"/>
        <v>1.016959877770367</v>
      </c>
      <c r="S24" s="259">
        <f t="shared" si="3"/>
        <v>1.0190999877446307</v>
      </c>
      <c r="T24" s="259">
        <f t="shared" si="3"/>
        <v>1.0212446014075867</v>
      </c>
      <c r="U24" s="259">
        <f t="shared" si="3"/>
        <v>1.0233937282368841</v>
      </c>
      <c r="V24" s="259">
        <f t="shared" si="3"/>
        <v>1.0255473777301174</v>
      </c>
      <c r="W24" s="259">
        <f t="shared" si="3"/>
        <v>1.0277055594048676</v>
      </c>
      <c r="X24" s="259">
        <f t="shared" si="3"/>
        <v>1.0298682827987451</v>
      </c>
      <c r="Y24" s="259">
        <f t="shared" si="3"/>
        <v>1.0320355574694309</v>
      </c>
      <c r="Z24" s="259">
        <f t="shared" si="3"/>
        <v>1.0342073929947198</v>
      </c>
      <c r="AA24" s="259">
        <f t="shared" si="3"/>
        <v>1.0363837989725622</v>
      </c>
      <c r="AB24" s="259">
        <f t="shared" si="3"/>
        <v>1.0385647850211064</v>
      </c>
      <c r="AC24" s="259">
        <f t="shared" si="3"/>
        <v>1.0407503607787418</v>
      </c>
      <c r="AD24" s="259">
        <f t="shared" si="3"/>
        <v>1.0429405359041406</v>
      </c>
      <c r="AE24" s="259">
        <f t="shared" si="3"/>
        <v>1.0451353200763007</v>
      </c>
      <c r="AF24" s="259">
        <f t="shared" si="3"/>
        <v>1.0473347229945895</v>
      </c>
      <c r="AG24" s="259">
        <f t="shared" si="3"/>
        <v>1.0495387543787849</v>
      </c>
      <c r="AH24" s="259">
        <f t="shared" si="3"/>
        <v>1.0517474239691202</v>
      </c>
      <c r="AI24" s="259">
        <f t="shared" si="3"/>
        <v>1.0539607415263255</v>
      </c>
    </row>
    <row r="25" spans="1:35" ht="15" customHeight="1">
      <c r="A25"/>
      <c r="B25" s="90"/>
      <c r="C25" s="90"/>
      <c r="D25" s="90"/>
      <c r="E25" s="83"/>
      <c r="F25" s="83"/>
      <c r="G25" s="83"/>
      <c r="H25" s="83"/>
      <c r="I25" s="83"/>
      <c r="J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</row>
    <row r="26" spans="1:35" ht="15" customHeight="1">
      <c r="A26"/>
      <c r="B26" s="84"/>
      <c r="C26" s="13" t="s">
        <v>59</v>
      </c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</row>
    <row r="27" spans="1:35" ht="15" customHeight="1">
      <c r="A27"/>
      <c r="B27" s="84"/>
      <c r="C27" s="84"/>
      <c r="D27" s="83"/>
      <c r="E27" s="83"/>
      <c r="F27" s="83"/>
      <c r="G27" s="83"/>
      <c r="H27" s="83"/>
      <c r="I27" s="83"/>
      <c r="J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</row>
    <row r="28" spans="1:35" ht="15" customHeight="1">
      <c r="A28"/>
      <c r="B28" s="90"/>
      <c r="C28" s="90"/>
      <c r="D28" s="90"/>
      <c r="E28" s="90" t="s">
        <v>49</v>
      </c>
      <c r="F28" s="39"/>
      <c r="G28" s="70" t="str">
        <f>Inputs!$I$11</f>
        <v>£m 16/17 prices</v>
      </c>
      <c r="H28" s="39"/>
      <c r="I28" s="35"/>
      <c r="J28" s="35"/>
      <c r="K28" s="90">
        <f>K13 * K$24</f>
        <v>30.902322469693519</v>
      </c>
      <c r="L28" s="90">
        <f t="shared" ref="L28:W28" si="4">L13 * L$24</f>
        <v>27.383436252871128</v>
      </c>
      <c r="M28" s="90">
        <f t="shared" si="4"/>
        <v>31.47449636090942</v>
      </c>
      <c r="N28" s="90">
        <f t="shared" si="4"/>
        <v>31.278953991774262</v>
      </c>
      <c r="O28" s="90">
        <f t="shared" si="4"/>
        <v>32.351986688826784</v>
      </c>
      <c r="P28" s="90">
        <f t="shared" si="4"/>
        <v>32.40434928444612</v>
      </c>
      <c r="Q28" s="90">
        <f t="shared" si="4"/>
        <v>32.316363192890627</v>
      </c>
      <c r="R28" s="90">
        <f t="shared" si="4"/>
        <v>33.756281146151167</v>
      </c>
      <c r="S28" s="90">
        <f t="shared" si="4"/>
        <v>34.401423722003422</v>
      </c>
      <c r="T28" s="90">
        <f t="shared" si="4"/>
        <v>35.450719077392456</v>
      </c>
      <c r="U28" s="90">
        <f t="shared" si="4"/>
        <v>35.300102965974091</v>
      </c>
      <c r="V28" s="90">
        <f t="shared" si="4"/>
        <v>35.431228868851207</v>
      </c>
      <c r="W28" s="90">
        <f t="shared" si="4"/>
        <v>35.61681841367767</v>
      </c>
      <c r="X28" s="90">
        <f t="shared" ref="X28:AI28" si="5">X13 * X$24</f>
        <v>35.845488201115479</v>
      </c>
      <c r="Y28" s="90">
        <f t="shared" si="5"/>
        <v>37.125023520777759</v>
      </c>
      <c r="Z28" s="90">
        <f t="shared" si="5"/>
        <v>36.744701720624377</v>
      </c>
      <c r="AA28" s="90">
        <f t="shared" si="5"/>
        <v>36.861355080201641</v>
      </c>
      <c r="AB28" s="90">
        <f t="shared" si="5"/>
        <v>40.033350258752435</v>
      </c>
      <c r="AC28" s="90">
        <f t="shared" si="5"/>
        <v>40.190950325399761</v>
      </c>
      <c r="AD28" s="90">
        <f t="shared" si="5"/>
        <v>41.148593661391949</v>
      </c>
      <c r="AE28" s="90">
        <f t="shared" si="5"/>
        <v>41.064871961170297</v>
      </c>
      <c r="AF28" s="90">
        <f t="shared" si="5"/>
        <v>41.87108746640164</v>
      </c>
      <c r="AG28" s="90">
        <f t="shared" si="5"/>
        <v>42.040712779717531</v>
      </c>
      <c r="AH28" s="90">
        <f t="shared" si="5"/>
        <v>42.211884955274478</v>
      </c>
      <c r="AI28" s="90">
        <f t="shared" si="5"/>
        <v>70.178575146438845</v>
      </c>
    </row>
    <row r="29" spans="1:35" ht="15" customHeight="1">
      <c r="A29"/>
      <c r="B29" s="90"/>
      <c r="C29" s="90"/>
      <c r="D29" s="90"/>
      <c r="E29" s="39" t="s">
        <v>51</v>
      </c>
      <c r="F29" s="39"/>
      <c r="G29" s="70" t="str">
        <f>Inputs!$I$11</f>
        <v>£m 16/17 prices</v>
      </c>
      <c r="H29" s="39"/>
      <c r="I29" s="74">
        <f>SUM(K28:AI28)</f>
        <v>933.385077512728</v>
      </c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</row>
    <row r="30" spans="1:35" ht="15" customHeight="1">
      <c r="A30"/>
      <c r="B30" s="90"/>
      <c r="C30" s="90"/>
      <c r="D30" s="90"/>
      <c r="E30" s="39"/>
      <c r="F30" s="39"/>
      <c r="G30" s="90"/>
      <c r="H30" s="39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</row>
    <row r="31" spans="1:35" ht="15" customHeight="1">
      <c r="A31"/>
      <c r="B31" s="90"/>
      <c r="C31" s="90"/>
      <c r="D31" s="90"/>
      <c r="E31" s="39" t="s">
        <v>66</v>
      </c>
      <c r="F31" s="39"/>
      <c r="G31" s="39" t="str">
        <f>G$21</f>
        <v>scalar</v>
      </c>
      <c r="H31" s="39"/>
      <c r="I31" s="261">
        <f>I$21</f>
        <v>3.8917182021590405E-2</v>
      </c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</row>
    <row r="32" spans="1:35" ht="15" customHeight="1">
      <c r="A32"/>
      <c r="B32" s="90"/>
      <c r="C32" s="90"/>
      <c r="D32" s="90"/>
      <c r="E32" s="39"/>
      <c r="F32" s="39"/>
      <c r="G32" s="90"/>
      <c r="H32" s="39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</row>
    <row r="33" spans="1:35" ht="15" customHeight="1">
      <c r="A33"/>
      <c r="B33" s="90"/>
      <c r="C33" s="90"/>
      <c r="D33" s="90"/>
      <c r="E33" s="39" t="s">
        <v>55</v>
      </c>
      <c r="F33" s="39"/>
      <c r="G33" s="70" t="str">
        <f>Inputs!$I$11</f>
        <v>£m 16/17 prices</v>
      </c>
      <c r="H33" s="39"/>
      <c r="I33" s="120">
        <f>I29 * I31</f>
        <v>36.324716957799104</v>
      </c>
      <c r="J33" s="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</row>
    <row r="34" spans="1:35" ht="15" customHeight="1">
      <c r="A34"/>
      <c r="B34" s="90"/>
      <c r="C34" s="90"/>
      <c r="D34" s="90"/>
      <c r="E34" s="90" t="s">
        <v>53</v>
      </c>
      <c r="F34" s="39"/>
      <c r="G34" s="70" t="str">
        <f>Inputs!$I$11</f>
        <v>£m 16/17 prices</v>
      </c>
      <c r="H34" s="39"/>
      <c r="I34" s="39"/>
      <c r="J34" s="35"/>
      <c r="K34" s="121">
        <f t="shared" ref="K34:W34" si="6">K$23 * $I33</f>
        <v>36.324716957799104</v>
      </c>
      <c r="L34" s="121">
        <f t="shared" si="6"/>
        <v>36.324716957799104</v>
      </c>
      <c r="M34" s="121">
        <f t="shared" si="6"/>
        <v>36.324716957799104</v>
      </c>
      <c r="N34" s="121">
        <f t="shared" si="6"/>
        <v>36.324716957799104</v>
      </c>
      <c r="O34" s="121">
        <f t="shared" si="6"/>
        <v>36.324716957799104</v>
      </c>
      <c r="P34" s="121">
        <f t="shared" si="6"/>
        <v>36.324716957799104</v>
      </c>
      <c r="Q34" s="121">
        <f t="shared" si="6"/>
        <v>36.324716957799104</v>
      </c>
      <c r="R34" s="121">
        <f t="shared" si="6"/>
        <v>36.324716957799104</v>
      </c>
      <c r="S34" s="121">
        <f t="shared" si="6"/>
        <v>36.324716957799104</v>
      </c>
      <c r="T34" s="121">
        <f t="shared" si="6"/>
        <v>36.324716957799104</v>
      </c>
      <c r="U34" s="121">
        <f t="shared" si="6"/>
        <v>36.324716957799104</v>
      </c>
      <c r="V34" s="121">
        <f t="shared" si="6"/>
        <v>36.324716957799104</v>
      </c>
      <c r="W34" s="121">
        <f t="shared" si="6"/>
        <v>36.324716957799104</v>
      </c>
      <c r="X34" s="121">
        <f t="shared" ref="X34:AI34" si="7">X$23 * $I33</f>
        <v>36.324716957799104</v>
      </c>
      <c r="Y34" s="121">
        <f t="shared" si="7"/>
        <v>36.324716957799104</v>
      </c>
      <c r="Z34" s="121">
        <f t="shared" si="7"/>
        <v>36.324716957799104</v>
      </c>
      <c r="AA34" s="121">
        <f t="shared" si="7"/>
        <v>36.324716957799104</v>
      </c>
      <c r="AB34" s="121">
        <f t="shared" si="7"/>
        <v>36.324716957799104</v>
      </c>
      <c r="AC34" s="121">
        <f t="shared" si="7"/>
        <v>36.324716957799104</v>
      </c>
      <c r="AD34" s="121">
        <f t="shared" si="7"/>
        <v>36.324716957799104</v>
      </c>
      <c r="AE34" s="121">
        <f t="shared" si="7"/>
        <v>36.324716957799104</v>
      </c>
      <c r="AF34" s="121">
        <f t="shared" si="7"/>
        <v>36.324716957799104</v>
      </c>
      <c r="AG34" s="121">
        <f t="shared" si="7"/>
        <v>36.324716957799104</v>
      </c>
      <c r="AH34" s="121">
        <f t="shared" si="7"/>
        <v>36.324716957799104</v>
      </c>
      <c r="AI34" s="121">
        <f t="shared" si="7"/>
        <v>36.324716957799104</v>
      </c>
    </row>
    <row r="35" spans="1:35" ht="15" customHeight="1">
      <c r="A35"/>
      <c r="B35" s="84"/>
      <c r="C35" s="84"/>
      <c r="D35" s="83"/>
      <c r="E35" s="83"/>
      <c r="F35" s="83"/>
      <c r="G35" s="83"/>
      <c r="H35" s="83"/>
      <c r="I35" s="83"/>
      <c r="J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</row>
    <row r="36" spans="1:35" ht="15" customHeight="1">
      <c r="A36"/>
      <c r="B36" s="188" t="s">
        <v>8</v>
      </c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</row>
    <row r="37" spans="1:35" ht="15" customHeight="1"/>
  </sheetData>
  <sheetProtection algorithmName="SHA-512" hashValue="/x7aqCjM0YSuuFgbDTewAcj9+NrwervV0jPtxKtz+MfRIoxf1wmwpzx5TMEPHJxw72i2dy5+hnWrV0qiiuY6Qg==" saltValue="VQiSeqfCx0rFgjZASgyUvg==" spinCount="100000" sheet="1" objects="1" scenarios="1"/>
  <conditionalFormatting sqref="K23:AI23">
    <cfRule type="cellIs" dxfId="0" priority="1" operator="equal">
      <formula>FALSE()</formula>
    </cfRule>
  </conditionalFormatting>
  <pageMargins left="0.23622047244094491" right="0.23622047244094491" top="0.74803149606299213" bottom="0.74803149606299213" header="0.31496062992125984" footer="0.31496062992125984"/>
  <pageSetup paperSize="8" scale="43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theme="7" tint="0.59999389629810485"/>
    <pageSetUpPr fitToPage="1"/>
  </sheetPr>
  <dimension ref="A1:AY66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defaultColWidth="0" defaultRowHeight="15" customHeight="1" zeroHeight="1"/>
  <cols>
    <col min="1" max="1" width="2.59765625" style="125" customWidth="1"/>
    <col min="2" max="2" width="2.59765625" style="40" customWidth="1"/>
    <col min="3" max="3" width="2.59765625" style="61" customWidth="1"/>
    <col min="4" max="4" width="2.59765625" style="40" customWidth="1"/>
    <col min="5" max="5" width="50.59765625" style="61" customWidth="1"/>
    <col min="6" max="6" width="1.59765625" style="61" customWidth="1"/>
    <col min="7" max="7" width="15.59765625" style="61" customWidth="1"/>
    <col min="8" max="8" width="10.8984375" style="61" customWidth="1"/>
    <col min="9" max="9" width="10.59765625" style="61" customWidth="1"/>
    <col min="10" max="10" width="1.59765625" style="61" customWidth="1"/>
    <col min="11" max="35" width="10.59765625" style="61" customWidth="1"/>
    <col min="36" max="36" width="3.09765625" customWidth="1"/>
    <col min="37" max="50" width="10.59765625" hidden="1" customWidth="1"/>
    <col min="51" max="51" width="2.59765625" hidden="1" customWidth="1"/>
    <col min="52" max="16384" width="9.09765625" hidden="1"/>
  </cols>
  <sheetData>
    <row r="1" spans="1:35" ht="14.5">
      <c r="A1" s="242" t="s">
        <v>247</v>
      </c>
      <c r="B1" s="16"/>
      <c r="C1" s="16"/>
      <c r="D1" s="16"/>
      <c r="E1" s="16"/>
      <c r="F1" s="16"/>
      <c r="G1" s="16"/>
      <c r="H1" s="16" t="s">
        <v>73</v>
      </c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</row>
    <row r="2" spans="1:35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3" spans="1:35" ht="15" customHeight="1">
      <c r="A3" s="16"/>
      <c r="B3" s="16"/>
      <c r="C3" s="16"/>
      <c r="D3" s="16"/>
      <c r="E3" s="19" t="s">
        <v>10</v>
      </c>
      <c r="F3" s="18"/>
      <c r="G3" s="18"/>
      <c r="H3" s="18"/>
      <c r="I3" s="27"/>
      <c r="J3" s="19"/>
      <c r="K3" s="186" t="s">
        <v>88</v>
      </c>
      <c r="L3" s="186" t="s">
        <v>89</v>
      </c>
      <c r="M3" s="186" t="s">
        <v>90</v>
      </c>
      <c r="N3" s="186" t="s">
        <v>91</v>
      </c>
      <c r="O3" s="186" t="s">
        <v>92</v>
      </c>
      <c r="P3" s="186" t="s">
        <v>93</v>
      </c>
      <c r="Q3" s="186" t="s">
        <v>94</v>
      </c>
      <c r="R3" s="186" t="s">
        <v>95</v>
      </c>
      <c r="S3" s="186" t="s">
        <v>96</v>
      </c>
      <c r="T3" s="186" t="s">
        <v>97</v>
      </c>
      <c r="U3" s="186" t="s">
        <v>98</v>
      </c>
      <c r="V3" s="186" t="s">
        <v>99</v>
      </c>
      <c r="W3" s="186" t="s">
        <v>100</v>
      </c>
      <c r="X3" s="186" t="s">
        <v>101</v>
      </c>
      <c r="Y3" s="186" t="s">
        <v>102</v>
      </c>
      <c r="Z3" s="186" t="s">
        <v>103</v>
      </c>
      <c r="AA3" s="186" t="s">
        <v>104</v>
      </c>
      <c r="AB3" s="186" t="s">
        <v>105</v>
      </c>
      <c r="AC3" s="186" t="s">
        <v>106</v>
      </c>
      <c r="AD3" s="186" t="s">
        <v>107</v>
      </c>
      <c r="AE3" s="186" t="s">
        <v>108</v>
      </c>
      <c r="AF3" s="186" t="s">
        <v>109</v>
      </c>
      <c r="AG3" s="186" t="s">
        <v>110</v>
      </c>
      <c r="AH3" s="186" t="s">
        <v>111</v>
      </c>
      <c r="AI3" s="186" t="s">
        <v>112</v>
      </c>
    </row>
    <row r="4" spans="1:35" ht="15" customHeight="1">
      <c r="A4" s="61"/>
      <c r="B4" s="61"/>
      <c r="D4" s="61"/>
    </row>
    <row r="5" spans="1:35" ht="15" customHeight="1">
      <c r="A5"/>
      <c r="B5" s="188" t="s">
        <v>124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</row>
    <row r="6" spans="1:35" ht="15" customHeight="1">
      <c r="A6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23"/>
      <c r="Q6" s="23"/>
      <c r="R6" s="23"/>
      <c r="S6" s="23"/>
      <c r="T6" s="23"/>
      <c r="U6" s="23"/>
      <c r="V6" s="23"/>
      <c r="W6" s="78"/>
      <c r="X6" s="78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</row>
    <row r="7" spans="1:35" ht="15" customHeight="1">
      <c r="A7"/>
      <c r="B7" s="68"/>
      <c r="C7" s="13" t="s">
        <v>236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</row>
    <row r="8" spans="1:35" ht="15" customHeight="1">
      <c r="A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23"/>
      <c r="Q8" s="23"/>
      <c r="R8" s="23"/>
      <c r="S8" s="23"/>
      <c r="T8" s="23"/>
      <c r="U8" s="23"/>
      <c r="V8" s="23"/>
      <c r="W8" s="78"/>
      <c r="X8" s="78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</row>
    <row r="9" spans="1:35" ht="15" customHeight="1">
      <c r="A9"/>
      <c r="B9" s="68"/>
      <c r="C9" s="68"/>
      <c r="D9" s="68"/>
      <c r="E9" s="71" t="str">
        <f>Inputs!E119</f>
        <v>UK RPI uplift from 2016/17 term to start of regime</v>
      </c>
      <c r="F9" s="20"/>
      <c r="G9" s="20" t="s">
        <v>29</v>
      </c>
      <c r="H9" s="68"/>
      <c r="I9" s="176">
        <f>Inputs!I119</f>
        <v>1.1452965748301245</v>
      </c>
      <c r="J9" s="68"/>
      <c r="K9" s="68"/>
      <c r="L9" s="68"/>
      <c r="M9" s="68"/>
      <c r="N9" s="68"/>
      <c r="O9" s="68"/>
      <c r="P9" s="23"/>
      <c r="Q9" s="23"/>
      <c r="R9" s="23"/>
      <c r="S9" s="23"/>
      <c r="T9" s="23"/>
      <c r="U9" s="23"/>
      <c r="V9" s="23"/>
      <c r="W9" s="78"/>
      <c r="X9" s="78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</row>
    <row r="10" spans="1:35" ht="15" customHeight="1">
      <c r="A10"/>
      <c r="B10" s="68"/>
      <c r="C10" s="68"/>
      <c r="D10" s="68"/>
      <c r="E10" s="89" t="str">
        <f>Inputs!E116</f>
        <v>Long-term expected UK RPI inflation</v>
      </c>
      <c r="F10" s="91"/>
      <c r="G10" s="90" t="s">
        <v>11</v>
      </c>
      <c r="H10" s="91"/>
      <c r="I10" s="155">
        <f>Inputs!I116</f>
        <v>3.2399999999999998E-2</v>
      </c>
      <c r="J10" s="68"/>
      <c r="K10" s="68"/>
      <c r="L10" s="68"/>
      <c r="M10" s="68"/>
      <c r="N10" s="68"/>
      <c r="O10" s="68"/>
      <c r="P10" s="23"/>
      <c r="Q10" s="23"/>
      <c r="R10" s="23"/>
      <c r="S10" s="23"/>
      <c r="T10" s="23"/>
      <c r="U10" s="23"/>
      <c r="V10" s="23"/>
      <c r="W10" s="78"/>
      <c r="X10" s="78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</row>
    <row r="11" spans="1:35" ht="15" customHeight="1">
      <c r="A11"/>
      <c r="B11" s="68"/>
      <c r="C11" s="68"/>
      <c r="D11" s="68"/>
      <c r="E11" s="91" t="s">
        <v>197</v>
      </c>
      <c r="F11" s="91"/>
      <c r="G11" s="20" t="s">
        <v>29</v>
      </c>
      <c r="H11" s="91"/>
      <c r="I11" s="91"/>
      <c r="J11" s="68"/>
      <c r="K11" s="262">
        <f>I9*(1+$I$10)^0.5</f>
        <v>1.1637024799464446</v>
      </c>
      <c r="L11" s="263">
        <f>K11*(1+$I$10)</f>
        <v>1.2014064402967093</v>
      </c>
      <c r="M11" s="264">
        <f t="shared" ref="M11:AI11" si="0">L11*(1+$I$10)</f>
        <v>1.2403320089623227</v>
      </c>
      <c r="N11" s="264">
        <f t="shared" si="0"/>
        <v>1.280518766052702</v>
      </c>
      <c r="O11" s="264">
        <f t="shared" si="0"/>
        <v>1.3220075740728094</v>
      </c>
      <c r="P11" s="264">
        <f t="shared" si="0"/>
        <v>1.3648406194727685</v>
      </c>
      <c r="Q11" s="264">
        <f t="shared" si="0"/>
        <v>1.4090614555436862</v>
      </c>
      <c r="R11" s="264">
        <f t="shared" si="0"/>
        <v>1.4547150467033017</v>
      </c>
      <c r="S11" s="264">
        <f t="shared" si="0"/>
        <v>1.5018478142164886</v>
      </c>
      <c r="T11" s="264">
        <f t="shared" si="0"/>
        <v>1.5505076833971028</v>
      </c>
      <c r="U11" s="264">
        <f t="shared" si="0"/>
        <v>1.6007441323391689</v>
      </c>
      <c r="V11" s="264">
        <f t="shared" si="0"/>
        <v>1.6526082422269579</v>
      </c>
      <c r="W11" s="264">
        <f t="shared" si="0"/>
        <v>1.7061527492751114</v>
      </c>
      <c r="X11" s="264">
        <f t="shared" si="0"/>
        <v>1.761432098351625</v>
      </c>
      <c r="Y11" s="264">
        <f t="shared" si="0"/>
        <v>1.8185024983382176</v>
      </c>
      <c r="Z11" s="264">
        <f t="shared" si="0"/>
        <v>1.8774219792843758</v>
      </c>
      <c r="AA11" s="264">
        <f t="shared" si="0"/>
        <v>1.9382504514131895</v>
      </c>
      <c r="AB11" s="264">
        <f t="shared" si="0"/>
        <v>2.0010497660389768</v>
      </c>
      <c r="AC11" s="264">
        <f t="shared" si="0"/>
        <v>2.0658837784586397</v>
      </c>
      <c r="AD11" s="264">
        <f t="shared" si="0"/>
        <v>2.1328184128806997</v>
      </c>
      <c r="AE11" s="264">
        <f t="shared" si="0"/>
        <v>2.2019217294580344</v>
      </c>
      <c r="AF11" s="264">
        <f t="shared" si="0"/>
        <v>2.2732639934924745</v>
      </c>
      <c r="AG11" s="264">
        <f t="shared" si="0"/>
        <v>2.3469177468816307</v>
      </c>
      <c r="AH11" s="264">
        <f t="shared" si="0"/>
        <v>2.4229578818805955</v>
      </c>
      <c r="AI11" s="264">
        <f t="shared" si="0"/>
        <v>2.5014617172535267</v>
      </c>
    </row>
    <row r="12" spans="1:35" ht="15" customHeight="1">
      <c r="A12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23"/>
      <c r="Q12" s="23"/>
      <c r="R12" s="23"/>
      <c r="S12" s="23"/>
      <c r="T12" s="23"/>
      <c r="U12" s="23"/>
      <c r="V12" s="23"/>
      <c r="W12" s="78"/>
      <c r="X12" s="78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</row>
    <row r="13" spans="1:35" ht="15" customHeight="1">
      <c r="A13"/>
      <c r="B13" s="68"/>
      <c r="C13" s="13" t="s">
        <v>130</v>
      </c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</row>
    <row r="14" spans="1:35" ht="15" customHeight="1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23"/>
      <c r="Q14" s="23"/>
      <c r="R14" s="23"/>
      <c r="S14" s="23"/>
      <c r="T14" s="23"/>
      <c r="U14" s="23"/>
      <c r="V14" s="23"/>
      <c r="W14" s="78"/>
      <c r="X14" s="78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</row>
    <row r="15" spans="1:35" ht="15" customHeight="1">
      <c r="A15" s="68"/>
      <c r="B15" s="68"/>
      <c r="C15" s="68"/>
      <c r="D15" s="68"/>
      <c r="E15" s="23" t="s">
        <v>127</v>
      </c>
      <c r="F15" s="68"/>
      <c r="G15" s="123" t="s">
        <v>128</v>
      </c>
      <c r="H15" s="68"/>
      <c r="I15" s="68"/>
      <c r="J15" s="68"/>
      <c r="K15" s="23">
        <f t="shared" ref="K15:AI15" si="1">K27</f>
        <v>18.041652133955942</v>
      </c>
      <c r="L15" s="23">
        <f t="shared" si="1"/>
        <v>14.297695086626163</v>
      </c>
      <c r="M15" s="23">
        <f t="shared" si="1"/>
        <v>19.690133234063683</v>
      </c>
      <c r="N15" s="23">
        <f t="shared" si="1"/>
        <v>19.95217036164938</v>
      </c>
      <c r="O15" s="23">
        <f t="shared" si="1"/>
        <v>21.871307027254641</v>
      </c>
      <c r="P15" s="23">
        <f t="shared" si="1"/>
        <v>22.512367333832643</v>
      </c>
      <c r="Q15" s="23">
        <f t="shared" si="1"/>
        <v>22.980670521914281</v>
      </c>
      <c r="R15" s="23">
        <f t="shared" si="1"/>
        <v>25.44861806945443</v>
      </c>
      <c r="S15" s="23">
        <f t="shared" si="1"/>
        <v>26.771043172311149</v>
      </c>
      <c r="T15" s="23">
        <f t="shared" si="1"/>
        <v>29.069657722186054</v>
      </c>
      <c r="U15" s="23">
        <f t="shared" si="1"/>
        <v>29.484817195172582</v>
      </c>
      <c r="V15" s="23">
        <f t="shared" si="1"/>
        <v>30.475321300354128</v>
      </c>
      <c r="W15" s="23">
        <f t="shared" si="1"/>
        <v>31.500227823309316</v>
      </c>
      <c r="X15" s="23">
        <f t="shared" si="1"/>
        <v>32.560791491874156</v>
      </c>
      <c r="Y15" s="23">
        <f t="shared" si="1"/>
        <v>35.032114629204557</v>
      </c>
      <c r="Z15" s="23">
        <f t="shared" si="1"/>
        <v>35.267490715328641</v>
      </c>
      <c r="AA15" s="23">
        <f t="shared" si="1"/>
        <v>36.462019562809893</v>
      </c>
      <c r="AB15" s="23">
        <f t="shared" si="1"/>
        <v>37.698544339764794</v>
      </c>
      <c r="AC15" s="23">
        <f t="shared" si="1"/>
        <v>38.978624006189186</v>
      </c>
      <c r="AD15" s="23">
        <f t="shared" si="1"/>
        <v>41.939714160291437</v>
      </c>
      <c r="AE15" s="23">
        <f t="shared" si="1"/>
        <v>42.356915725704319</v>
      </c>
      <c r="AF15" s="23">
        <f t="shared" si="1"/>
        <v>43.803979479349429</v>
      </c>
      <c r="AG15" s="23">
        <f t="shared" si="1"/>
        <v>45.302566572087329</v>
      </c>
      <c r="AH15" s="23">
        <f t="shared" si="1"/>
        <v>46.85462449890543</v>
      </c>
      <c r="AI15" s="23">
        <f t="shared" si="1"/>
        <v>48.863819828076316</v>
      </c>
    </row>
    <row r="16" spans="1:35" ht="15" customHeight="1">
      <c r="A16" s="68"/>
      <c r="B16" s="68"/>
      <c r="C16" s="68"/>
      <c r="D16" s="68"/>
      <c r="E16" s="23" t="s">
        <v>129</v>
      </c>
      <c r="F16" s="68"/>
      <c r="G16" s="123" t="s">
        <v>128</v>
      </c>
      <c r="H16" s="68"/>
      <c r="I16" s="68"/>
      <c r="J16" s="68"/>
      <c r="K16" s="23">
        <f t="shared" ref="K16:AI16" si="2">K42</f>
        <v>27.696594611483164</v>
      </c>
      <c r="L16" s="23">
        <f t="shared" si="2"/>
        <v>25.480867042564515</v>
      </c>
      <c r="M16" s="23">
        <f t="shared" si="2"/>
        <v>23.442397679159352</v>
      </c>
      <c r="N16" s="23">
        <f t="shared" si="2"/>
        <v>21.567005864826605</v>
      </c>
      <c r="O16" s="23">
        <f t="shared" si="2"/>
        <v>19.84164539564048</v>
      </c>
      <c r="P16" s="23">
        <f t="shared" si="2"/>
        <v>18.254313763989241</v>
      </c>
      <c r="Q16" s="23">
        <f t="shared" si="2"/>
        <v>17.07071737720927</v>
      </c>
      <c r="R16" s="23">
        <f t="shared" si="2"/>
        <v>16.102583314130637</v>
      </c>
      <c r="S16" s="23">
        <f t="shared" si="2"/>
        <v>14.814376649000188</v>
      </c>
      <c r="T16" s="23">
        <f t="shared" si="2"/>
        <v>13.769470809158772</v>
      </c>
      <c r="U16" s="23">
        <f t="shared" si="2"/>
        <v>12.66791314442607</v>
      </c>
      <c r="V16" s="23">
        <f t="shared" si="2"/>
        <v>11.745727288520431</v>
      </c>
      <c r="W16" s="23">
        <f t="shared" si="2"/>
        <v>10.964708049439988</v>
      </c>
      <c r="X16" s="23">
        <f t="shared" si="2"/>
        <v>10.640037337700997</v>
      </c>
      <c r="Y16" s="23">
        <f t="shared" si="2"/>
        <v>9.7888343506849171</v>
      </c>
      <c r="Z16" s="23">
        <f t="shared" si="2"/>
        <v>9.0057276026301221</v>
      </c>
      <c r="AA16" s="23">
        <f t="shared" si="2"/>
        <v>11.929333478400283</v>
      </c>
      <c r="AB16" s="23">
        <f t="shared" si="2"/>
        <v>10.974986800128262</v>
      </c>
      <c r="AC16" s="23">
        <f t="shared" si="2"/>
        <v>10.096987856118</v>
      </c>
      <c r="AD16" s="23">
        <f t="shared" si="2"/>
        <v>9.4821434527217487</v>
      </c>
      <c r="AE16" s="23">
        <f t="shared" si="2"/>
        <v>9.1560435378440079</v>
      </c>
      <c r="AF16" s="23">
        <f t="shared" si="2"/>
        <v>8.4235600548164875</v>
      </c>
      <c r="AG16" s="23">
        <f t="shared" si="2"/>
        <v>7.7496752504311681</v>
      </c>
      <c r="AH16" s="23">
        <f t="shared" si="2"/>
        <v>7.1297012303966749</v>
      </c>
      <c r="AI16" s="23">
        <f t="shared" si="2"/>
        <v>81.991564149561754</v>
      </c>
    </row>
    <row r="17" spans="1:35" ht="15" customHeight="1">
      <c r="A17" s="68"/>
      <c r="B17" s="68"/>
      <c r="C17" s="68"/>
      <c r="D17" s="68"/>
      <c r="E17" s="23" t="s">
        <v>198</v>
      </c>
      <c r="F17" s="68"/>
      <c r="G17" s="123" t="s">
        <v>128</v>
      </c>
      <c r="H17" s="68"/>
      <c r="I17" s="68"/>
      <c r="J17" s="68"/>
      <c r="K17" s="23">
        <f t="shared" ref="K17:AI17" si="3">K58</f>
        <v>6.9969230536970075</v>
      </c>
      <c r="L17" s="23">
        <f t="shared" si="3"/>
        <v>6.8055961020579909</v>
      </c>
      <c r="M17" s="23">
        <f t="shared" si="3"/>
        <v>6.6084849616701025</v>
      </c>
      <c r="N17" s="23">
        <f t="shared" si="3"/>
        <v>6.4054147651704527</v>
      </c>
      <c r="O17" s="23">
        <f t="shared" si="3"/>
        <v>6.1962053586130335</v>
      </c>
      <c r="P17" s="23">
        <f t="shared" si="3"/>
        <v>5.9806711416449465</v>
      </c>
      <c r="Q17" s="23">
        <f t="shared" si="3"/>
        <v>5.7586209028508488</v>
      </c>
      <c r="R17" s="23">
        <f t="shared" si="3"/>
        <v>5.5298576501195376</v>
      </c>
      <c r="S17" s="23">
        <f t="shared" si="3"/>
        <v>5.2941784358821842</v>
      </c>
      <c r="T17" s="23">
        <f t="shared" si="3"/>
        <v>5.0513741770671743</v>
      </c>
      <c r="U17" s="23">
        <f t="shared" si="3"/>
        <v>4.8012294696118403</v>
      </c>
      <c r="V17" s="23">
        <f t="shared" si="3"/>
        <v>4.5435223973665044</v>
      </c>
      <c r="W17" s="23">
        <f t="shared" si="3"/>
        <v>4.278024335221331</v>
      </c>
      <c r="X17" s="23">
        <f t="shared" si="3"/>
        <v>4.0044997462813061</v>
      </c>
      <c r="Y17" s="23">
        <f t="shared" si="3"/>
        <v>3.7227059729094312</v>
      </c>
      <c r="Z17" s="23">
        <f t="shared" si="3"/>
        <v>3.4323930214527283</v>
      </c>
      <c r="AA17" s="23">
        <f t="shared" si="3"/>
        <v>3.1333033404601043</v>
      </c>
      <c r="AB17" s="23">
        <f t="shared" si="3"/>
        <v>2.8251715921952982</v>
      </c>
      <c r="AC17" s="23">
        <f t="shared" si="3"/>
        <v>2.5077244172422208</v>
      </c>
      <c r="AD17" s="23">
        <f t="shared" si="3"/>
        <v>2.1806801919938485</v>
      </c>
      <c r="AE17" s="23">
        <f t="shared" si="3"/>
        <v>1.8437487788095368</v>
      </c>
      <c r="AF17" s="23">
        <f t="shared" si="3"/>
        <v>1.4966312686190935</v>
      </c>
      <c r="AG17" s="23">
        <f t="shared" si="3"/>
        <v>1.1390197157452731</v>
      </c>
      <c r="AH17" s="23">
        <f t="shared" si="3"/>
        <v>0.77059686470943345</v>
      </c>
      <c r="AI17" s="23">
        <f t="shared" si="3"/>
        <v>0.39103586877799229</v>
      </c>
    </row>
    <row r="18" spans="1:35" ht="15" customHeight="1">
      <c r="A18" s="68"/>
      <c r="B18" s="68"/>
      <c r="C18" s="68"/>
      <c r="D18" s="68"/>
      <c r="E18" s="23" t="s">
        <v>18</v>
      </c>
      <c r="F18" s="68"/>
      <c r="G18" s="123" t="s">
        <v>128</v>
      </c>
      <c r="H18" s="68"/>
      <c r="I18" s="68"/>
      <c r="J18" s="68"/>
      <c r="K18" s="291">
        <f>SUMPRODUCT(Finance!K39:AX39,Inputs!K107:AX107)+SUMPRODUCT(Finance!K41:AX41,Inputs!K107:AX107)</f>
        <v>4.8683567979164515</v>
      </c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77"/>
    </row>
    <row r="19" spans="1:35" ht="15" customHeight="1">
      <c r="A19" s="68"/>
      <c r="B19" s="68"/>
      <c r="C19" s="68"/>
      <c r="D19" s="68"/>
      <c r="E19" s="68" t="s">
        <v>130</v>
      </c>
      <c r="F19" s="68"/>
      <c r="G19" s="123" t="s">
        <v>128</v>
      </c>
      <c r="H19" s="68"/>
      <c r="I19" s="68"/>
      <c r="J19" s="68"/>
      <c r="K19" s="54">
        <f t="shared" ref="K19:R19" si="4">SUM(K15:K18)</f>
        <v>57.603526597052564</v>
      </c>
      <c r="L19" s="54">
        <f t="shared" si="4"/>
        <v>46.584158231248665</v>
      </c>
      <c r="M19" s="54">
        <f t="shared" si="4"/>
        <v>49.741015874893137</v>
      </c>
      <c r="N19" s="54">
        <f t="shared" si="4"/>
        <v>47.92459099164644</v>
      </c>
      <c r="O19" s="54">
        <f t="shared" si="4"/>
        <v>47.909157781508156</v>
      </c>
      <c r="P19" s="54">
        <f t="shared" si="4"/>
        <v>46.747352239466835</v>
      </c>
      <c r="Q19" s="54">
        <f t="shared" si="4"/>
        <v>45.810008801974405</v>
      </c>
      <c r="R19" s="54">
        <f t="shared" si="4"/>
        <v>47.081059033704605</v>
      </c>
      <c r="S19" s="54">
        <f t="shared" ref="S19:AI19" si="5">SUM(S15:S18)</f>
        <v>46.879598257193521</v>
      </c>
      <c r="T19" s="54">
        <f t="shared" si="5"/>
        <v>47.890502708412001</v>
      </c>
      <c r="U19" s="54">
        <f t="shared" si="5"/>
        <v>46.953959809210488</v>
      </c>
      <c r="V19" s="54">
        <f t="shared" si="5"/>
        <v>46.764570986241061</v>
      </c>
      <c r="W19" s="54">
        <f t="shared" si="5"/>
        <v>46.74296020797064</v>
      </c>
      <c r="X19" s="54">
        <f t="shared" si="5"/>
        <v>47.205328575856456</v>
      </c>
      <c r="Y19" s="54">
        <f t="shared" si="5"/>
        <v>48.543654952798903</v>
      </c>
      <c r="Z19" s="54">
        <f t="shared" si="5"/>
        <v>47.70561133941149</v>
      </c>
      <c r="AA19" s="54">
        <f t="shared" si="5"/>
        <v>51.524656381670276</v>
      </c>
      <c r="AB19" s="54">
        <f t="shared" si="5"/>
        <v>51.498702732088354</v>
      </c>
      <c r="AC19" s="54">
        <f t="shared" si="5"/>
        <v>51.583336279549407</v>
      </c>
      <c r="AD19" s="54">
        <f t="shared" si="5"/>
        <v>53.602537805007039</v>
      </c>
      <c r="AE19" s="54">
        <f t="shared" si="5"/>
        <v>53.356708042357859</v>
      </c>
      <c r="AF19" s="54">
        <f t="shared" si="5"/>
        <v>53.724170802785004</v>
      </c>
      <c r="AG19" s="54">
        <f t="shared" si="5"/>
        <v>54.191261538263767</v>
      </c>
      <c r="AH19" s="54">
        <f t="shared" si="5"/>
        <v>54.754922594011539</v>
      </c>
      <c r="AI19" s="54">
        <f t="shared" si="5"/>
        <v>131.24641984641607</v>
      </c>
    </row>
    <row r="20" spans="1:35" ht="15" customHeight="1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290"/>
      <c r="L20" s="290"/>
      <c r="M20" s="290"/>
      <c r="N20" s="290"/>
      <c r="O20" s="290"/>
      <c r="P20" s="290"/>
      <c r="Q20" s="290"/>
      <c r="R20" s="290"/>
      <c r="S20" s="290"/>
      <c r="T20" s="290"/>
      <c r="U20" s="290"/>
      <c r="V20" s="290"/>
      <c r="W20" s="290"/>
      <c r="X20" s="290"/>
      <c r="Y20" s="290"/>
      <c r="Z20" s="290"/>
      <c r="AA20" s="290"/>
      <c r="AB20" s="290"/>
      <c r="AC20" s="290"/>
      <c r="AD20" s="290"/>
      <c r="AE20" s="290"/>
      <c r="AF20" s="290"/>
      <c r="AG20" s="290"/>
      <c r="AH20" s="290"/>
      <c r="AI20" s="290"/>
    </row>
    <row r="21" spans="1:35" ht="15" customHeight="1">
      <c r="A21"/>
      <c r="B21" s="188" t="s">
        <v>131</v>
      </c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</row>
    <row r="22" spans="1:35" ht="15" customHeight="1">
      <c r="A22" s="61"/>
      <c r="B22" s="61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 ht="15" customHeight="1">
      <c r="A23"/>
      <c r="B23" s="68"/>
      <c r="C23" s="13" t="s">
        <v>132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</row>
    <row r="24" spans="1:35" ht="15" customHeight="1">
      <c r="A24" s="61"/>
      <c r="C24" s="40"/>
      <c r="D24" s="6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</row>
    <row r="25" spans="1:35" ht="15" customHeight="1">
      <c r="A25" s="61"/>
      <c r="C25" s="40"/>
      <c r="D25" s="61"/>
      <c r="E25" s="41" t="s">
        <v>237</v>
      </c>
      <c r="G25" s="123" t="s">
        <v>128</v>
      </c>
      <c r="K25" s="118">
        <f>Inputs!K61* K$11</f>
        <v>16.806365136721055</v>
      </c>
      <c r="L25" s="118">
        <f>Inputs!L61* L$11</f>
        <v>13.038541191509831</v>
      </c>
      <c r="M25" s="118">
        <f>Inputs!M61* M$11</f>
        <v>18.402391739759729</v>
      </c>
      <c r="N25" s="118">
        <f>Inputs!N61* N$11</f>
        <v>18.635191992704218</v>
      </c>
      <c r="O25" s="118">
        <f>Inputs!O61* O$11</f>
        <v>20.524427756786523</v>
      </c>
      <c r="P25" s="118">
        <f>Inputs!P61* P$11</f>
        <v>21.134908048262037</v>
      </c>
      <c r="Q25" s="118">
        <f>Inputs!Q61* Q$11</f>
        <v>21.57193667807153</v>
      </c>
      <c r="R25" s="118">
        <f>Inputs!R61* R$11</f>
        <v>24.007899343891303</v>
      </c>
      <c r="S25" s="118">
        <f>Inputs!S61* S$11</f>
        <v>25.297613102638973</v>
      </c>
      <c r="T25" s="118">
        <f>Inputs!T61* T$11</f>
        <v>27.56277334025906</v>
      </c>
      <c r="U25" s="118">
        <f>Inputs!U61* U$11</f>
        <v>27.943718651931007</v>
      </c>
      <c r="V25" s="118">
        <f>Inputs!V61* V$11</f>
        <v>28.89923148213736</v>
      </c>
      <c r="W25" s="118">
        <f>Inputs!W61* W$11</f>
        <v>29.888351959445053</v>
      </c>
      <c r="X25" s="118">
        <f>Inputs!X61* X$11</f>
        <v>30.912316753345191</v>
      </c>
      <c r="Y25" s="118">
        <f>Inputs!Y61* Y$11</f>
        <v>33.346209718190188</v>
      </c>
      <c r="Z25" s="118">
        <f>Inputs!Z61* Z$11</f>
        <v>33.543305445413182</v>
      </c>
      <c r="AA25" s="118">
        <f>Inputs!AA61* AA$11</f>
        <v>34.698684429645979</v>
      </c>
      <c r="AB25" s="118">
        <f>Inputs!AB61* AB$11</f>
        <v>35.895170081974392</v>
      </c>
      <c r="AC25" s="118">
        <f>Inputs!AC61* AC$11</f>
        <v>37.134301156280209</v>
      </c>
      <c r="AD25" s="118">
        <f>Inputs!AD61* AD$11</f>
        <v>40.053512585362881</v>
      </c>
      <c r="AE25" s="118">
        <f>Inputs!AE61* AE$11</f>
        <v>40.427884157707645</v>
      </c>
      <c r="AF25" s="118">
        <f>Inputs!AF61* AF$11</f>
        <v>41.83114503466863</v>
      </c>
      <c r="AG25" s="118">
        <f>Inputs!AG61* AG$11</f>
        <v>43.284934260194674</v>
      </c>
      <c r="AH25" s="118">
        <f>Inputs!AH61* AH$11</f>
        <v>44.791176719844451</v>
      </c>
      <c r="AI25" s="118">
        <f>Inputs!AI61* AI$11</f>
        <v>46.753515858517837</v>
      </c>
    </row>
    <row r="26" spans="1:35" ht="15" customHeight="1">
      <c r="A26" s="61"/>
      <c r="C26" s="40"/>
      <c r="D26" s="61"/>
      <c r="E26" s="41" t="s">
        <v>239</v>
      </c>
      <c r="G26" s="123" t="s">
        <v>128</v>
      </c>
      <c r="K26" s="118">
        <f>Inputs!K62* K$11</f>
        <v>1.2352869972348861</v>
      </c>
      <c r="L26" s="118">
        <f>Inputs!L62* L$11</f>
        <v>1.2591538951163332</v>
      </c>
      <c r="M26" s="118">
        <f>Inputs!M62* M$11</f>
        <v>1.2877414943039549</v>
      </c>
      <c r="N26" s="118">
        <f>Inputs!N62* N$11</f>
        <v>1.3169783689451611</v>
      </c>
      <c r="O26" s="118">
        <f>Inputs!O62* O$11</f>
        <v>1.3468792704681183</v>
      </c>
      <c r="P26" s="118">
        <f>Inputs!P62* P$11</f>
        <v>1.377459285570606</v>
      </c>
      <c r="Q26" s="118">
        <f>Inputs!Q62* Q$11</f>
        <v>1.4087338438427506</v>
      </c>
      <c r="R26" s="118">
        <f>Inputs!R62* R$11</f>
        <v>1.4407187255631251</v>
      </c>
      <c r="S26" s="118">
        <f>Inputs!S62* S$11</f>
        <v>1.4734300696721752</v>
      </c>
      <c r="T26" s="118">
        <f>Inputs!T62* T$11</f>
        <v>1.506884381926993</v>
      </c>
      <c r="U26" s="118">
        <f>Inputs!U62* U$11</f>
        <v>1.5410985432415738</v>
      </c>
      <c r="V26" s="118">
        <f>Inputs!V62* V$11</f>
        <v>1.5760898182167693</v>
      </c>
      <c r="W26" s="118">
        <f>Inputs!W62* W$11</f>
        <v>1.6118758638642614</v>
      </c>
      <c r="X26" s="118">
        <f>Inputs!X62* X$11</f>
        <v>1.6484747385289638</v>
      </c>
      <c r="Y26" s="118">
        <f>Inputs!Y62* Y$11</f>
        <v>1.6859049110143687</v>
      </c>
      <c r="Z26" s="118">
        <f>Inputs!Z62* Z$11</f>
        <v>1.7241852699154598</v>
      </c>
      <c r="AA26" s="118">
        <f>Inputs!AA62* AA$11</f>
        <v>1.7633351331639113</v>
      </c>
      <c r="AB26" s="118">
        <f>Inputs!AB62* AB$11</f>
        <v>1.8033742577903986</v>
      </c>
      <c r="AC26" s="118">
        <f>Inputs!AC62* AC$11</f>
        <v>1.8443228499089768</v>
      </c>
      <c r="AD26" s="118">
        <f>Inputs!AD62* AD$11</f>
        <v>1.8862015749285577</v>
      </c>
      <c r="AE26" s="118">
        <f>Inputs!AE62* AE$11</f>
        <v>1.9290315679966739</v>
      </c>
      <c r="AF26" s="118">
        <f>Inputs!AF62* AF$11</f>
        <v>1.9728344446808022</v>
      </c>
      <c r="AG26" s="118">
        <f>Inputs!AG62* AG$11</f>
        <v>2.0176323118926551</v>
      </c>
      <c r="AH26" s="118">
        <f>Inputs!AH62* AH$11</f>
        <v>2.0634477790609767</v>
      </c>
      <c r="AI26" s="118">
        <f>Inputs!AI62* AI$11</f>
        <v>2.1103039695584833</v>
      </c>
    </row>
    <row r="27" spans="1:35" ht="15" customHeight="1">
      <c r="A27" s="124"/>
      <c r="B27" s="124"/>
      <c r="C27" s="124"/>
      <c r="D27" s="124"/>
      <c r="E27" s="128" t="s">
        <v>127</v>
      </c>
      <c r="F27" s="23"/>
      <c r="G27" s="68" t="s">
        <v>128</v>
      </c>
      <c r="H27" s="124"/>
      <c r="I27" s="129"/>
      <c r="J27" s="124"/>
      <c r="K27" s="130">
        <f t="shared" ref="K27:AI27" si="6">SUM(K25:K26)</f>
        <v>18.041652133955942</v>
      </c>
      <c r="L27" s="130">
        <f t="shared" si="6"/>
        <v>14.297695086626163</v>
      </c>
      <c r="M27" s="130">
        <f t="shared" si="6"/>
        <v>19.690133234063683</v>
      </c>
      <c r="N27" s="130">
        <f t="shared" si="6"/>
        <v>19.95217036164938</v>
      </c>
      <c r="O27" s="130">
        <f t="shared" si="6"/>
        <v>21.871307027254641</v>
      </c>
      <c r="P27" s="130">
        <f t="shared" si="6"/>
        <v>22.512367333832643</v>
      </c>
      <c r="Q27" s="130">
        <f t="shared" si="6"/>
        <v>22.980670521914281</v>
      </c>
      <c r="R27" s="130">
        <f t="shared" si="6"/>
        <v>25.44861806945443</v>
      </c>
      <c r="S27" s="130">
        <f t="shared" si="6"/>
        <v>26.771043172311149</v>
      </c>
      <c r="T27" s="130">
        <f t="shared" si="6"/>
        <v>29.069657722186054</v>
      </c>
      <c r="U27" s="130">
        <f t="shared" si="6"/>
        <v>29.484817195172582</v>
      </c>
      <c r="V27" s="130">
        <f t="shared" si="6"/>
        <v>30.475321300354128</v>
      </c>
      <c r="W27" s="130">
        <f t="shared" si="6"/>
        <v>31.500227823309316</v>
      </c>
      <c r="X27" s="130">
        <f t="shared" si="6"/>
        <v>32.560791491874156</v>
      </c>
      <c r="Y27" s="130">
        <f t="shared" si="6"/>
        <v>35.032114629204557</v>
      </c>
      <c r="Z27" s="130">
        <f t="shared" si="6"/>
        <v>35.267490715328641</v>
      </c>
      <c r="AA27" s="130">
        <f t="shared" si="6"/>
        <v>36.462019562809893</v>
      </c>
      <c r="AB27" s="130">
        <f t="shared" si="6"/>
        <v>37.698544339764794</v>
      </c>
      <c r="AC27" s="130">
        <f t="shared" si="6"/>
        <v>38.978624006189186</v>
      </c>
      <c r="AD27" s="130">
        <f t="shared" si="6"/>
        <v>41.939714160291437</v>
      </c>
      <c r="AE27" s="130">
        <f t="shared" si="6"/>
        <v>42.356915725704319</v>
      </c>
      <c r="AF27" s="130">
        <f t="shared" si="6"/>
        <v>43.803979479349429</v>
      </c>
      <c r="AG27" s="130">
        <f t="shared" si="6"/>
        <v>45.302566572087329</v>
      </c>
      <c r="AH27" s="130">
        <f t="shared" si="6"/>
        <v>46.85462449890543</v>
      </c>
      <c r="AI27" s="130">
        <f t="shared" si="6"/>
        <v>48.863819828076316</v>
      </c>
    </row>
    <row r="28" spans="1:35" ht="15" customHeight="1">
      <c r="A28" s="61"/>
      <c r="C28" s="40"/>
      <c r="D28" s="61"/>
      <c r="G28" s="123"/>
      <c r="O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</row>
    <row r="29" spans="1:35" ht="15" customHeight="1">
      <c r="A29"/>
      <c r="B29" s="68"/>
      <c r="C29" s="13" t="s">
        <v>133</v>
      </c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</row>
    <row r="30" spans="1:35" ht="15" customHeight="1">
      <c r="A30" s="61"/>
      <c r="D30" s="61"/>
      <c r="E30" s="39"/>
      <c r="F30" s="39"/>
      <c r="G30" s="39"/>
      <c r="O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</row>
    <row r="31" spans="1:35" ht="15" customHeight="1">
      <c r="A31" s="91"/>
      <c r="B31" s="91"/>
      <c r="C31" s="91"/>
      <c r="D31" s="91"/>
      <c r="E31" s="131" t="s">
        <v>134</v>
      </c>
      <c r="F31" s="68"/>
      <c r="G31" s="131" t="str">
        <f>Inputs!G114</f>
        <v>%</v>
      </c>
      <c r="H31" s="68"/>
      <c r="I31" s="91"/>
      <c r="J31" s="132"/>
      <c r="K31" s="133">
        <f>Inputs!K114</f>
        <v>0.08</v>
      </c>
      <c r="L31" s="133">
        <f>Inputs!L114</f>
        <v>0.08</v>
      </c>
      <c r="M31" s="133">
        <f>Inputs!M114</f>
        <v>0.08</v>
      </c>
      <c r="N31" s="133">
        <f>Inputs!N114</f>
        <v>0.08</v>
      </c>
      <c r="O31" s="133">
        <f>Inputs!O114</f>
        <v>0.08</v>
      </c>
      <c r="P31" s="133">
        <f>Inputs!P114</f>
        <v>0.08</v>
      </c>
      <c r="Q31" s="133">
        <f>Inputs!Q114</f>
        <v>0.08</v>
      </c>
      <c r="R31" s="133">
        <f>Inputs!R114</f>
        <v>0.08</v>
      </c>
      <c r="S31" s="133">
        <f>Inputs!S114</f>
        <v>0.08</v>
      </c>
      <c r="T31" s="133">
        <f>Inputs!T114</f>
        <v>0.08</v>
      </c>
      <c r="U31" s="133">
        <f>Inputs!U114</f>
        <v>0.08</v>
      </c>
      <c r="V31" s="133">
        <f>Inputs!V114</f>
        <v>0.08</v>
      </c>
      <c r="W31" s="133">
        <f>Inputs!W114</f>
        <v>0.08</v>
      </c>
      <c r="X31" s="133">
        <f>Inputs!X114</f>
        <v>0.08</v>
      </c>
      <c r="Y31" s="133">
        <f>Inputs!Y114</f>
        <v>0.08</v>
      </c>
      <c r="Z31" s="133">
        <f>Inputs!Z114</f>
        <v>0.08</v>
      </c>
      <c r="AA31" s="133">
        <f>Inputs!AA114</f>
        <v>0.08</v>
      </c>
      <c r="AB31" s="133">
        <f>Inputs!AB114</f>
        <v>0.08</v>
      </c>
      <c r="AC31" s="133">
        <f>Inputs!AC114</f>
        <v>0.08</v>
      </c>
      <c r="AD31" s="133">
        <f>Inputs!AD114</f>
        <v>0.08</v>
      </c>
      <c r="AE31" s="133">
        <f>Inputs!AE114</f>
        <v>0.08</v>
      </c>
      <c r="AF31" s="133">
        <f>Inputs!AF114</f>
        <v>0.08</v>
      </c>
      <c r="AG31" s="133">
        <f>Inputs!AG114</f>
        <v>0.08</v>
      </c>
      <c r="AH31" s="133">
        <f>Inputs!AH114</f>
        <v>0.08</v>
      </c>
      <c r="AI31" s="133">
        <f>Inputs!AI114</f>
        <v>0.08</v>
      </c>
    </row>
    <row r="32" spans="1:35" ht="15" customHeight="1">
      <c r="A32" s="91"/>
      <c r="B32" s="91"/>
      <c r="C32" s="91"/>
      <c r="D32" s="91"/>
      <c r="E32" s="68" t="s">
        <v>16</v>
      </c>
      <c r="F32" s="68"/>
      <c r="G32" s="68" t="str">
        <f>Inputs!G89</f>
        <v>full years</v>
      </c>
      <c r="H32" s="68"/>
      <c r="I32" s="134">
        <f>Inputs!I89</f>
        <v>25</v>
      </c>
      <c r="J32" s="132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</row>
    <row r="33" spans="1:35" ht="15" customHeight="1">
      <c r="A33" s="91"/>
      <c r="B33" s="91"/>
      <c r="C33" s="91"/>
      <c r="D33" s="91"/>
      <c r="E33" s="68"/>
      <c r="F33" s="68"/>
      <c r="G33" s="68"/>
      <c r="H33" s="68"/>
      <c r="I33" s="68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</row>
    <row r="34" spans="1:35" ht="15" customHeight="1">
      <c r="A34" s="83"/>
      <c r="B34" s="83"/>
      <c r="C34" s="83"/>
      <c r="D34" s="83"/>
      <c r="E34" s="68" t="s">
        <v>135</v>
      </c>
      <c r="F34" s="68"/>
      <c r="G34" s="68" t="s">
        <v>128</v>
      </c>
      <c r="H34" s="68"/>
      <c r="I34" s="68"/>
      <c r="J34" s="23"/>
      <c r="K34" s="143">
        <f t="shared" ref="K34:AI34" si="7">J40</f>
        <v>0</v>
      </c>
      <c r="L34" s="143">
        <f t="shared" si="7"/>
        <v>318.51083803205643</v>
      </c>
      <c r="M34" s="143">
        <f t="shared" si="7"/>
        <v>293.02997098949191</v>
      </c>
      <c r="N34" s="143">
        <f t="shared" si="7"/>
        <v>269.58757331033257</v>
      </c>
      <c r="O34" s="143">
        <f t="shared" si="7"/>
        <v>248.02056744550598</v>
      </c>
      <c r="P34" s="143">
        <f t="shared" si="7"/>
        <v>228.17892204986549</v>
      </c>
      <c r="Q34" s="143">
        <f t="shared" si="7"/>
        <v>209.92460828587625</v>
      </c>
      <c r="R34" s="143">
        <f t="shared" si="7"/>
        <v>196.3132498379066</v>
      </c>
      <c r="S34" s="143">
        <f t="shared" si="7"/>
        <v>185.17970811250234</v>
      </c>
      <c r="T34" s="143">
        <f t="shared" si="7"/>
        <v>170.36533146350214</v>
      </c>
      <c r="U34" s="143">
        <f t="shared" si="7"/>
        <v>158.34891430532588</v>
      </c>
      <c r="V34" s="143">
        <f t="shared" si="7"/>
        <v>145.6810011608998</v>
      </c>
      <c r="W34" s="143">
        <f t="shared" si="7"/>
        <v>135.07586381798495</v>
      </c>
      <c r="X34" s="143">
        <f t="shared" si="7"/>
        <v>126.09414256855985</v>
      </c>
      <c r="Y34" s="143">
        <f t="shared" si="7"/>
        <v>122.36042938356145</v>
      </c>
      <c r="Z34" s="143">
        <f t="shared" si="7"/>
        <v>112.57159503287653</v>
      </c>
      <c r="AA34" s="143">
        <f t="shared" si="7"/>
        <v>103.56586743024641</v>
      </c>
      <c r="AB34" s="143">
        <f t="shared" si="7"/>
        <v>137.18733500160326</v>
      </c>
      <c r="AC34" s="143">
        <f t="shared" si="7"/>
        <v>126.212348201475</v>
      </c>
      <c r="AD34" s="143">
        <f t="shared" si="7"/>
        <v>116.11536034535699</v>
      </c>
      <c r="AE34" s="143">
        <f t="shared" si="7"/>
        <v>109.04464970630011</v>
      </c>
      <c r="AF34" s="143">
        <f t="shared" si="7"/>
        <v>105.29450068520609</v>
      </c>
      <c r="AG34" s="143">
        <f t="shared" si="7"/>
        <v>96.870940630389597</v>
      </c>
      <c r="AH34" s="143">
        <f t="shared" si="7"/>
        <v>89.12126537995843</v>
      </c>
      <c r="AI34" s="143">
        <f t="shared" si="7"/>
        <v>81.991564149561754</v>
      </c>
    </row>
    <row r="35" spans="1:35" ht="15" customHeight="1">
      <c r="A35" s="61"/>
      <c r="D35" s="61"/>
      <c r="E35" s="41" t="s">
        <v>6</v>
      </c>
      <c r="G35" s="123" t="s">
        <v>128</v>
      </c>
      <c r="K35" s="118">
        <f>SUMPRODUCT('Pre Op RAV'!K19:AX19,Inputs!K107:AX107)</f>
        <v>346.20743264353956</v>
      </c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</row>
    <row r="36" spans="1:35" ht="15" customHeight="1">
      <c r="A36" s="61"/>
      <c r="D36" s="61"/>
      <c r="E36" s="41" t="s">
        <v>240</v>
      </c>
      <c r="G36" s="123" t="s">
        <v>128</v>
      </c>
      <c r="K36" s="118">
        <f>'Op Rav'!K13 * K$11</f>
        <v>0</v>
      </c>
      <c r="L36" s="118">
        <f>'Op Rav'!L13 * L$11</f>
        <v>0</v>
      </c>
      <c r="M36" s="118">
        <f>'Op Rav'!M13 * M$11</f>
        <v>0</v>
      </c>
      <c r="N36" s="118">
        <f>'Op Rav'!N13 * N$11</f>
        <v>0</v>
      </c>
      <c r="O36" s="118">
        <f>'Op Rav'!O13 * O$11</f>
        <v>0</v>
      </c>
      <c r="P36" s="118">
        <f>'Op Rav'!P13 * P$11</f>
        <v>0</v>
      </c>
      <c r="Q36" s="118">
        <f>'Op Rav'!Q13 * Q$11</f>
        <v>3.4593589292396114</v>
      </c>
      <c r="R36" s="118">
        <f>'Op Rav'!R13 * R$11</f>
        <v>4.9690415887263768</v>
      </c>
      <c r="S36" s="118">
        <f>'Op Rav'!S13 * S$11</f>
        <v>0</v>
      </c>
      <c r="T36" s="118">
        <f>'Op Rav'!T13 * T$11</f>
        <v>1.7530536509825172</v>
      </c>
      <c r="U36" s="118">
        <f>'Op Rav'!U13 * U$11</f>
        <v>0</v>
      </c>
      <c r="V36" s="118">
        <f>'Op Rav'!V13 * V$11</f>
        <v>1.1405899456055884</v>
      </c>
      <c r="W36" s="118">
        <f>'Op Rav'!W13 * W$11</f>
        <v>1.9829868000148871</v>
      </c>
      <c r="X36" s="118">
        <f>'Op Rav'!X13 * X$11</f>
        <v>6.9063241527026058</v>
      </c>
      <c r="Y36" s="118">
        <f>'Op Rav'!Y13 * Y$11</f>
        <v>0</v>
      </c>
      <c r="Z36" s="118">
        <f>'Op Rav'!Z13 * Z$11</f>
        <v>0</v>
      </c>
      <c r="AA36" s="118">
        <f>'Op Rav'!AA13 * AA$11</f>
        <v>45.550801049757133</v>
      </c>
      <c r="AB36" s="118">
        <f>'Op Rav'!AB13 * AB$11</f>
        <v>0</v>
      </c>
      <c r="AC36" s="118">
        <f>'Op Rav'!AC13 * AC$11</f>
        <v>0</v>
      </c>
      <c r="AD36" s="118">
        <f>'Op Rav'!AD13 * AD$11</f>
        <v>2.4114328136648528</v>
      </c>
      <c r="AE36" s="118">
        <f>'Op Rav'!AE13 * AE$11</f>
        <v>5.4058945167499948</v>
      </c>
      <c r="AF36" s="118">
        <f>'Op Rav'!AF13 * AF$11</f>
        <v>0</v>
      </c>
      <c r="AG36" s="118">
        <f>'Op Rav'!AG13 * AG$11</f>
        <v>0</v>
      </c>
      <c r="AH36" s="118">
        <f>'Op Rav'!AH13 * AH$11</f>
        <v>0</v>
      </c>
      <c r="AI36" s="118">
        <f>'Op Rav'!AI13 * AI$11</f>
        <v>0</v>
      </c>
    </row>
    <row r="37" spans="1:35" ht="15" customHeight="1">
      <c r="A37" s="83"/>
      <c r="B37" s="83"/>
      <c r="C37" s="83"/>
      <c r="D37" s="83"/>
      <c r="E37" s="68" t="s">
        <v>136</v>
      </c>
      <c r="F37" s="68"/>
      <c r="G37" s="68" t="s">
        <v>128</v>
      </c>
      <c r="H37" s="68"/>
      <c r="I37" s="68"/>
      <c r="J37" s="23"/>
      <c r="K37" s="135">
        <f t="shared" ref="K37:AI37" si="8">SUM(K34:K36)</f>
        <v>346.20743264353956</v>
      </c>
      <c r="L37" s="135">
        <f t="shared" si="8"/>
        <v>318.51083803205643</v>
      </c>
      <c r="M37" s="135">
        <f t="shared" si="8"/>
        <v>293.02997098949191</v>
      </c>
      <c r="N37" s="135">
        <f t="shared" si="8"/>
        <v>269.58757331033257</v>
      </c>
      <c r="O37" s="135">
        <f t="shared" si="8"/>
        <v>248.02056744550598</v>
      </c>
      <c r="P37" s="135">
        <f t="shared" si="8"/>
        <v>228.17892204986549</v>
      </c>
      <c r="Q37" s="135">
        <f t="shared" si="8"/>
        <v>213.38396721511586</v>
      </c>
      <c r="R37" s="135">
        <f t="shared" si="8"/>
        <v>201.28229142663298</v>
      </c>
      <c r="S37" s="135">
        <f t="shared" si="8"/>
        <v>185.17970811250234</v>
      </c>
      <c r="T37" s="135">
        <f t="shared" si="8"/>
        <v>172.11838511448465</v>
      </c>
      <c r="U37" s="135">
        <f t="shared" si="8"/>
        <v>158.34891430532588</v>
      </c>
      <c r="V37" s="135">
        <f t="shared" si="8"/>
        <v>146.82159110650539</v>
      </c>
      <c r="W37" s="135">
        <f t="shared" si="8"/>
        <v>137.05885061799984</v>
      </c>
      <c r="X37" s="135">
        <f t="shared" si="8"/>
        <v>133.00046672126246</v>
      </c>
      <c r="Y37" s="135">
        <f t="shared" si="8"/>
        <v>122.36042938356145</v>
      </c>
      <c r="Z37" s="135">
        <f t="shared" si="8"/>
        <v>112.57159503287653</v>
      </c>
      <c r="AA37" s="135">
        <f t="shared" si="8"/>
        <v>149.11666848000354</v>
      </c>
      <c r="AB37" s="135">
        <f t="shared" si="8"/>
        <v>137.18733500160326</v>
      </c>
      <c r="AC37" s="135">
        <f t="shared" si="8"/>
        <v>126.212348201475</v>
      </c>
      <c r="AD37" s="135">
        <f t="shared" si="8"/>
        <v>118.52679315902185</v>
      </c>
      <c r="AE37" s="135">
        <f t="shared" si="8"/>
        <v>114.4505442230501</v>
      </c>
      <c r="AF37" s="135">
        <f t="shared" si="8"/>
        <v>105.29450068520609</v>
      </c>
      <c r="AG37" s="135">
        <f t="shared" si="8"/>
        <v>96.870940630389597</v>
      </c>
      <c r="AH37" s="135">
        <f t="shared" si="8"/>
        <v>89.12126537995843</v>
      </c>
      <c r="AI37" s="135">
        <f t="shared" si="8"/>
        <v>81.991564149561754</v>
      </c>
    </row>
    <row r="38" spans="1:35" ht="15" customHeight="1">
      <c r="A38" s="83"/>
      <c r="B38" s="83"/>
      <c r="C38" s="83"/>
      <c r="D38" s="83"/>
      <c r="E38" s="68" t="s">
        <v>137</v>
      </c>
      <c r="F38" s="68"/>
      <c r="G38" s="68" t="s">
        <v>128</v>
      </c>
      <c r="H38" s="68"/>
      <c r="I38" s="68"/>
      <c r="J38" s="23"/>
      <c r="K38" s="23">
        <f t="shared" ref="K38" si="9">-K37 * K31</f>
        <v>-27.696594611483164</v>
      </c>
      <c r="L38" s="23">
        <f>-L37 * L31</f>
        <v>-25.480867042564515</v>
      </c>
      <c r="M38" s="23">
        <f t="shared" ref="M38:AI38" si="10">-M37 * M31</f>
        <v>-23.442397679159352</v>
      </c>
      <c r="N38" s="23">
        <f t="shared" si="10"/>
        <v>-21.567005864826605</v>
      </c>
      <c r="O38" s="23">
        <f t="shared" si="10"/>
        <v>-19.84164539564048</v>
      </c>
      <c r="P38" s="23">
        <f t="shared" si="10"/>
        <v>-18.254313763989241</v>
      </c>
      <c r="Q38" s="23">
        <f t="shared" si="10"/>
        <v>-17.07071737720927</v>
      </c>
      <c r="R38" s="23">
        <f t="shared" si="10"/>
        <v>-16.102583314130637</v>
      </c>
      <c r="S38" s="23">
        <f t="shared" si="10"/>
        <v>-14.814376649000188</v>
      </c>
      <c r="T38" s="23">
        <f t="shared" si="10"/>
        <v>-13.769470809158772</v>
      </c>
      <c r="U38" s="23">
        <f t="shared" si="10"/>
        <v>-12.66791314442607</v>
      </c>
      <c r="V38" s="23">
        <f t="shared" si="10"/>
        <v>-11.745727288520431</v>
      </c>
      <c r="W38" s="23">
        <f t="shared" si="10"/>
        <v>-10.964708049439988</v>
      </c>
      <c r="X38" s="23">
        <f t="shared" si="10"/>
        <v>-10.640037337700997</v>
      </c>
      <c r="Y38" s="23">
        <f t="shared" si="10"/>
        <v>-9.7888343506849171</v>
      </c>
      <c r="Z38" s="23">
        <f t="shared" si="10"/>
        <v>-9.0057276026301221</v>
      </c>
      <c r="AA38" s="23">
        <f t="shared" si="10"/>
        <v>-11.929333478400283</v>
      </c>
      <c r="AB38" s="23">
        <f t="shared" si="10"/>
        <v>-10.974986800128262</v>
      </c>
      <c r="AC38" s="23">
        <f t="shared" si="10"/>
        <v>-10.096987856118</v>
      </c>
      <c r="AD38" s="23">
        <f t="shared" si="10"/>
        <v>-9.4821434527217487</v>
      </c>
      <c r="AE38" s="23">
        <f t="shared" si="10"/>
        <v>-9.1560435378440079</v>
      </c>
      <c r="AF38" s="23">
        <f t="shared" si="10"/>
        <v>-8.4235600548164875</v>
      </c>
      <c r="AG38" s="23">
        <f t="shared" si="10"/>
        <v>-7.7496752504311681</v>
      </c>
      <c r="AH38" s="23">
        <f t="shared" si="10"/>
        <v>-7.1297012303966749</v>
      </c>
      <c r="AI38" s="23">
        <f t="shared" si="10"/>
        <v>-6.5593251319649406</v>
      </c>
    </row>
    <row r="39" spans="1:35" ht="15" customHeight="1">
      <c r="A39" s="83"/>
      <c r="B39" s="83"/>
      <c r="C39" s="83"/>
      <c r="D39" s="83"/>
      <c r="E39" s="68" t="s">
        <v>138</v>
      </c>
      <c r="F39" s="68"/>
      <c r="G39" s="68" t="s">
        <v>128</v>
      </c>
      <c r="H39" s="68"/>
      <c r="I39" s="68"/>
      <c r="J39" s="23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23">
        <f>-SUM(AI37:AI38)</f>
        <v>-75.432239017596814</v>
      </c>
    </row>
    <row r="40" spans="1:35" ht="15" customHeight="1">
      <c r="A40" s="83"/>
      <c r="B40" s="83"/>
      <c r="C40" s="83"/>
      <c r="D40" s="83"/>
      <c r="E40" s="68" t="s">
        <v>139</v>
      </c>
      <c r="F40" s="68"/>
      <c r="G40" s="68" t="s">
        <v>128</v>
      </c>
      <c r="H40" s="68"/>
      <c r="I40" s="68"/>
      <c r="J40" s="23"/>
      <c r="K40" s="135">
        <f t="shared" ref="K40" si="11">SUM(K37:K39)</f>
        <v>318.51083803205643</v>
      </c>
      <c r="L40" s="135">
        <f t="shared" ref="L40:AH40" si="12">SUM(L37:L39)</f>
        <v>293.02997098949191</v>
      </c>
      <c r="M40" s="135">
        <f t="shared" si="12"/>
        <v>269.58757331033257</v>
      </c>
      <c r="N40" s="135">
        <f t="shared" si="12"/>
        <v>248.02056744550598</v>
      </c>
      <c r="O40" s="135">
        <f t="shared" si="12"/>
        <v>228.17892204986549</v>
      </c>
      <c r="P40" s="135">
        <f t="shared" si="12"/>
        <v>209.92460828587625</v>
      </c>
      <c r="Q40" s="135">
        <f t="shared" si="12"/>
        <v>196.3132498379066</v>
      </c>
      <c r="R40" s="135">
        <f t="shared" si="12"/>
        <v>185.17970811250234</v>
      </c>
      <c r="S40" s="135">
        <f t="shared" si="12"/>
        <v>170.36533146350214</v>
      </c>
      <c r="T40" s="135">
        <f t="shared" si="12"/>
        <v>158.34891430532588</v>
      </c>
      <c r="U40" s="135">
        <f t="shared" si="12"/>
        <v>145.6810011608998</v>
      </c>
      <c r="V40" s="135">
        <f t="shared" si="12"/>
        <v>135.07586381798495</v>
      </c>
      <c r="W40" s="135">
        <f t="shared" si="12"/>
        <v>126.09414256855985</v>
      </c>
      <c r="X40" s="135">
        <f t="shared" si="12"/>
        <v>122.36042938356145</v>
      </c>
      <c r="Y40" s="135">
        <f t="shared" si="12"/>
        <v>112.57159503287653</v>
      </c>
      <c r="Z40" s="135">
        <f t="shared" si="12"/>
        <v>103.56586743024641</v>
      </c>
      <c r="AA40" s="135">
        <f t="shared" si="12"/>
        <v>137.18733500160326</v>
      </c>
      <c r="AB40" s="135">
        <f t="shared" si="12"/>
        <v>126.212348201475</v>
      </c>
      <c r="AC40" s="135">
        <f t="shared" si="12"/>
        <v>116.11536034535699</v>
      </c>
      <c r="AD40" s="135">
        <f t="shared" si="12"/>
        <v>109.04464970630011</v>
      </c>
      <c r="AE40" s="135">
        <f t="shared" si="12"/>
        <v>105.29450068520609</v>
      </c>
      <c r="AF40" s="135">
        <f t="shared" si="12"/>
        <v>96.870940630389597</v>
      </c>
      <c r="AG40" s="135">
        <f t="shared" si="12"/>
        <v>89.12126537995843</v>
      </c>
      <c r="AH40" s="135">
        <f t="shared" si="12"/>
        <v>81.991564149561754</v>
      </c>
      <c r="AI40" s="135">
        <f>SUM(AI37:AI39)</f>
        <v>0</v>
      </c>
    </row>
    <row r="41" spans="1:35" ht="15" customHeight="1">
      <c r="A41" s="61"/>
      <c r="D41" s="61"/>
      <c r="E41" s="39"/>
      <c r="F41" s="39"/>
      <c r="G41" s="39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</row>
    <row r="42" spans="1:35" ht="15" customHeight="1">
      <c r="A42" s="61"/>
      <c r="B42" s="61"/>
      <c r="D42" s="61"/>
      <c r="E42" s="68" t="s">
        <v>129</v>
      </c>
      <c r="F42" s="68"/>
      <c r="G42" s="68" t="s">
        <v>128</v>
      </c>
      <c r="I42" s="137"/>
      <c r="K42" s="130">
        <f>-(K38 + K39)</f>
        <v>27.696594611483164</v>
      </c>
      <c r="L42" s="130">
        <f t="shared" ref="L42:AI42" si="13">-(L38 + L39)</f>
        <v>25.480867042564515</v>
      </c>
      <c r="M42" s="130">
        <f t="shared" si="13"/>
        <v>23.442397679159352</v>
      </c>
      <c r="N42" s="130">
        <f t="shared" si="13"/>
        <v>21.567005864826605</v>
      </c>
      <c r="O42" s="130">
        <f t="shared" si="13"/>
        <v>19.84164539564048</v>
      </c>
      <c r="P42" s="130">
        <f t="shared" si="13"/>
        <v>18.254313763989241</v>
      </c>
      <c r="Q42" s="130">
        <f t="shared" si="13"/>
        <v>17.07071737720927</v>
      </c>
      <c r="R42" s="130">
        <f t="shared" si="13"/>
        <v>16.102583314130637</v>
      </c>
      <c r="S42" s="130">
        <f t="shared" si="13"/>
        <v>14.814376649000188</v>
      </c>
      <c r="T42" s="130">
        <f t="shared" si="13"/>
        <v>13.769470809158772</v>
      </c>
      <c r="U42" s="130">
        <f t="shared" si="13"/>
        <v>12.66791314442607</v>
      </c>
      <c r="V42" s="130">
        <f>-(V38 + V39)</f>
        <v>11.745727288520431</v>
      </c>
      <c r="W42" s="130">
        <f t="shared" si="13"/>
        <v>10.964708049439988</v>
      </c>
      <c r="X42" s="130">
        <f t="shared" si="13"/>
        <v>10.640037337700997</v>
      </c>
      <c r="Y42" s="130">
        <f t="shared" si="13"/>
        <v>9.7888343506849171</v>
      </c>
      <c r="Z42" s="130">
        <f t="shared" si="13"/>
        <v>9.0057276026301221</v>
      </c>
      <c r="AA42" s="130">
        <f t="shared" si="13"/>
        <v>11.929333478400283</v>
      </c>
      <c r="AB42" s="130">
        <f t="shared" si="13"/>
        <v>10.974986800128262</v>
      </c>
      <c r="AC42" s="130">
        <f t="shared" si="13"/>
        <v>10.096987856118</v>
      </c>
      <c r="AD42" s="130">
        <f t="shared" si="13"/>
        <v>9.4821434527217487</v>
      </c>
      <c r="AE42" s="130">
        <f t="shared" si="13"/>
        <v>9.1560435378440079</v>
      </c>
      <c r="AF42" s="130">
        <f t="shared" si="13"/>
        <v>8.4235600548164875</v>
      </c>
      <c r="AG42" s="130">
        <f t="shared" si="13"/>
        <v>7.7496752504311681</v>
      </c>
      <c r="AH42" s="130">
        <f t="shared" si="13"/>
        <v>7.1297012303966749</v>
      </c>
      <c r="AI42" s="130">
        <f t="shared" si="13"/>
        <v>81.991564149561754</v>
      </c>
    </row>
    <row r="43" spans="1:35" ht="15" customHeight="1">
      <c r="A43" s="91"/>
      <c r="B43" s="91"/>
      <c r="C43" s="91"/>
      <c r="D43" s="91"/>
      <c r="E43" s="83"/>
      <c r="F43" s="83"/>
      <c r="G43" s="83"/>
      <c r="H43" s="91"/>
      <c r="I43" s="42"/>
      <c r="J43" s="91"/>
      <c r="K43" s="91"/>
      <c r="L43" s="91"/>
      <c r="M43" s="91"/>
      <c r="N43" s="91"/>
      <c r="O43" s="91"/>
      <c r="P43" s="91"/>
      <c r="Q43" s="91"/>
      <c r="R43" s="91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</row>
    <row r="44" spans="1:35" ht="15" customHeight="1">
      <c r="A44"/>
      <c r="B44" s="188" t="s">
        <v>235</v>
      </c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</row>
    <row r="45" spans="1:35" ht="15" customHeight="1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 ht="15" customHeight="1">
      <c r="A46"/>
      <c r="B46" s="68"/>
      <c r="C46" s="13" t="s">
        <v>140</v>
      </c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</row>
    <row r="47" spans="1:35" ht="15" customHeight="1">
      <c r="A47" s="90"/>
      <c r="B47" s="90"/>
      <c r="C47" s="90"/>
      <c r="D47" s="90"/>
      <c r="E47" s="90"/>
      <c r="F47" s="90"/>
      <c r="G47" s="90"/>
      <c r="H47" s="90"/>
      <c r="I47" s="6"/>
      <c r="J47" s="6"/>
      <c r="K47" s="6"/>
      <c r="L47" s="6"/>
      <c r="M47" s="6"/>
      <c r="N47" s="6"/>
      <c r="O47" s="6"/>
      <c r="P47" s="6"/>
      <c r="Q47" s="6"/>
      <c r="R47" s="6"/>
      <c r="S47" s="90"/>
      <c r="T47" s="90"/>
      <c r="U47" s="90"/>
      <c r="V47" s="90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</row>
    <row r="48" spans="1:35" ht="15" customHeight="1">
      <c r="A48" s="90"/>
      <c r="B48" s="90"/>
      <c r="C48" s="90"/>
      <c r="D48" s="90"/>
      <c r="E48" s="20" t="s">
        <v>63</v>
      </c>
      <c r="F48" s="90"/>
      <c r="G48" s="20" t="str">
        <f>Inputs!G69</f>
        <v>real annual %</v>
      </c>
      <c r="H48" s="90"/>
      <c r="I48" s="119">
        <f>Inputs!I71</f>
        <v>-2.0999999999999999E-3</v>
      </c>
      <c r="J48" s="6"/>
      <c r="K48" s="6"/>
      <c r="L48" s="6"/>
      <c r="M48" s="6"/>
      <c r="N48" s="6"/>
      <c r="O48" s="6"/>
      <c r="P48" s="6"/>
      <c r="Q48" s="6"/>
      <c r="R48" s="6"/>
      <c r="S48" s="90"/>
      <c r="T48" s="90"/>
      <c r="U48" s="90"/>
      <c r="V48" s="90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</row>
    <row r="49" spans="1:35" ht="15" customHeight="1">
      <c r="A49" s="90"/>
      <c r="B49" s="90"/>
      <c r="C49" s="90"/>
      <c r="D49" s="90"/>
      <c r="E49" s="20" t="s">
        <v>125</v>
      </c>
      <c r="F49" s="90"/>
      <c r="G49" s="20" t="str">
        <f>Inputs!G116</f>
        <v>%</v>
      </c>
      <c r="H49" s="90"/>
      <c r="I49" s="119">
        <f>Inputs!I116</f>
        <v>3.2399999999999998E-2</v>
      </c>
      <c r="J49" s="6"/>
      <c r="K49" s="6"/>
      <c r="L49" s="6"/>
      <c r="M49" s="6"/>
      <c r="N49" s="6"/>
      <c r="O49" s="6"/>
      <c r="P49" s="6"/>
      <c r="Q49" s="6"/>
      <c r="R49" s="6"/>
      <c r="S49" s="90"/>
      <c r="T49" s="90"/>
      <c r="U49" s="90"/>
      <c r="V49" s="90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</row>
    <row r="50" spans="1:35" ht="15" customHeight="1">
      <c r="A50" s="90"/>
      <c r="B50" s="90"/>
      <c r="C50" s="90"/>
      <c r="D50" s="90"/>
      <c r="E50" s="90" t="s">
        <v>63</v>
      </c>
      <c r="F50" s="90"/>
      <c r="G50" s="90" t="s">
        <v>141</v>
      </c>
      <c r="H50" s="90"/>
      <c r="I50" s="20">
        <f>(1 + I48) * (1 + I$49) - 1</f>
        <v>3.0231960000000058E-2</v>
      </c>
      <c r="J50" s="6"/>
      <c r="K50" s="6"/>
      <c r="L50" s="6"/>
      <c r="M50" s="6"/>
      <c r="N50" s="6"/>
      <c r="O50" s="6"/>
      <c r="P50" s="6"/>
      <c r="Q50" s="6"/>
      <c r="R50" s="6"/>
      <c r="S50" s="90"/>
      <c r="T50" s="90"/>
      <c r="U50" s="90"/>
      <c r="V50" s="95"/>
      <c r="W50" s="7"/>
      <c r="X50" s="7"/>
      <c r="Y50" s="7"/>
      <c r="Z50" s="7"/>
      <c r="AA50" s="7"/>
      <c r="AB50" s="7"/>
      <c r="AC50" s="138"/>
      <c r="AD50" s="7"/>
      <c r="AE50" s="7"/>
      <c r="AF50" s="7"/>
      <c r="AG50" s="7"/>
      <c r="AH50" s="7"/>
      <c r="AI50" s="7"/>
    </row>
    <row r="51" spans="1:35" ht="15" customHeight="1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23"/>
      <c r="T51" s="23"/>
      <c r="U51" s="23"/>
      <c r="V51" s="139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</row>
    <row r="52" spans="1:35" ht="15" customHeight="1">
      <c r="A52"/>
      <c r="B52" s="68"/>
      <c r="C52" s="13" t="s">
        <v>142</v>
      </c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</row>
    <row r="53" spans="1:35" ht="15" customHeight="1">
      <c r="A53" s="84"/>
      <c r="B53" s="84"/>
      <c r="C53" s="84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</row>
    <row r="54" spans="1:35" ht="15" customHeight="1">
      <c r="A54" s="84"/>
      <c r="B54" s="84"/>
      <c r="C54" s="84"/>
      <c r="D54" s="83"/>
      <c r="E54" s="83" t="s">
        <v>16</v>
      </c>
      <c r="F54" s="83"/>
      <c r="G54" s="83" t="str">
        <f>Inputs!G89</f>
        <v>full years</v>
      </c>
      <c r="H54" s="83"/>
      <c r="I54" s="140">
        <f>Inputs!I89</f>
        <v>25</v>
      </c>
      <c r="J54" s="83"/>
      <c r="K54" s="83"/>
      <c r="L54" s="83"/>
      <c r="M54" s="83"/>
      <c r="N54" s="83"/>
      <c r="O54" s="83"/>
      <c r="P54" s="83"/>
      <c r="Q54" s="83"/>
      <c r="R54" s="83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</row>
    <row r="55" spans="1:35" ht="15" customHeight="1">
      <c r="A55" s="84"/>
      <c r="B55" s="84"/>
      <c r="C55" s="84"/>
      <c r="D55" s="83"/>
      <c r="E55" s="36" t="s">
        <v>12</v>
      </c>
      <c r="F55" s="83"/>
      <c r="G55" s="36" t="str">
        <f>Inputs!G74</f>
        <v>%</v>
      </c>
      <c r="H55" s="83"/>
      <c r="I55" s="141">
        <f>Inputs!I74</f>
        <v>0.5</v>
      </c>
      <c r="J55" s="83"/>
      <c r="K55" s="83"/>
      <c r="L55" s="83"/>
      <c r="M55" s="83"/>
      <c r="N55" s="83"/>
      <c r="O55" s="83"/>
      <c r="P55" s="83"/>
      <c r="Q55" s="83"/>
      <c r="R55" s="83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</row>
    <row r="56" spans="1:35" ht="15" customHeight="1">
      <c r="A56" s="84"/>
      <c r="B56" s="84"/>
      <c r="C56" s="84"/>
      <c r="D56" s="83"/>
      <c r="E56" s="83"/>
      <c r="F56" s="83"/>
      <c r="G56" s="83"/>
      <c r="H56" s="83"/>
      <c r="I56" s="142"/>
      <c r="J56" s="83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</row>
    <row r="57" spans="1:35" ht="15" customHeight="1">
      <c r="A57" s="84"/>
      <c r="B57" s="84"/>
      <c r="C57" s="84"/>
      <c r="D57" s="83"/>
      <c r="E57" s="83" t="s">
        <v>143</v>
      </c>
      <c r="F57" s="83"/>
      <c r="G57" s="9" t="s">
        <v>128</v>
      </c>
      <c r="H57" s="83"/>
      <c r="I57" s="83"/>
      <c r="J57" s="83"/>
      <c r="K57" s="23">
        <f>K59 - K58</f>
        <v>6.3286320714573465</v>
      </c>
      <c r="L57" s="23">
        <f t="shared" ref="L57:AI57" si="14">L59 - L58</f>
        <v>6.5199590230963631</v>
      </c>
      <c r="M57" s="23">
        <f t="shared" si="14"/>
        <v>6.7170701634842516</v>
      </c>
      <c r="N57" s="23">
        <f t="shared" si="14"/>
        <v>6.9201403599839013</v>
      </c>
      <c r="O57" s="23">
        <f t="shared" si="14"/>
        <v>7.1293497665413206</v>
      </c>
      <c r="P57" s="23">
        <f t="shared" si="14"/>
        <v>7.3448839835094075</v>
      </c>
      <c r="Q57" s="23">
        <f t="shared" si="14"/>
        <v>7.5669342223035052</v>
      </c>
      <c r="R57" s="23">
        <f t="shared" si="14"/>
        <v>7.7956974750348165</v>
      </c>
      <c r="S57" s="23">
        <f t="shared" si="14"/>
        <v>8.0313766892721699</v>
      </c>
      <c r="T57" s="23">
        <f t="shared" si="14"/>
        <v>8.2741809480871797</v>
      </c>
      <c r="U57" s="23">
        <f t="shared" si="14"/>
        <v>8.5243256555425138</v>
      </c>
      <c r="V57" s="23">
        <f t="shared" si="14"/>
        <v>8.7820327277878505</v>
      </c>
      <c r="W57" s="23">
        <f t="shared" si="14"/>
        <v>9.047530789933024</v>
      </c>
      <c r="X57" s="23">
        <f t="shared" si="14"/>
        <v>9.3210553788730479</v>
      </c>
      <c r="Y57" s="23">
        <f t="shared" si="14"/>
        <v>9.6028491522449233</v>
      </c>
      <c r="Z57" s="23">
        <f t="shared" si="14"/>
        <v>9.8931621037016253</v>
      </c>
      <c r="AA57" s="23">
        <f t="shared" si="14"/>
        <v>10.19225178469425</v>
      </c>
      <c r="AB57" s="23">
        <f t="shared" si="14"/>
        <v>10.500383532959056</v>
      </c>
      <c r="AC57" s="23">
        <f t="shared" si="14"/>
        <v>10.817830707912133</v>
      </c>
      <c r="AD57" s="23">
        <f t="shared" si="14"/>
        <v>11.144874933160505</v>
      </c>
      <c r="AE57" s="23">
        <f t="shared" si="14"/>
        <v>11.481806346344817</v>
      </c>
      <c r="AF57" s="23">
        <f t="shared" si="14"/>
        <v>11.82892385653526</v>
      </c>
      <c r="AG57" s="23">
        <f t="shared" si="14"/>
        <v>12.186535409409082</v>
      </c>
      <c r="AH57" s="23">
        <f t="shared" si="14"/>
        <v>12.55495826044492</v>
      </c>
      <c r="AI57" s="23">
        <f t="shared" si="14"/>
        <v>12.934519256376362</v>
      </c>
    </row>
    <row r="58" spans="1:35" ht="15" customHeight="1">
      <c r="A58" s="84"/>
      <c r="B58" s="84"/>
      <c r="C58" s="84"/>
      <c r="D58" s="83"/>
      <c r="E58" s="83" t="s">
        <v>144</v>
      </c>
      <c r="F58" s="83"/>
      <c r="G58" s="9" t="s">
        <v>128</v>
      </c>
      <c r="H58" s="83"/>
      <c r="I58" s="83"/>
      <c r="J58" s="83"/>
      <c r="K58" s="130">
        <f t="shared" ref="K58:AI58" si="15">$I50 * K61</f>
        <v>6.9969230536970075</v>
      </c>
      <c r="L58" s="130">
        <f t="shared" si="15"/>
        <v>6.8055961020579909</v>
      </c>
      <c r="M58" s="130">
        <f t="shared" si="15"/>
        <v>6.6084849616701025</v>
      </c>
      <c r="N58" s="130">
        <f t="shared" si="15"/>
        <v>6.4054147651704527</v>
      </c>
      <c r="O58" s="130">
        <f t="shared" si="15"/>
        <v>6.1962053586130335</v>
      </c>
      <c r="P58" s="130">
        <f t="shared" si="15"/>
        <v>5.9806711416449465</v>
      </c>
      <c r="Q58" s="130">
        <f t="shared" si="15"/>
        <v>5.7586209028508488</v>
      </c>
      <c r="R58" s="130">
        <f t="shared" si="15"/>
        <v>5.5298576501195376</v>
      </c>
      <c r="S58" s="130">
        <f t="shared" si="15"/>
        <v>5.2941784358821842</v>
      </c>
      <c r="T58" s="130">
        <f t="shared" si="15"/>
        <v>5.0513741770671743</v>
      </c>
      <c r="U58" s="130">
        <f t="shared" si="15"/>
        <v>4.8012294696118403</v>
      </c>
      <c r="V58" s="130">
        <f t="shared" si="15"/>
        <v>4.5435223973665044</v>
      </c>
      <c r="W58" s="130">
        <f t="shared" si="15"/>
        <v>4.278024335221331</v>
      </c>
      <c r="X58" s="130">
        <f t="shared" si="15"/>
        <v>4.0044997462813061</v>
      </c>
      <c r="Y58" s="130">
        <f t="shared" si="15"/>
        <v>3.7227059729094312</v>
      </c>
      <c r="Z58" s="130">
        <f t="shared" si="15"/>
        <v>3.4323930214527283</v>
      </c>
      <c r="AA58" s="130">
        <f t="shared" si="15"/>
        <v>3.1333033404601043</v>
      </c>
      <c r="AB58" s="130">
        <f t="shared" si="15"/>
        <v>2.8251715921952982</v>
      </c>
      <c r="AC58" s="130">
        <f t="shared" si="15"/>
        <v>2.5077244172422208</v>
      </c>
      <c r="AD58" s="130">
        <f t="shared" si="15"/>
        <v>2.1806801919938485</v>
      </c>
      <c r="AE58" s="130">
        <f t="shared" si="15"/>
        <v>1.8437487788095368</v>
      </c>
      <c r="AF58" s="130">
        <f t="shared" si="15"/>
        <v>1.4966312686190935</v>
      </c>
      <c r="AG58" s="130">
        <f t="shared" si="15"/>
        <v>1.1390197157452731</v>
      </c>
      <c r="AH58" s="130">
        <f t="shared" si="15"/>
        <v>0.77059686470943345</v>
      </c>
      <c r="AI58" s="130">
        <f t="shared" si="15"/>
        <v>0.39103586877799229</v>
      </c>
    </row>
    <row r="59" spans="1:35" ht="15" customHeight="1">
      <c r="A59" s="84"/>
      <c r="B59" s="84"/>
      <c r="C59" s="84"/>
      <c r="D59" s="83"/>
      <c r="E59" s="83" t="s">
        <v>126</v>
      </c>
      <c r="F59" s="83"/>
      <c r="G59" s="9" t="s">
        <v>128</v>
      </c>
      <c r="H59" s="83"/>
      <c r="I59" s="83"/>
      <c r="J59" s="83"/>
      <c r="K59" s="23">
        <f>$K$61*$I50/(1-(1+$I50)^(-$I54))</f>
        <v>13.325555125154354</v>
      </c>
      <c r="L59" s="23">
        <f t="shared" ref="L59:AI59" si="16">$K$61*$I50/(1-(1+$I50)^(-$I54))</f>
        <v>13.325555125154354</v>
      </c>
      <c r="M59" s="23">
        <f t="shared" si="16"/>
        <v>13.325555125154354</v>
      </c>
      <c r="N59" s="23">
        <f t="shared" si="16"/>
        <v>13.325555125154354</v>
      </c>
      <c r="O59" s="23">
        <f t="shared" si="16"/>
        <v>13.325555125154354</v>
      </c>
      <c r="P59" s="23">
        <f t="shared" si="16"/>
        <v>13.325555125154354</v>
      </c>
      <c r="Q59" s="23">
        <f t="shared" si="16"/>
        <v>13.325555125154354</v>
      </c>
      <c r="R59" s="23">
        <f t="shared" si="16"/>
        <v>13.325555125154354</v>
      </c>
      <c r="S59" s="23">
        <f t="shared" si="16"/>
        <v>13.325555125154354</v>
      </c>
      <c r="T59" s="23">
        <f t="shared" si="16"/>
        <v>13.325555125154354</v>
      </c>
      <c r="U59" s="23">
        <f t="shared" si="16"/>
        <v>13.325555125154354</v>
      </c>
      <c r="V59" s="23">
        <f t="shared" si="16"/>
        <v>13.325555125154354</v>
      </c>
      <c r="W59" s="23">
        <f t="shared" si="16"/>
        <v>13.325555125154354</v>
      </c>
      <c r="X59" s="23">
        <f t="shared" si="16"/>
        <v>13.325555125154354</v>
      </c>
      <c r="Y59" s="23">
        <f t="shared" si="16"/>
        <v>13.325555125154354</v>
      </c>
      <c r="Z59" s="23">
        <f t="shared" si="16"/>
        <v>13.325555125154354</v>
      </c>
      <c r="AA59" s="23">
        <f t="shared" si="16"/>
        <v>13.325555125154354</v>
      </c>
      <c r="AB59" s="23">
        <f t="shared" si="16"/>
        <v>13.325555125154354</v>
      </c>
      <c r="AC59" s="23">
        <f t="shared" si="16"/>
        <v>13.325555125154354</v>
      </c>
      <c r="AD59" s="23">
        <f t="shared" si="16"/>
        <v>13.325555125154354</v>
      </c>
      <c r="AE59" s="23">
        <f t="shared" si="16"/>
        <v>13.325555125154354</v>
      </c>
      <c r="AF59" s="23">
        <f t="shared" si="16"/>
        <v>13.325555125154354</v>
      </c>
      <c r="AG59" s="23">
        <f t="shared" si="16"/>
        <v>13.325555125154354</v>
      </c>
      <c r="AH59" s="23">
        <f t="shared" si="16"/>
        <v>13.325555125154354</v>
      </c>
      <c r="AI59" s="23">
        <f t="shared" si="16"/>
        <v>13.325555125154354</v>
      </c>
    </row>
    <row r="60" spans="1:35" ht="15" customHeight="1">
      <c r="A60" s="84"/>
      <c r="B60" s="84"/>
      <c r="C60" s="84"/>
      <c r="D60" s="83"/>
      <c r="E60" s="83"/>
      <c r="F60" s="83"/>
      <c r="G60" s="83"/>
      <c r="H60" s="83"/>
      <c r="I60" s="142"/>
      <c r="J60" s="83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</row>
    <row r="61" spans="1:35" ht="15" customHeight="1">
      <c r="A61" s="84"/>
      <c r="B61" s="84"/>
      <c r="C61" s="84"/>
      <c r="D61" s="83"/>
      <c r="E61" s="39" t="s">
        <v>145</v>
      </c>
      <c r="F61" s="39"/>
      <c r="G61" s="9" t="s">
        <v>128</v>
      </c>
      <c r="H61" s="83"/>
      <c r="I61" s="83"/>
      <c r="J61" s="83"/>
      <c r="K61" s="265">
        <f>'Op Rav'!K12*I9*I55</f>
        <v>231.4412645986894</v>
      </c>
      <c r="L61" s="9">
        <f>K63</f>
        <v>225.11263252723205</v>
      </c>
      <c r="M61" s="9">
        <f t="shared" ref="M61:AI61" si="17">L63</f>
        <v>218.59267350413569</v>
      </c>
      <c r="N61" s="9">
        <f t="shared" si="17"/>
        <v>211.87560334065142</v>
      </c>
      <c r="O61" s="9">
        <f t="shared" si="17"/>
        <v>204.95546298066753</v>
      </c>
      <c r="P61" s="9">
        <f t="shared" si="17"/>
        <v>197.82611321412622</v>
      </c>
      <c r="Q61" s="9">
        <f t="shared" si="17"/>
        <v>190.4812292306168</v>
      </c>
      <c r="R61" s="9">
        <f t="shared" si="17"/>
        <v>182.9142950083133</v>
      </c>
      <c r="S61" s="9">
        <f t="shared" si="17"/>
        <v>175.11859753327849</v>
      </c>
      <c r="T61" s="9">
        <f t="shared" si="17"/>
        <v>167.08722084400631</v>
      </c>
      <c r="U61" s="9">
        <f t="shared" si="17"/>
        <v>158.81303989591913</v>
      </c>
      <c r="V61" s="9">
        <f t="shared" si="17"/>
        <v>150.28871424037661</v>
      </c>
      <c r="W61" s="9">
        <f t="shared" si="17"/>
        <v>141.50668151258876</v>
      </c>
      <c r="X61" s="9">
        <f t="shared" si="17"/>
        <v>132.45915072265572</v>
      </c>
      <c r="Y61" s="9">
        <f t="shared" si="17"/>
        <v>123.13809534378268</v>
      </c>
      <c r="Z61" s="9">
        <f t="shared" si="17"/>
        <v>113.53524619153775</v>
      </c>
      <c r="AA61" s="9">
        <f t="shared" si="17"/>
        <v>103.64208408783612</v>
      </c>
      <c r="AB61" s="9">
        <f t="shared" si="17"/>
        <v>93.449832303141875</v>
      </c>
      <c r="AC61" s="9">
        <f t="shared" si="17"/>
        <v>82.949448770182812</v>
      </c>
      <c r="AD61" s="9">
        <f t="shared" si="17"/>
        <v>72.131618062270675</v>
      </c>
      <c r="AE61" s="9">
        <f t="shared" si="17"/>
        <v>60.986743129110167</v>
      </c>
      <c r="AF61" s="9">
        <f t="shared" si="17"/>
        <v>49.504936782765348</v>
      </c>
      <c r="AG61" s="9">
        <f t="shared" si="17"/>
        <v>37.676012926230086</v>
      </c>
      <c r="AH61" s="9">
        <f t="shared" si="17"/>
        <v>25.489477516821005</v>
      </c>
      <c r="AI61" s="9">
        <f t="shared" si="17"/>
        <v>12.934519256376085</v>
      </c>
    </row>
    <row r="62" spans="1:35" ht="15" customHeight="1">
      <c r="A62" s="84"/>
      <c r="B62" s="84"/>
      <c r="C62" s="84"/>
      <c r="D62" s="83"/>
      <c r="E62" s="83" t="s">
        <v>146</v>
      </c>
      <c r="F62" s="83"/>
      <c r="G62" s="9" t="s">
        <v>128</v>
      </c>
      <c r="H62" s="83"/>
      <c r="I62" s="142"/>
      <c r="J62" s="83"/>
      <c r="K62" s="9">
        <f t="shared" ref="K62:AH62" si="18">IF(K3 = "Year "&amp;$I54, -K61, -K57)</f>
        <v>-6.3286320714573465</v>
      </c>
      <c r="L62" s="9">
        <f t="shared" si="18"/>
        <v>-6.5199590230963631</v>
      </c>
      <c r="M62" s="9">
        <f t="shared" si="18"/>
        <v>-6.7170701634842516</v>
      </c>
      <c r="N62" s="9">
        <f t="shared" si="18"/>
        <v>-6.9201403599839013</v>
      </c>
      <c r="O62" s="9">
        <f t="shared" si="18"/>
        <v>-7.1293497665413206</v>
      </c>
      <c r="P62" s="9">
        <f t="shared" si="18"/>
        <v>-7.3448839835094075</v>
      </c>
      <c r="Q62" s="9">
        <f t="shared" si="18"/>
        <v>-7.5669342223035052</v>
      </c>
      <c r="R62" s="9">
        <f t="shared" si="18"/>
        <v>-7.7956974750348165</v>
      </c>
      <c r="S62" s="9">
        <f t="shared" si="18"/>
        <v>-8.0313766892721699</v>
      </c>
      <c r="T62" s="9">
        <f t="shared" si="18"/>
        <v>-8.2741809480871797</v>
      </c>
      <c r="U62" s="9">
        <f t="shared" si="18"/>
        <v>-8.5243256555425138</v>
      </c>
      <c r="V62" s="9">
        <f t="shared" si="18"/>
        <v>-8.7820327277878505</v>
      </c>
      <c r="W62" s="9">
        <f t="shared" si="18"/>
        <v>-9.047530789933024</v>
      </c>
      <c r="X62" s="9">
        <f t="shared" si="18"/>
        <v>-9.3210553788730479</v>
      </c>
      <c r="Y62" s="9">
        <f t="shared" si="18"/>
        <v>-9.6028491522449233</v>
      </c>
      <c r="Z62" s="9">
        <f t="shared" si="18"/>
        <v>-9.8931621037016253</v>
      </c>
      <c r="AA62" s="9">
        <f t="shared" si="18"/>
        <v>-10.19225178469425</v>
      </c>
      <c r="AB62" s="9">
        <f t="shared" si="18"/>
        <v>-10.500383532959056</v>
      </c>
      <c r="AC62" s="9">
        <f t="shared" si="18"/>
        <v>-10.817830707912133</v>
      </c>
      <c r="AD62" s="9">
        <f t="shared" si="18"/>
        <v>-11.144874933160505</v>
      </c>
      <c r="AE62" s="9">
        <f t="shared" si="18"/>
        <v>-11.481806346344817</v>
      </c>
      <c r="AF62" s="9">
        <f t="shared" si="18"/>
        <v>-11.82892385653526</v>
      </c>
      <c r="AG62" s="9">
        <f t="shared" si="18"/>
        <v>-12.186535409409082</v>
      </c>
      <c r="AH62" s="9">
        <f t="shared" si="18"/>
        <v>-12.55495826044492</v>
      </c>
      <c r="AI62" s="9">
        <f>IF(AI3 = "Year "&amp;$I54, -AI61, -AI57)</f>
        <v>-12.934519256376085</v>
      </c>
    </row>
    <row r="63" spans="1:35" ht="15" customHeight="1">
      <c r="A63" s="84"/>
      <c r="B63" s="84"/>
      <c r="C63" s="84"/>
      <c r="D63" s="83"/>
      <c r="E63" s="83" t="s">
        <v>147</v>
      </c>
      <c r="F63" s="83"/>
      <c r="G63" s="9" t="s">
        <v>128</v>
      </c>
      <c r="H63" s="83"/>
      <c r="I63" s="142"/>
      <c r="J63" s="83"/>
      <c r="K63" s="9">
        <f>SUM(K61:K62)</f>
        <v>225.11263252723205</v>
      </c>
      <c r="L63" s="9">
        <f t="shared" ref="L63:W63" si="19">SUM(L61:L62)</f>
        <v>218.59267350413569</v>
      </c>
      <c r="M63" s="9">
        <f t="shared" si="19"/>
        <v>211.87560334065142</v>
      </c>
      <c r="N63" s="9">
        <f t="shared" si="19"/>
        <v>204.95546298066753</v>
      </c>
      <c r="O63" s="9">
        <f t="shared" si="19"/>
        <v>197.82611321412622</v>
      </c>
      <c r="P63" s="9">
        <f t="shared" si="19"/>
        <v>190.4812292306168</v>
      </c>
      <c r="Q63" s="9">
        <f t="shared" si="19"/>
        <v>182.9142950083133</v>
      </c>
      <c r="R63" s="9">
        <f t="shared" si="19"/>
        <v>175.11859753327849</v>
      </c>
      <c r="S63" s="9">
        <f t="shared" si="19"/>
        <v>167.08722084400631</v>
      </c>
      <c r="T63" s="9">
        <f t="shared" si="19"/>
        <v>158.81303989591913</v>
      </c>
      <c r="U63" s="9">
        <f t="shared" si="19"/>
        <v>150.28871424037661</v>
      </c>
      <c r="V63" s="9">
        <f t="shared" si="19"/>
        <v>141.50668151258876</v>
      </c>
      <c r="W63" s="9">
        <f t="shared" si="19"/>
        <v>132.45915072265572</v>
      </c>
      <c r="X63" s="9">
        <f>SUM(X61:X62)</f>
        <v>123.13809534378268</v>
      </c>
      <c r="Y63" s="9">
        <f t="shared" ref="Y63:AI63" si="20">SUM(Y61:Y62)</f>
        <v>113.53524619153775</v>
      </c>
      <c r="Z63" s="9">
        <f t="shared" si="20"/>
        <v>103.64208408783612</v>
      </c>
      <c r="AA63" s="9">
        <f t="shared" si="20"/>
        <v>93.449832303141875</v>
      </c>
      <c r="AB63" s="9">
        <f t="shared" si="20"/>
        <v>82.949448770182812</v>
      </c>
      <c r="AC63" s="9">
        <f t="shared" si="20"/>
        <v>72.131618062270675</v>
      </c>
      <c r="AD63" s="9">
        <f t="shared" si="20"/>
        <v>60.986743129110167</v>
      </c>
      <c r="AE63" s="9">
        <f t="shared" si="20"/>
        <v>49.504936782765348</v>
      </c>
      <c r="AF63" s="9">
        <f t="shared" si="20"/>
        <v>37.676012926230086</v>
      </c>
      <c r="AG63" s="9">
        <f t="shared" si="20"/>
        <v>25.489477516821005</v>
      </c>
      <c r="AH63" s="9">
        <f t="shared" si="20"/>
        <v>12.934519256376085</v>
      </c>
      <c r="AI63" s="9">
        <f t="shared" si="20"/>
        <v>0</v>
      </c>
    </row>
    <row r="64" spans="1:35" ht="15" customHeight="1">
      <c r="A64" s="84"/>
      <c r="B64" s="84"/>
      <c r="C64" s="84"/>
      <c r="D64" s="83"/>
      <c r="E64" s="83"/>
      <c r="F64" s="83"/>
      <c r="G64" s="83"/>
      <c r="H64" s="83"/>
      <c r="I64" s="142"/>
      <c r="J64" s="83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</row>
    <row r="65" spans="2:35" ht="15" customHeight="1">
      <c r="B65" s="190" t="s">
        <v>8</v>
      </c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  <c r="AH65" s="144"/>
      <c r="AI65" s="144"/>
    </row>
    <row r="66" spans="2:35" ht="15" customHeight="1"/>
  </sheetData>
  <sheetProtection algorithmName="SHA-512" hashValue="hKwAS5eggursPagQc/kdlJmlWoYvcJdf82ZFmSKsGEyWsSdDafQfjCUndBdJXHhdlY5gOw6N/dFjwPSr2AXgWw==" saltValue="npDO1OPEY2ihH8rPFi84sw==" spinCount="100000" sheet="1" objects="1" scenarios="1"/>
  <pageMargins left="0.23622047244094491" right="0.23622047244094491" top="0.74803149606299213" bottom="0.74803149606299213" header="0.31496062992125984" footer="0.31496062992125984"/>
  <pageSetup paperSize="8" scale="43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7" tint="0.59999389629810485"/>
    <pageSetUpPr fitToPage="1"/>
  </sheetPr>
  <dimension ref="A1:AY60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defaultColWidth="0" defaultRowHeight="15" customHeight="1" zeroHeight="1"/>
  <cols>
    <col min="1" max="4" width="2.59765625" style="91" customWidth="1"/>
    <col min="5" max="5" width="50.59765625" style="91" customWidth="1"/>
    <col min="6" max="6" width="1.59765625" style="91" customWidth="1"/>
    <col min="7" max="7" width="15.59765625" style="91" customWidth="1"/>
    <col min="8" max="8" width="10.8984375" style="91" customWidth="1"/>
    <col min="9" max="9" width="10.59765625" style="42" customWidth="1"/>
    <col min="10" max="10" width="1.59765625" style="91" customWidth="1"/>
    <col min="11" max="35" width="10.59765625" style="91" customWidth="1"/>
    <col min="36" max="36" width="3.09765625" customWidth="1"/>
    <col min="37" max="50" width="10.59765625" hidden="1" customWidth="1"/>
    <col min="51" max="51" width="2.59765625" hidden="1" customWidth="1"/>
    <col min="52" max="16384" width="9.09765625" hidden="1"/>
  </cols>
  <sheetData>
    <row r="1" spans="1:35" ht="14.5">
      <c r="A1" s="242" t="s">
        <v>248</v>
      </c>
      <c r="B1" s="16"/>
      <c r="C1" s="16"/>
      <c r="D1" s="16"/>
      <c r="E1" s="16"/>
      <c r="F1" s="16"/>
      <c r="G1" s="16"/>
      <c r="H1" s="16" t="s">
        <v>73</v>
      </c>
      <c r="I1" s="2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</row>
    <row r="2" spans="1:35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3" spans="1:35" ht="15" customHeight="1">
      <c r="A3" s="16"/>
      <c r="B3" s="16"/>
      <c r="C3" s="16"/>
      <c r="D3" s="16"/>
      <c r="E3" s="19" t="s">
        <v>10</v>
      </c>
      <c r="F3" s="18"/>
      <c r="G3" s="18"/>
      <c r="H3" s="18"/>
      <c r="I3" s="27"/>
      <c r="J3" s="19"/>
      <c r="K3" s="186" t="s">
        <v>88</v>
      </c>
      <c r="L3" s="186" t="s">
        <v>89</v>
      </c>
      <c r="M3" s="186" t="s">
        <v>90</v>
      </c>
      <c r="N3" s="186" t="s">
        <v>91</v>
      </c>
      <c r="O3" s="186" t="s">
        <v>92</v>
      </c>
      <c r="P3" s="186" t="s">
        <v>93</v>
      </c>
      <c r="Q3" s="186" t="s">
        <v>94</v>
      </c>
      <c r="R3" s="186" t="s">
        <v>95</v>
      </c>
      <c r="S3" s="186" t="s">
        <v>96</v>
      </c>
      <c r="T3" s="186" t="s">
        <v>97</v>
      </c>
      <c r="U3" s="186" t="s">
        <v>98</v>
      </c>
      <c r="V3" s="186" t="s">
        <v>99</v>
      </c>
      <c r="W3" s="186" t="s">
        <v>100</v>
      </c>
      <c r="X3" s="186" t="s">
        <v>101</v>
      </c>
      <c r="Y3" s="186" t="s">
        <v>102</v>
      </c>
      <c r="Z3" s="186" t="s">
        <v>103</v>
      </c>
      <c r="AA3" s="186" t="s">
        <v>104</v>
      </c>
      <c r="AB3" s="186" t="s">
        <v>105</v>
      </c>
      <c r="AC3" s="186" t="s">
        <v>106</v>
      </c>
      <c r="AD3" s="186" t="s">
        <v>107</v>
      </c>
      <c r="AE3" s="186" t="s">
        <v>108</v>
      </c>
      <c r="AF3" s="186" t="s">
        <v>109</v>
      </c>
      <c r="AG3" s="186" t="s">
        <v>110</v>
      </c>
      <c r="AH3" s="186" t="s">
        <v>111</v>
      </c>
      <c r="AI3" s="186" t="s">
        <v>112</v>
      </c>
    </row>
    <row r="4" spans="1:35" ht="15" customHeight="1">
      <c r="A4" s="90"/>
      <c r="B4" s="90"/>
      <c r="C4" s="90"/>
      <c r="D4" s="90"/>
      <c r="E4" s="90"/>
      <c r="F4" s="90"/>
      <c r="G4" s="90"/>
      <c r="H4" s="90"/>
      <c r="I4" s="29"/>
      <c r="J4" s="6"/>
      <c r="K4" s="6"/>
      <c r="L4" s="6"/>
      <c r="M4" s="6"/>
      <c r="N4" s="6"/>
      <c r="O4" s="6"/>
      <c r="P4" s="6"/>
      <c r="Q4" s="6"/>
      <c r="R4" s="6"/>
      <c r="S4" s="90"/>
      <c r="T4" s="90"/>
      <c r="U4" s="90"/>
      <c r="V4" s="90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5" customHeight="1">
      <c r="A5"/>
      <c r="B5" s="188" t="s">
        <v>148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</row>
    <row r="6" spans="1:35" ht="15" customHeight="1">
      <c r="A6"/>
      <c r="B6" s="68"/>
      <c r="C6" s="68"/>
      <c r="D6" s="68"/>
      <c r="E6" s="68"/>
      <c r="F6" s="68"/>
      <c r="G6" s="68"/>
      <c r="H6" s="23"/>
      <c r="I6" s="68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</row>
    <row r="7" spans="1:35" ht="15" customHeight="1">
      <c r="A7"/>
      <c r="B7" s="90"/>
      <c r="C7" s="126" t="s">
        <v>149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</row>
    <row r="8" spans="1:35" ht="15" customHeight="1">
      <c r="A8"/>
      <c r="E8" s="83"/>
      <c r="F8" s="83"/>
      <c r="G8" s="83"/>
    </row>
    <row r="9" spans="1:35" ht="15" customHeight="1">
      <c r="A9"/>
      <c r="E9" s="70" t="s">
        <v>52</v>
      </c>
      <c r="F9" s="83"/>
      <c r="G9" s="83" t="s">
        <v>150</v>
      </c>
      <c r="I9" s="91"/>
      <c r="K9" s="145">
        <f>'Allowances Cap'!K34* 'Tax Deductions'!K$11</f>
        <v>64.374393021004963</v>
      </c>
      <c r="L9" s="145">
        <f>'Allowances Cap'!L34* 'Tax Deductions'!L$11</f>
        <v>66.460123354885511</v>
      </c>
      <c r="M9" s="145">
        <f>'Allowances Cap'!M34* 'Tax Deductions'!M$11</f>
        <v>68.613431351583799</v>
      </c>
      <c r="N9" s="145">
        <f>'Allowances Cap'!N34* 'Tax Deductions'!N$11</f>
        <v>70.836506527375121</v>
      </c>
      <c r="O9" s="145">
        <f>'Allowances Cap'!O34* 'Tax Deductions'!O$11</f>
        <v>73.131609338862063</v>
      </c>
      <c r="P9" s="145">
        <f>'Allowances Cap'!P34* 'Tax Deductions'!P$11</f>
        <v>75.501073481441196</v>
      </c>
      <c r="Q9" s="145">
        <f>'Allowances Cap'!Q34* 'Tax Deductions'!Q$11</f>
        <v>77.947308262239901</v>
      </c>
      <c r="R9" s="145">
        <f>'Allowances Cap'!R34* 'Tax Deductions'!R$11</f>
        <v>80.472801049936479</v>
      </c>
      <c r="S9" s="145">
        <f>'Allowances Cap'!S34* 'Tax Deductions'!S$11</f>
        <v>83.080119803954418</v>
      </c>
      <c r="T9" s="145">
        <f>'Allowances Cap'!T34* 'Tax Deductions'!T$11</f>
        <v>85.771915685602536</v>
      </c>
      <c r="U9" s="145">
        <f>'Allowances Cap'!U34* 'Tax Deductions'!U$11</f>
        <v>88.55092575381606</v>
      </c>
      <c r="V9" s="145">
        <f>'Allowances Cap'!V34* 'Tax Deductions'!V$11</f>
        <v>91.419975748239693</v>
      </c>
      <c r="W9" s="145">
        <f>'Allowances Cap'!W34* 'Tax Deductions'!W$11</f>
        <v>94.381982962482653</v>
      </c>
      <c r="X9" s="145">
        <f>'Allowances Cap'!X34* 'Tax Deductions'!X$11</f>
        <v>97.439959210467094</v>
      </c>
      <c r="Y9" s="145">
        <f>'Allowances Cap'!Y34* 'Tax Deductions'!Y$11</f>
        <v>100.59701388888622</v>
      </c>
      <c r="Z9" s="145">
        <f>'Allowances Cap'!Z34* 'Tax Deductions'!Z$11</f>
        <v>103.85635713888614</v>
      </c>
      <c r="AA9" s="145">
        <f>'Allowances Cap'!AA34* 'Tax Deductions'!AA$11</f>
        <v>107.22130311018604</v>
      </c>
      <c r="AB9" s="145">
        <f>'Allowances Cap'!AB34* 'Tax Deductions'!AB$11</f>
        <v>110.69527333095607</v>
      </c>
      <c r="AC9" s="145">
        <f>'Allowances Cap'!AC34* 'Tax Deductions'!AC$11</f>
        <v>114.28180018687905</v>
      </c>
      <c r="AD9" s="145">
        <f>'Allowances Cap'!AD34* 'Tax Deductions'!AD$11</f>
        <v>117.98453051293394</v>
      </c>
      <c r="AE9" s="145">
        <f>'Allowances Cap'!AE34* 'Tax Deductions'!AE$11</f>
        <v>121.80722930155299</v>
      </c>
      <c r="AF9" s="145">
        <f>'Allowances Cap'!AF34* 'Tax Deductions'!AF$11</f>
        <v>125.7537835309233</v>
      </c>
      <c r="AG9" s="145">
        <f>'Allowances Cap'!AG34* 'Tax Deductions'!AG$11</f>
        <v>129.82820611732521</v>
      </c>
      <c r="AH9" s="145">
        <f>'Allowances Cap'!AH34* 'Tax Deductions'!AH$11</f>
        <v>134.03463999552656</v>
      </c>
      <c r="AI9" s="145">
        <f>'Allowances Cap'!AI34* 'Tax Deductions'!AI$11</f>
        <v>138.37736233138162</v>
      </c>
    </row>
    <row r="10" spans="1:35" ht="15" customHeight="1">
      <c r="A10"/>
      <c r="E10" s="70" t="s">
        <v>151</v>
      </c>
      <c r="F10" s="83"/>
      <c r="G10" s="83" t="s">
        <v>150</v>
      </c>
      <c r="K10" s="117">
        <f>-'Tax Deductions'!K19</f>
        <v>-57.603526597052564</v>
      </c>
      <c r="L10" s="117">
        <f>-'Tax Deductions'!L19</f>
        <v>-46.584158231248665</v>
      </c>
      <c r="M10" s="117">
        <f>-'Tax Deductions'!M19</f>
        <v>-49.741015874893137</v>
      </c>
      <c r="N10" s="117">
        <f>-'Tax Deductions'!N19</f>
        <v>-47.92459099164644</v>
      </c>
      <c r="O10" s="117">
        <f>-'Tax Deductions'!O19</f>
        <v>-47.909157781508156</v>
      </c>
      <c r="P10" s="117">
        <f>-'Tax Deductions'!P19</f>
        <v>-46.747352239466835</v>
      </c>
      <c r="Q10" s="117">
        <f>-'Tax Deductions'!Q19</f>
        <v>-45.810008801974405</v>
      </c>
      <c r="R10" s="117">
        <f>-'Tax Deductions'!R19</f>
        <v>-47.081059033704605</v>
      </c>
      <c r="S10" s="117">
        <f>-'Tax Deductions'!S19</f>
        <v>-46.879598257193521</v>
      </c>
      <c r="T10" s="117">
        <f>-'Tax Deductions'!T19</f>
        <v>-47.890502708412001</v>
      </c>
      <c r="U10" s="117">
        <f>-'Tax Deductions'!U19</f>
        <v>-46.953959809210488</v>
      </c>
      <c r="V10" s="117">
        <f>-'Tax Deductions'!V19</f>
        <v>-46.764570986241061</v>
      </c>
      <c r="W10" s="117">
        <f>-'Tax Deductions'!W19</f>
        <v>-46.74296020797064</v>
      </c>
      <c r="X10" s="117">
        <f>-'Tax Deductions'!X19</f>
        <v>-47.205328575856456</v>
      </c>
      <c r="Y10" s="117">
        <f>-'Tax Deductions'!Y19</f>
        <v>-48.543654952798903</v>
      </c>
      <c r="Z10" s="117">
        <f>-'Tax Deductions'!Z19</f>
        <v>-47.70561133941149</v>
      </c>
      <c r="AA10" s="117">
        <f>-'Tax Deductions'!AA19</f>
        <v>-51.524656381670276</v>
      </c>
      <c r="AB10" s="117">
        <f>-'Tax Deductions'!AB19</f>
        <v>-51.498702732088354</v>
      </c>
      <c r="AC10" s="117">
        <f>-'Tax Deductions'!AC19</f>
        <v>-51.583336279549407</v>
      </c>
      <c r="AD10" s="117">
        <f>-'Tax Deductions'!AD19</f>
        <v>-53.602537805007039</v>
      </c>
      <c r="AE10" s="117">
        <f>-'Tax Deductions'!AE19</f>
        <v>-53.356708042357859</v>
      </c>
      <c r="AF10" s="117">
        <f>-'Tax Deductions'!AF19</f>
        <v>-53.724170802785004</v>
      </c>
      <c r="AG10" s="117">
        <f>-'Tax Deductions'!AG19</f>
        <v>-54.191261538263767</v>
      </c>
      <c r="AH10" s="117">
        <f>-'Tax Deductions'!AH19</f>
        <v>-54.754922594011539</v>
      </c>
      <c r="AI10" s="117">
        <f>-'Tax Deductions'!AI19</f>
        <v>-131.24641984641607</v>
      </c>
    </row>
    <row r="11" spans="1:35" ht="15" customHeight="1">
      <c r="A11"/>
      <c r="E11" s="83" t="s">
        <v>149</v>
      </c>
      <c r="F11" s="83"/>
      <c r="G11" s="83" t="s">
        <v>150</v>
      </c>
      <c r="K11" s="146">
        <f t="shared" ref="K11" si="0">SUM(K9:K10)</f>
        <v>6.7708664239523983</v>
      </c>
      <c r="L11" s="146">
        <f t="shared" ref="L11:AI11" si="1">SUM(L9:L10)</f>
        <v>19.875965123636846</v>
      </c>
      <c r="M11" s="146">
        <f t="shared" si="1"/>
        <v>18.872415476690662</v>
      </c>
      <c r="N11" s="146">
        <f t="shared" si="1"/>
        <v>22.911915535728681</v>
      </c>
      <c r="O11" s="146">
        <f t="shared" si="1"/>
        <v>25.222451557353907</v>
      </c>
      <c r="P11" s="146">
        <f t="shared" si="1"/>
        <v>28.753721241974361</v>
      </c>
      <c r="Q11" s="146">
        <f t="shared" si="1"/>
        <v>32.137299460265496</v>
      </c>
      <c r="R11" s="146">
        <f t="shared" si="1"/>
        <v>33.391742016231873</v>
      </c>
      <c r="S11" s="146">
        <f t="shared" si="1"/>
        <v>36.200521546760896</v>
      </c>
      <c r="T11" s="146">
        <f t="shared" si="1"/>
        <v>37.881412977190536</v>
      </c>
      <c r="U11" s="146">
        <f t="shared" si="1"/>
        <v>41.596965944605572</v>
      </c>
      <c r="V11" s="146">
        <f t="shared" si="1"/>
        <v>44.655404761998632</v>
      </c>
      <c r="W11" s="146">
        <f t="shared" si="1"/>
        <v>47.639022754512013</v>
      </c>
      <c r="X11" s="146">
        <f t="shared" si="1"/>
        <v>50.234630634610639</v>
      </c>
      <c r="Y11" s="146">
        <f t="shared" si="1"/>
        <v>52.053358936087321</v>
      </c>
      <c r="Z11" s="146">
        <f t="shared" si="1"/>
        <v>56.150745799474649</v>
      </c>
      <c r="AA11" s="146">
        <f t="shared" si="1"/>
        <v>55.696646728515766</v>
      </c>
      <c r="AB11" s="146">
        <f t="shared" si="1"/>
        <v>59.196570598867716</v>
      </c>
      <c r="AC11" s="146">
        <f t="shared" si="1"/>
        <v>62.698463907329646</v>
      </c>
      <c r="AD11" s="146">
        <f t="shared" si="1"/>
        <v>64.381992707926912</v>
      </c>
      <c r="AE11" s="146">
        <f t="shared" si="1"/>
        <v>68.450521259195142</v>
      </c>
      <c r="AF11" s="146">
        <f t="shared" si="1"/>
        <v>72.029612728138289</v>
      </c>
      <c r="AG11" s="146">
        <f t="shared" si="1"/>
        <v>75.636944579061435</v>
      </c>
      <c r="AH11" s="146">
        <f t="shared" si="1"/>
        <v>79.279717401515029</v>
      </c>
      <c r="AI11" s="146">
        <f t="shared" si="1"/>
        <v>7.1309424849655443</v>
      </c>
    </row>
    <row r="12" spans="1:35" ht="15" customHeight="1">
      <c r="A12"/>
      <c r="E12" s="83"/>
      <c r="F12" s="83"/>
      <c r="G12" s="83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</row>
    <row r="13" spans="1:35" ht="15" customHeight="1">
      <c r="A13"/>
      <c r="B13" s="68"/>
      <c r="C13" s="126" t="s">
        <v>152</v>
      </c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27"/>
      <c r="AI13" s="127"/>
    </row>
    <row r="14" spans="1:35" ht="15" customHeight="1">
      <c r="A14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 ht="15" customHeight="1">
      <c r="A15"/>
      <c r="B15" s="68"/>
      <c r="C15" s="68"/>
      <c r="D15" s="68"/>
      <c r="E15" s="23" t="s">
        <v>153</v>
      </c>
      <c r="F15" s="68"/>
      <c r="G15" s="83" t="s">
        <v>150</v>
      </c>
      <c r="H15" s="68"/>
      <c r="I15" s="68"/>
      <c r="J15" s="68"/>
      <c r="K15" s="23">
        <f>J18</f>
        <v>0</v>
      </c>
      <c r="L15" s="23">
        <f t="shared" ref="L15:AI15" si="2">K18</f>
        <v>0</v>
      </c>
      <c r="M15" s="23">
        <f t="shared" si="2"/>
        <v>0</v>
      </c>
      <c r="N15" s="23">
        <f t="shared" si="2"/>
        <v>0</v>
      </c>
      <c r="O15" s="23">
        <f t="shared" si="2"/>
        <v>0</v>
      </c>
      <c r="P15" s="23">
        <f t="shared" si="2"/>
        <v>0</v>
      </c>
      <c r="Q15" s="23">
        <f t="shared" si="2"/>
        <v>0</v>
      </c>
      <c r="R15" s="23">
        <f t="shared" si="2"/>
        <v>0</v>
      </c>
      <c r="S15" s="23">
        <f t="shared" si="2"/>
        <v>0</v>
      </c>
      <c r="T15" s="23">
        <f t="shared" si="2"/>
        <v>0</v>
      </c>
      <c r="U15" s="23">
        <f t="shared" si="2"/>
        <v>0</v>
      </c>
      <c r="V15" s="23">
        <f t="shared" si="2"/>
        <v>0</v>
      </c>
      <c r="W15" s="23">
        <f t="shared" si="2"/>
        <v>0</v>
      </c>
      <c r="X15" s="23">
        <f t="shared" si="2"/>
        <v>0</v>
      </c>
      <c r="Y15" s="23">
        <f t="shared" si="2"/>
        <v>0</v>
      </c>
      <c r="Z15" s="23">
        <f t="shared" si="2"/>
        <v>0</v>
      </c>
      <c r="AA15" s="23">
        <f t="shared" si="2"/>
        <v>0</v>
      </c>
      <c r="AB15" s="23">
        <f t="shared" si="2"/>
        <v>0</v>
      </c>
      <c r="AC15" s="23">
        <f t="shared" si="2"/>
        <v>0</v>
      </c>
      <c r="AD15" s="23">
        <f t="shared" si="2"/>
        <v>0</v>
      </c>
      <c r="AE15" s="23">
        <f t="shared" si="2"/>
        <v>0</v>
      </c>
      <c r="AF15" s="23">
        <f t="shared" si="2"/>
        <v>0</v>
      </c>
      <c r="AG15" s="23">
        <f t="shared" si="2"/>
        <v>0</v>
      </c>
      <c r="AH15" s="23">
        <f t="shared" si="2"/>
        <v>0</v>
      </c>
      <c r="AI15" s="23">
        <f t="shared" si="2"/>
        <v>0</v>
      </c>
    </row>
    <row r="16" spans="1:35" ht="15" customHeight="1">
      <c r="A16"/>
      <c r="B16" s="68"/>
      <c r="C16" s="68"/>
      <c r="D16" s="68"/>
      <c r="E16" s="23" t="s">
        <v>154</v>
      </c>
      <c r="F16" s="68"/>
      <c r="G16" s="83" t="s">
        <v>150</v>
      </c>
      <c r="H16" s="68"/>
      <c r="I16" s="68"/>
      <c r="J16" s="68"/>
      <c r="K16" s="23">
        <f t="shared" ref="K16:AI16" si="3">MIN(K11, 0)</f>
        <v>0</v>
      </c>
      <c r="L16" s="23">
        <f t="shared" si="3"/>
        <v>0</v>
      </c>
      <c r="M16" s="23">
        <f t="shared" si="3"/>
        <v>0</v>
      </c>
      <c r="N16" s="23">
        <f t="shared" si="3"/>
        <v>0</v>
      </c>
      <c r="O16" s="23">
        <f t="shared" si="3"/>
        <v>0</v>
      </c>
      <c r="P16" s="23">
        <f t="shared" si="3"/>
        <v>0</v>
      </c>
      <c r="Q16" s="23">
        <f t="shared" si="3"/>
        <v>0</v>
      </c>
      <c r="R16" s="23">
        <f t="shared" si="3"/>
        <v>0</v>
      </c>
      <c r="S16" s="23">
        <f t="shared" si="3"/>
        <v>0</v>
      </c>
      <c r="T16" s="23">
        <f t="shared" si="3"/>
        <v>0</v>
      </c>
      <c r="U16" s="23">
        <f t="shared" si="3"/>
        <v>0</v>
      </c>
      <c r="V16" s="23">
        <f t="shared" si="3"/>
        <v>0</v>
      </c>
      <c r="W16" s="23">
        <f t="shared" si="3"/>
        <v>0</v>
      </c>
      <c r="X16" s="23">
        <f t="shared" si="3"/>
        <v>0</v>
      </c>
      <c r="Y16" s="23">
        <f t="shared" si="3"/>
        <v>0</v>
      </c>
      <c r="Z16" s="23">
        <f t="shared" si="3"/>
        <v>0</v>
      </c>
      <c r="AA16" s="23">
        <f t="shared" si="3"/>
        <v>0</v>
      </c>
      <c r="AB16" s="23">
        <f t="shared" si="3"/>
        <v>0</v>
      </c>
      <c r="AC16" s="23">
        <f t="shared" si="3"/>
        <v>0</v>
      </c>
      <c r="AD16" s="23">
        <f t="shared" si="3"/>
        <v>0</v>
      </c>
      <c r="AE16" s="23">
        <f t="shared" si="3"/>
        <v>0</v>
      </c>
      <c r="AF16" s="23">
        <f t="shared" si="3"/>
        <v>0</v>
      </c>
      <c r="AG16" s="23">
        <f t="shared" si="3"/>
        <v>0</v>
      </c>
      <c r="AH16" s="23">
        <f t="shared" si="3"/>
        <v>0</v>
      </c>
      <c r="AI16" s="23">
        <f t="shared" si="3"/>
        <v>0</v>
      </c>
    </row>
    <row r="17" spans="1:35" ht="15" customHeight="1">
      <c r="A17"/>
      <c r="B17" s="68"/>
      <c r="C17" s="68"/>
      <c r="D17" s="68"/>
      <c r="E17" s="68" t="s">
        <v>242</v>
      </c>
      <c r="F17" s="68"/>
      <c r="G17" s="83" t="s">
        <v>150</v>
      </c>
      <c r="H17" s="68"/>
      <c r="I17" s="68"/>
      <c r="J17" s="68"/>
      <c r="K17" s="23">
        <f t="shared" ref="K17:AI17" si="4">IF(K11 &gt;= 0, MIN(K11, -K15), 0)</f>
        <v>0</v>
      </c>
      <c r="L17" s="23">
        <f t="shared" si="4"/>
        <v>0</v>
      </c>
      <c r="M17" s="23">
        <f t="shared" si="4"/>
        <v>0</v>
      </c>
      <c r="N17" s="23">
        <f t="shared" si="4"/>
        <v>0</v>
      </c>
      <c r="O17" s="23">
        <f t="shared" si="4"/>
        <v>0</v>
      </c>
      <c r="P17" s="23">
        <f t="shared" si="4"/>
        <v>0</v>
      </c>
      <c r="Q17" s="23">
        <f t="shared" si="4"/>
        <v>0</v>
      </c>
      <c r="R17" s="23">
        <f t="shared" si="4"/>
        <v>0</v>
      </c>
      <c r="S17" s="23">
        <f t="shared" si="4"/>
        <v>0</v>
      </c>
      <c r="T17" s="23">
        <f t="shared" si="4"/>
        <v>0</v>
      </c>
      <c r="U17" s="23">
        <f t="shared" si="4"/>
        <v>0</v>
      </c>
      <c r="V17" s="23">
        <f t="shared" si="4"/>
        <v>0</v>
      </c>
      <c r="W17" s="23">
        <f t="shared" si="4"/>
        <v>0</v>
      </c>
      <c r="X17" s="23">
        <f t="shared" si="4"/>
        <v>0</v>
      </c>
      <c r="Y17" s="23">
        <f t="shared" si="4"/>
        <v>0</v>
      </c>
      <c r="Z17" s="23">
        <f t="shared" si="4"/>
        <v>0</v>
      </c>
      <c r="AA17" s="23">
        <f t="shared" si="4"/>
        <v>0</v>
      </c>
      <c r="AB17" s="23">
        <f t="shared" si="4"/>
        <v>0</v>
      </c>
      <c r="AC17" s="23">
        <f t="shared" si="4"/>
        <v>0</v>
      </c>
      <c r="AD17" s="23">
        <f t="shared" si="4"/>
        <v>0</v>
      </c>
      <c r="AE17" s="23">
        <f t="shared" si="4"/>
        <v>0</v>
      </c>
      <c r="AF17" s="23">
        <f t="shared" si="4"/>
        <v>0</v>
      </c>
      <c r="AG17" s="23">
        <f t="shared" si="4"/>
        <v>0</v>
      </c>
      <c r="AH17" s="23">
        <f t="shared" si="4"/>
        <v>0</v>
      </c>
      <c r="AI17" s="23">
        <f t="shared" si="4"/>
        <v>0</v>
      </c>
    </row>
    <row r="18" spans="1:35" ht="15" customHeight="1">
      <c r="A18"/>
      <c r="B18" s="68"/>
      <c r="C18" s="68"/>
      <c r="D18" s="68"/>
      <c r="E18" s="23" t="s">
        <v>241</v>
      </c>
      <c r="F18" s="68"/>
      <c r="G18" s="83" t="s">
        <v>150</v>
      </c>
      <c r="H18" s="68"/>
      <c r="I18" s="68"/>
      <c r="J18" s="68"/>
      <c r="K18" s="135">
        <f t="shared" ref="K18" si="5">SUM(K15:K17)</f>
        <v>0</v>
      </c>
      <c r="L18" s="135">
        <f t="shared" ref="L18:AI18" si="6">SUM(L15:L17)</f>
        <v>0</v>
      </c>
      <c r="M18" s="135">
        <f t="shared" si="6"/>
        <v>0</v>
      </c>
      <c r="N18" s="135">
        <f t="shared" si="6"/>
        <v>0</v>
      </c>
      <c r="O18" s="135">
        <f t="shared" si="6"/>
        <v>0</v>
      </c>
      <c r="P18" s="135">
        <f t="shared" si="6"/>
        <v>0</v>
      </c>
      <c r="Q18" s="135">
        <f t="shared" si="6"/>
        <v>0</v>
      </c>
      <c r="R18" s="135">
        <f t="shared" si="6"/>
        <v>0</v>
      </c>
      <c r="S18" s="135">
        <f t="shared" si="6"/>
        <v>0</v>
      </c>
      <c r="T18" s="135">
        <f t="shared" si="6"/>
        <v>0</v>
      </c>
      <c r="U18" s="135">
        <f t="shared" si="6"/>
        <v>0</v>
      </c>
      <c r="V18" s="135">
        <f t="shared" si="6"/>
        <v>0</v>
      </c>
      <c r="W18" s="135">
        <f t="shared" si="6"/>
        <v>0</v>
      </c>
      <c r="X18" s="135">
        <f t="shared" si="6"/>
        <v>0</v>
      </c>
      <c r="Y18" s="135">
        <f t="shared" si="6"/>
        <v>0</v>
      </c>
      <c r="Z18" s="135">
        <f t="shared" si="6"/>
        <v>0</v>
      </c>
      <c r="AA18" s="135">
        <f t="shared" si="6"/>
        <v>0</v>
      </c>
      <c r="AB18" s="135">
        <f t="shared" si="6"/>
        <v>0</v>
      </c>
      <c r="AC18" s="135">
        <f t="shared" si="6"/>
        <v>0</v>
      </c>
      <c r="AD18" s="135">
        <f t="shared" si="6"/>
        <v>0</v>
      </c>
      <c r="AE18" s="135">
        <f t="shared" si="6"/>
        <v>0</v>
      </c>
      <c r="AF18" s="135">
        <f t="shared" si="6"/>
        <v>0</v>
      </c>
      <c r="AG18" s="135">
        <f t="shared" si="6"/>
        <v>0</v>
      </c>
      <c r="AH18" s="135">
        <f t="shared" si="6"/>
        <v>0</v>
      </c>
      <c r="AI18" s="135">
        <f t="shared" si="6"/>
        <v>0</v>
      </c>
    </row>
    <row r="19" spans="1:35" ht="15" customHeight="1">
      <c r="A19"/>
      <c r="B19" s="68"/>
      <c r="C19" s="68"/>
      <c r="D19" s="68"/>
      <c r="E19" s="68"/>
      <c r="F19" s="68"/>
      <c r="G19" s="68"/>
      <c r="H19" s="68"/>
      <c r="I19" s="68"/>
      <c r="J19" s="68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</row>
    <row r="20" spans="1:35" ht="15" customHeight="1">
      <c r="A20"/>
      <c r="B20" s="68"/>
      <c r="C20" s="126" t="s">
        <v>155</v>
      </c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/>
      <c r="AH20" s="127"/>
      <c r="AI20" s="127"/>
    </row>
    <row r="21" spans="1:35" ht="15" customHeight="1">
      <c r="A21"/>
      <c r="B21" s="23"/>
      <c r="C21" s="23"/>
      <c r="D21" s="23"/>
      <c r="E21" s="23"/>
      <c r="F21" s="23"/>
      <c r="G21" s="23"/>
      <c r="H21" s="23"/>
      <c r="I21" s="23"/>
      <c r="J21" s="147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</row>
    <row r="22" spans="1:35" ht="15" customHeight="1">
      <c r="A22"/>
      <c r="B22" s="23"/>
      <c r="C22" s="23"/>
      <c r="D22" s="23"/>
      <c r="E22" s="68" t="s">
        <v>156</v>
      </c>
      <c r="F22" s="68"/>
      <c r="G22" s="83" t="s">
        <v>150</v>
      </c>
      <c r="H22" s="23"/>
      <c r="I22" s="23"/>
      <c r="J22" s="147"/>
      <c r="K22" s="23">
        <f t="shared" ref="K22:W22" si="7">MAX(K11 - K17,0)</f>
        <v>6.7708664239523983</v>
      </c>
      <c r="L22" s="23">
        <f t="shared" si="7"/>
        <v>19.875965123636846</v>
      </c>
      <c r="M22" s="23">
        <f t="shared" si="7"/>
        <v>18.872415476690662</v>
      </c>
      <c r="N22" s="23">
        <f t="shared" si="7"/>
        <v>22.911915535728681</v>
      </c>
      <c r="O22" s="23">
        <f t="shared" si="7"/>
        <v>25.222451557353907</v>
      </c>
      <c r="P22" s="23">
        <f t="shared" si="7"/>
        <v>28.753721241974361</v>
      </c>
      <c r="Q22" s="23">
        <f t="shared" si="7"/>
        <v>32.137299460265496</v>
      </c>
      <c r="R22" s="23">
        <f t="shared" si="7"/>
        <v>33.391742016231873</v>
      </c>
      <c r="S22" s="23">
        <f t="shared" si="7"/>
        <v>36.200521546760896</v>
      </c>
      <c r="T22" s="23">
        <f t="shared" si="7"/>
        <v>37.881412977190536</v>
      </c>
      <c r="U22" s="23">
        <f t="shared" si="7"/>
        <v>41.596965944605572</v>
      </c>
      <c r="V22" s="23">
        <f t="shared" si="7"/>
        <v>44.655404761998632</v>
      </c>
      <c r="W22" s="23">
        <f t="shared" si="7"/>
        <v>47.639022754512013</v>
      </c>
      <c r="X22" s="23">
        <f>MAX(X11 - X17,0)</f>
        <v>50.234630634610639</v>
      </c>
      <c r="Y22" s="23">
        <f t="shared" ref="Y22:AI22" si="8">MAX(Y11 - Y17,0)</f>
        <v>52.053358936087321</v>
      </c>
      <c r="Z22" s="23">
        <f t="shared" si="8"/>
        <v>56.150745799474649</v>
      </c>
      <c r="AA22" s="23">
        <f t="shared" si="8"/>
        <v>55.696646728515766</v>
      </c>
      <c r="AB22" s="23">
        <f t="shared" si="8"/>
        <v>59.196570598867716</v>
      </c>
      <c r="AC22" s="23">
        <f t="shared" si="8"/>
        <v>62.698463907329646</v>
      </c>
      <c r="AD22" s="23">
        <f t="shared" si="8"/>
        <v>64.381992707926912</v>
      </c>
      <c r="AE22" s="23">
        <f t="shared" si="8"/>
        <v>68.450521259195142</v>
      </c>
      <c r="AF22" s="23">
        <f t="shared" si="8"/>
        <v>72.029612728138289</v>
      </c>
      <c r="AG22" s="23">
        <f t="shared" si="8"/>
        <v>75.636944579061435</v>
      </c>
      <c r="AH22" s="23">
        <f t="shared" si="8"/>
        <v>79.279717401515029</v>
      </c>
      <c r="AI22" s="23">
        <f t="shared" si="8"/>
        <v>7.1309424849655443</v>
      </c>
    </row>
    <row r="23" spans="1:35" ht="15" customHeight="1">
      <c r="A23"/>
      <c r="B23" s="23"/>
      <c r="C23" s="23"/>
      <c r="D23" s="23"/>
      <c r="E23" s="148" t="s">
        <v>157</v>
      </c>
      <c r="F23" s="68"/>
      <c r="G23" s="148" t="str">
        <f>Inputs!G113</f>
        <v>%</v>
      </c>
      <c r="H23" s="23"/>
      <c r="I23" s="23"/>
      <c r="J23" s="147"/>
      <c r="K23" s="132">
        <f>Inputs!K113</f>
        <v>0.19</v>
      </c>
      <c r="L23" s="132">
        <f>Inputs!L113</f>
        <v>0.19</v>
      </c>
      <c r="M23" s="132">
        <f>Inputs!M113</f>
        <v>0.19</v>
      </c>
      <c r="N23" s="132">
        <f>Inputs!N113</f>
        <v>0.19</v>
      </c>
      <c r="O23" s="132">
        <f>Inputs!O113</f>
        <v>0.19</v>
      </c>
      <c r="P23" s="132">
        <f>Inputs!P113</f>
        <v>0.19</v>
      </c>
      <c r="Q23" s="132">
        <f>Inputs!Q113</f>
        <v>0.19</v>
      </c>
      <c r="R23" s="132">
        <f>Inputs!R113</f>
        <v>0.19</v>
      </c>
      <c r="S23" s="132">
        <f>Inputs!S113</f>
        <v>0.19</v>
      </c>
      <c r="T23" s="132">
        <f>Inputs!T113</f>
        <v>0.19</v>
      </c>
      <c r="U23" s="132">
        <f>Inputs!U113</f>
        <v>0.19</v>
      </c>
      <c r="V23" s="132">
        <f>Inputs!V113</f>
        <v>0.19</v>
      </c>
      <c r="W23" s="132">
        <f>Inputs!W113</f>
        <v>0.19</v>
      </c>
      <c r="X23" s="132">
        <f>Inputs!X113</f>
        <v>0.19</v>
      </c>
      <c r="Y23" s="132">
        <f>Inputs!Y113</f>
        <v>0.19</v>
      </c>
      <c r="Z23" s="132">
        <f>Inputs!Z113</f>
        <v>0.19</v>
      </c>
      <c r="AA23" s="132">
        <f>Inputs!AA113</f>
        <v>0.19</v>
      </c>
      <c r="AB23" s="132">
        <f>Inputs!AB113</f>
        <v>0.19</v>
      </c>
      <c r="AC23" s="132">
        <f>Inputs!AC113</f>
        <v>0.19</v>
      </c>
      <c r="AD23" s="132">
        <f>Inputs!AD113</f>
        <v>0.19</v>
      </c>
      <c r="AE23" s="132">
        <f>Inputs!AE113</f>
        <v>0.19</v>
      </c>
      <c r="AF23" s="132">
        <f>Inputs!AF113</f>
        <v>0.19</v>
      </c>
      <c r="AG23" s="132">
        <f>Inputs!AG113</f>
        <v>0.19</v>
      </c>
      <c r="AH23" s="132">
        <f>Inputs!AH113</f>
        <v>0.19</v>
      </c>
      <c r="AI23" s="132">
        <f>Inputs!AI113</f>
        <v>0.19</v>
      </c>
    </row>
    <row r="24" spans="1:35" ht="15" customHeight="1">
      <c r="A24"/>
      <c r="B24" s="68"/>
      <c r="C24" s="68"/>
      <c r="D24" s="68"/>
      <c r="E24" s="68" t="s">
        <v>158</v>
      </c>
      <c r="F24" s="68"/>
      <c r="G24" s="83" t="s">
        <v>150</v>
      </c>
      <c r="H24" s="68"/>
      <c r="I24" s="68"/>
      <c r="J24" s="68"/>
      <c r="K24" s="143">
        <f t="shared" ref="K24:W24" si="9">K22 * K23</f>
        <v>1.2864646205509558</v>
      </c>
      <c r="L24" s="143">
        <f t="shared" si="9"/>
        <v>3.7764333734910007</v>
      </c>
      <c r="M24" s="143">
        <f t="shared" si="9"/>
        <v>3.585758940571226</v>
      </c>
      <c r="N24" s="143">
        <f t="shared" si="9"/>
        <v>4.3532639517884499</v>
      </c>
      <c r="O24" s="143">
        <f t="shared" si="9"/>
        <v>4.7922657958972419</v>
      </c>
      <c r="P24" s="143">
        <f t="shared" si="9"/>
        <v>5.4632070359751284</v>
      </c>
      <c r="Q24" s="143">
        <f t="shared" si="9"/>
        <v>6.1060868974504441</v>
      </c>
      <c r="R24" s="143">
        <f t="shared" si="9"/>
        <v>6.344430983084056</v>
      </c>
      <c r="S24" s="143">
        <f t="shared" si="9"/>
        <v>6.8780990938845701</v>
      </c>
      <c r="T24" s="143">
        <f t="shared" si="9"/>
        <v>7.1974684656662022</v>
      </c>
      <c r="U24" s="143">
        <f t="shared" si="9"/>
        <v>7.9034235294750586</v>
      </c>
      <c r="V24" s="143">
        <f t="shared" si="9"/>
        <v>8.4845269047797398</v>
      </c>
      <c r="W24" s="143">
        <f t="shared" si="9"/>
        <v>9.0514143233572817</v>
      </c>
      <c r="X24" s="143">
        <f>X22 * X23</f>
        <v>9.5445798205760219</v>
      </c>
      <c r="Y24" s="143">
        <f t="shared" ref="Y24:AI24" si="10">Y22 * Y23</f>
        <v>9.8901381978565919</v>
      </c>
      <c r="Z24" s="143">
        <f t="shared" si="10"/>
        <v>10.668641701900183</v>
      </c>
      <c r="AA24" s="143">
        <f t="shared" si="10"/>
        <v>10.582362878417996</v>
      </c>
      <c r="AB24" s="143">
        <f t="shared" si="10"/>
        <v>11.247348413784866</v>
      </c>
      <c r="AC24" s="143">
        <f t="shared" si="10"/>
        <v>11.912708142392633</v>
      </c>
      <c r="AD24" s="143">
        <f t="shared" si="10"/>
        <v>12.232578614506114</v>
      </c>
      <c r="AE24" s="143">
        <f t="shared" si="10"/>
        <v>13.005599039247077</v>
      </c>
      <c r="AF24" s="143">
        <f t="shared" si="10"/>
        <v>13.685626418346276</v>
      </c>
      <c r="AG24" s="143">
        <f t="shared" si="10"/>
        <v>14.371019470021674</v>
      </c>
      <c r="AH24" s="143">
        <f t="shared" si="10"/>
        <v>15.063146306287855</v>
      </c>
      <c r="AI24" s="143">
        <f t="shared" si="10"/>
        <v>1.3548790721434534</v>
      </c>
    </row>
    <row r="25" spans="1:35" ht="15" customHeight="1">
      <c r="A25"/>
      <c r="B25" s="68"/>
      <c r="C25" s="68"/>
      <c r="D25" s="68"/>
      <c r="E25" s="68"/>
      <c r="F25" s="68"/>
      <c r="G25" s="68"/>
      <c r="H25" s="68"/>
      <c r="I25" s="68"/>
      <c r="J25" s="68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35" ht="15" customHeight="1">
      <c r="A26"/>
      <c r="B26" s="68"/>
      <c r="C26" s="68"/>
      <c r="D26" s="68"/>
      <c r="E26" s="23" t="s">
        <v>224</v>
      </c>
      <c r="F26" s="68"/>
      <c r="G26" s="23" t="s">
        <v>29</v>
      </c>
      <c r="H26" s="68"/>
      <c r="I26" s="68"/>
      <c r="J26" s="68"/>
      <c r="K26" s="149">
        <f t="shared" ref="K26:W26" si="11">1 / (1 - K23)</f>
        <v>1.2345679012345678</v>
      </c>
      <c r="L26" s="149">
        <f t="shared" si="11"/>
        <v>1.2345679012345678</v>
      </c>
      <c r="M26" s="149">
        <f t="shared" si="11"/>
        <v>1.2345679012345678</v>
      </c>
      <c r="N26" s="149">
        <f t="shared" si="11"/>
        <v>1.2345679012345678</v>
      </c>
      <c r="O26" s="149">
        <f t="shared" si="11"/>
        <v>1.2345679012345678</v>
      </c>
      <c r="P26" s="149">
        <f t="shared" si="11"/>
        <v>1.2345679012345678</v>
      </c>
      <c r="Q26" s="149">
        <f t="shared" si="11"/>
        <v>1.2345679012345678</v>
      </c>
      <c r="R26" s="149">
        <f t="shared" si="11"/>
        <v>1.2345679012345678</v>
      </c>
      <c r="S26" s="149">
        <f t="shared" si="11"/>
        <v>1.2345679012345678</v>
      </c>
      <c r="T26" s="149">
        <f t="shared" si="11"/>
        <v>1.2345679012345678</v>
      </c>
      <c r="U26" s="149">
        <f t="shared" si="11"/>
        <v>1.2345679012345678</v>
      </c>
      <c r="V26" s="149">
        <f t="shared" si="11"/>
        <v>1.2345679012345678</v>
      </c>
      <c r="W26" s="149">
        <f t="shared" si="11"/>
        <v>1.2345679012345678</v>
      </c>
      <c r="X26" s="149">
        <f>1 / (1 - X23)</f>
        <v>1.2345679012345678</v>
      </c>
      <c r="Y26" s="149">
        <f t="shared" ref="Y26:AI26" si="12">1 / (1 - Y23)</f>
        <v>1.2345679012345678</v>
      </c>
      <c r="Z26" s="149">
        <f t="shared" si="12"/>
        <v>1.2345679012345678</v>
      </c>
      <c r="AA26" s="149">
        <f t="shared" si="12"/>
        <v>1.2345679012345678</v>
      </c>
      <c r="AB26" s="149">
        <f t="shared" si="12"/>
        <v>1.2345679012345678</v>
      </c>
      <c r="AC26" s="149">
        <f t="shared" si="12"/>
        <v>1.2345679012345678</v>
      </c>
      <c r="AD26" s="149">
        <f t="shared" si="12"/>
        <v>1.2345679012345678</v>
      </c>
      <c r="AE26" s="149">
        <f t="shared" si="12"/>
        <v>1.2345679012345678</v>
      </c>
      <c r="AF26" s="149">
        <f t="shared" si="12"/>
        <v>1.2345679012345678</v>
      </c>
      <c r="AG26" s="149">
        <f t="shared" si="12"/>
        <v>1.2345679012345678</v>
      </c>
      <c r="AH26" s="149">
        <f t="shared" si="12"/>
        <v>1.2345679012345678</v>
      </c>
      <c r="AI26" s="149">
        <f t="shared" si="12"/>
        <v>1.2345679012345678</v>
      </c>
    </row>
    <row r="27" spans="1:35" ht="15" customHeight="1">
      <c r="A27"/>
      <c r="B27" s="68"/>
      <c r="C27" s="68"/>
      <c r="D27" s="68"/>
      <c r="E27" s="68"/>
      <c r="F27" s="68"/>
      <c r="G27" s="68"/>
      <c r="H27" s="68"/>
      <c r="I27" s="68"/>
      <c r="J27" s="68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</row>
    <row r="28" spans="1:35" ht="15" customHeight="1">
      <c r="A28"/>
      <c r="B28" s="68"/>
      <c r="C28" s="68"/>
      <c r="D28" s="68"/>
      <c r="E28" s="90" t="s">
        <v>148</v>
      </c>
      <c r="F28" s="68"/>
      <c r="G28" s="83" t="s">
        <v>150</v>
      </c>
      <c r="H28" s="68"/>
      <c r="I28" s="68"/>
      <c r="J28" s="68"/>
      <c r="K28" s="130">
        <f t="shared" ref="K28:W28" si="13">K24 * K26</f>
        <v>1.5882279266061181</v>
      </c>
      <c r="L28" s="130">
        <f t="shared" si="13"/>
        <v>4.6622634240629637</v>
      </c>
      <c r="M28" s="130">
        <f t="shared" si="13"/>
        <v>4.4268628895941058</v>
      </c>
      <c r="N28" s="130">
        <f t="shared" si="13"/>
        <v>5.3743999404795675</v>
      </c>
      <c r="O28" s="130">
        <f t="shared" si="13"/>
        <v>5.9163775257990636</v>
      </c>
      <c r="P28" s="130">
        <f t="shared" si="13"/>
        <v>6.7447000444137384</v>
      </c>
      <c r="Q28" s="130">
        <f t="shared" si="13"/>
        <v>7.538378885741289</v>
      </c>
      <c r="R28" s="130">
        <f t="shared" si="13"/>
        <v>7.8326308433136491</v>
      </c>
      <c r="S28" s="130">
        <f t="shared" si="13"/>
        <v>8.4914803628204556</v>
      </c>
      <c r="T28" s="130">
        <f t="shared" si="13"/>
        <v>8.8857635378595088</v>
      </c>
      <c r="U28" s="130">
        <f t="shared" si="13"/>
        <v>9.7573129993519228</v>
      </c>
      <c r="V28" s="130">
        <f t="shared" si="13"/>
        <v>10.474724573802147</v>
      </c>
      <c r="W28" s="130">
        <f t="shared" si="13"/>
        <v>11.174585584391705</v>
      </c>
      <c r="X28" s="130">
        <f>X24 * X26</f>
        <v>11.783431877254348</v>
      </c>
      <c r="Y28" s="130">
        <f>Y24 * Y26</f>
        <v>12.210047157847644</v>
      </c>
      <c r="Z28" s="130">
        <f t="shared" ref="Z28:AI28" si="14">Z24 * Z26</f>
        <v>13.171162594938497</v>
      </c>
      <c r="AA28" s="130">
        <f t="shared" si="14"/>
        <v>13.064645528911106</v>
      </c>
      <c r="AB28" s="130">
        <f t="shared" si="14"/>
        <v>13.885615325660329</v>
      </c>
      <c r="AC28" s="130">
        <f t="shared" si="14"/>
        <v>14.707047089373621</v>
      </c>
      <c r="AD28" s="130">
        <f t="shared" si="14"/>
        <v>15.10194890679767</v>
      </c>
      <c r="AE28" s="130">
        <f t="shared" si="14"/>
        <v>16.056295110181576</v>
      </c>
      <c r="AF28" s="130">
        <f t="shared" si="14"/>
        <v>16.895835084378117</v>
      </c>
      <c r="AG28" s="130">
        <f t="shared" si="14"/>
        <v>17.741999345705768</v>
      </c>
      <c r="AH28" s="130">
        <f t="shared" si="14"/>
        <v>18.596476921343029</v>
      </c>
      <c r="AI28" s="130">
        <f t="shared" si="14"/>
        <v>1.6726902125227818</v>
      </c>
    </row>
    <row r="29" spans="1:35" ht="15" customHeight="1">
      <c r="A29"/>
      <c r="B29" s="90"/>
      <c r="C29" s="90"/>
      <c r="D29" s="90"/>
      <c r="E29" s="90"/>
      <c r="F29" s="90"/>
      <c r="G29" s="90"/>
      <c r="H29" s="90"/>
      <c r="I29" s="29"/>
      <c r="J29" s="6"/>
      <c r="K29" s="6"/>
      <c r="L29" s="6"/>
      <c r="M29" s="6"/>
      <c r="N29" s="6"/>
      <c r="O29" s="6"/>
      <c r="P29" s="6"/>
      <c r="Q29" s="6"/>
      <c r="R29" s="6"/>
      <c r="S29" s="90"/>
      <c r="T29" s="90"/>
      <c r="U29" s="90"/>
      <c r="V29" s="90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</row>
    <row r="30" spans="1:35" ht="15" customHeight="1">
      <c r="A30"/>
      <c r="B30" s="82" t="s">
        <v>159</v>
      </c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</row>
    <row r="31" spans="1:35" ht="15" customHeight="1">
      <c r="A31"/>
      <c r="B31" s="90"/>
      <c r="C31" s="90"/>
      <c r="D31" s="90"/>
      <c r="E31" s="39"/>
      <c r="F31" s="39"/>
      <c r="G31" s="39"/>
      <c r="H31" s="39"/>
      <c r="I31" s="39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</row>
    <row r="32" spans="1:35" ht="15" customHeight="1">
      <c r="A32"/>
      <c r="B32" s="90"/>
      <c r="C32" s="90"/>
      <c r="D32" s="90"/>
      <c r="E32" s="35" t="s">
        <v>148</v>
      </c>
      <c r="F32" s="39"/>
      <c r="G32" s="70" t="str">
        <f>Inputs!$I$11</f>
        <v>£m 16/17 prices</v>
      </c>
      <c r="H32" s="39"/>
      <c r="I32" s="39"/>
      <c r="J32" s="35"/>
      <c r="K32" s="90">
        <f>'Tax Cap'!K28 / 'Tax Deductions'!K11</f>
        <v>1.3648058279288111</v>
      </c>
      <c r="L32" s="90">
        <f>'Tax Cap'!L28 / 'Tax Deductions'!L11</f>
        <v>3.8806712430403922</v>
      </c>
      <c r="M32" s="90">
        <f>'Tax Cap'!M28 / 'Tax Deductions'!M11</f>
        <v>3.5690950951896139</v>
      </c>
      <c r="N32" s="90">
        <f>'Tax Cap'!N28 / 'Tax Deductions'!N11</f>
        <v>4.1970489484090656</v>
      </c>
      <c r="O32" s="90">
        <f>'Tax Cap'!O28 / 'Tax Deductions'!O11</f>
        <v>4.4752977530771849</v>
      </c>
      <c r="P32" s="90">
        <f>'Tax Cap'!P28 / 'Tax Deductions'!P11</f>
        <v>4.9417492036683264</v>
      </c>
      <c r="Q32" s="90">
        <f>'Tax Cap'!Q28 / 'Tax Deductions'!Q11</f>
        <v>5.3499291007379135</v>
      </c>
      <c r="R32" s="90">
        <f>'Tax Cap'!R28 / 'Tax Deductions'!R11</f>
        <v>5.3843059237368047</v>
      </c>
      <c r="S32" s="90">
        <f>'Tax Cap'!S28 / 'Tax Deductions'!S11</f>
        <v>5.6540218539056477</v>
      </c>
      <c r="T32" s="90">
        <f>'Tax Cap'!T28 / 'Tax Deductions'!T11</f>
        <v>5.7308735925713972</v>
      </c>
      <c r="U32" s="90">
        <f>'Tax Cap'!U28 / 'Tax Deductions'!U11</f>
        <v>6.0954857195656578</v>
      </c>
      <c r="V32" s="90">
        <f>'Tax Cap'!V28 / 'Tax Deductions'!V11</f>
        <v>6.3382986397835115</v>
      </c>
      <c r="W32" s="90">
        <f>'Tax Cap'!W28 / 'Tax Deductions'!W11</f>
        <v>6.5495809734148489</v>
      </c>
      <c r="X32" s="90">
        <f>'Tax Cap'!X28 / 'Tax Deductions'!X11</f>
        <v>6.689688400865105</v>
      </c>
      <c r="Y32" s="90">
        <f>'Tax Cap'!Y28 / 'Tax Deductions'!Y11</f>
        <v>6.7143417009354778</v>
      </c>
      <c r="Z32" s="90">
        <f>'Tax Cap'!Z28 / 'Tax Deductions'!Z11</f>
        <v>7.0155578981551079</v>
      </c>
      <c r="AA32" s="90">
        <f>'Tax Cap'!AA28 / 'Tax Deductions'!AA11</f>
        <v>6.7404320836791749</v>
      </c>
      <c r="AB32" s="90">
        <f>'Tax Cap'!AB28 / 'Tax Deductions'!AB11</f>
        <v>6.9391654127355986</v>
      </c>
      <c r="AC32" s="90">
        <f>'Tax Cap'!AC28 / 'Tax Deductions'!AC11</f>
        <v>7.1190099088471372</v>
      </c>
      <c r="AD32" s="90">
        <f>'Tax Cap'!AD28 / 'Tax Deductions'!AD11</f>
        <v>7.0807476227665171</v>
      </c>
      <c r="AE32" s="90">
        <f>'Tax Cap'!AE28 / 'Tax Deductions'!AE11</f>
        <v>7.2919463464005867</v>
      </c>
      <c r="AF32" s="90">
        <f>'Tax Cap'!AF28 / 'Tax Deductions'!AF11</f>
        <v>7.4324122199378202</v>
      </c>
      <c r="AG32" s="90">
        <f>'Tax Cap'!AG28 / 'Tax Deductions'!AG11</f>
        <v>7.5597022389385868</v>
      </c>
      <c r="AH32" s="90">
        <f>'Tax Cap'!AH28 / 'Tax Deductions'!AH11</f>
        <v>7.6751135710659755</v>
      </c>
      <c r="AI32" s="90">
        <f>'Tax Cap'!AI28 / 'Tax Deductions'!AI11</f>
        <v>0.66868511358203298</v>
      </c>
    </row>
    <row r="33" spans="1:35" ht="15" customHeight="1">
      <c r="A33"/>
      <c r="B33" s="90"/>
      <c r="C33" s="90"/>
      <c r="D33" s="90"/>
      <c r="E33" s="90" t="s">
        <v>67</v>
      </c>
      <c r="F33" s="39"/>
      <c r="G33" s="70" t="str">
        <f>'Allowances Cap'!G24</f>
        <v>scalar</v>
      </c>
      <c r="H33" s="39"/>
      <c r="I33" s="39"/>
      <c r="J33" s="35"/>
      <c r="K33" s="154">
        <f>'Allowances Cap'!K24</f>
        <v>0.92506938020351526</v>
      </c>
      <c r="L33" s="154">
        <f>'Allowances Cap'!L24</f>
        <v>0.85575335819011589</v>
      </c>
      <c r="M33" s="154">
        <f>'Allowances Cap'!M24</f>
        <v>0.79163122866800739</v>
      </c>
      <c r="N33" s="154">
        <f>'Allowances Cap'!N24</f>
        <v>0.73231381005366081</v>
      </c>
      <c r="O33" s="154">
        <f>'Allowances Cap'!O24</f>
        <v>0.67744108238081491</v>
      </c>
      <c r="P33" s="154">
        <f>'Allowances Cap'!P24</f>
        <v>0.62668000220241893</v>
      </c>
      <c r="Q33" s="154">
        <f>'Allowances Cap'!Q24</f>
        <v>0.57972248122332926</v>
      </c>
      <c r="R33" s="154">
        <f>'Allowances Cap'!R24</f>
        <v>0.53628351639530925</v>
      </c>
      <c r="S33" s="154">
        <f>'Allowances Cap'!S24</f>
        <v>0.49609946012517048</v>
      </c>
      <c r="T33" s="154">
        <f>'Allowances Cap'!T24</f>
        <v>0.45892642009728996</v>
      </c>
      <c r="U33" s="154">
        <f>'Allowances Cap'!U24</f>
        <v>0.42453877899841808</v>
      </c>
      <c r="V33" s="154">
        <f>'Allowances Cap'!V24</f>
        <v>0.39272782516042376</v>
      </c>
      <c r="W33" s="154">
        <f>'Allowances Cap'!W24</f>
        <v>0.36330048580982777</v>
      </c>
      <c r="X33" s="154">
        <f>'Allowances Cap'!X24</f>
        <v>0.33607815523573337</v>
      </c>
      <c r="Y33" s="154">
        <f>'Allowances Cap'!Y24</f>
        <v>0.31089561076386063</v>
      </c>
      <c r="Z33" s="154">
        <f>'Allowances Cap'!Z24</f>
        <v>0.28760000995731788</v>
      </c>
      <c r="AA33" s="154">
        <f>'Allowances Cap'!AA24</f>
        <v>0.26604996295774092</v>
      </c>
      <c r="AB33" s="154">
        <f>'Allowances Cap'!AB24</f>
        <v>0.24611467433648557</v>
      </c>
      <c r="AC33" s="154">
        <f>'Allowances Cap'!AC24</f>
        <v>0.22767314924744272</v>
      </c>
      <c r="AD33" s="154">
        <f>'Allowances Cap'!AD24</f>
        <v>0.21061345906331425</v>
      </c>
      <c r="AE33" s="154">
        <f>'Allowances Cap'!AE24</f>
        <v>0.19483206203821857</v>
      </c>
      <c r="AF33" s="154">
        <f>'Allowances Cap'!AF24</f>
        <v>0.18023317487346768</v>
      </c>
      <c r="AG33" s="154">
        <f>'Allowances Cap'!AG24</f>
        <v>0.16672819137231054</v>
      </c>
      <c r="AH33" s="154">
        <f>'Allowances Cap'!AH24</f>
        <v>0.15423514465523638</v>
      </c>
      <c r="AI33" s="154">
        <f>'Allowances Cap'!AI24</f>
        <v>0.14267820967181905</v>
      </c>
    </row>
    <row r="34" spans="1:35" ht="15" customHeight="1">
      <c r="A34"/>
      <c r="B34" s="117"/>
      <c r="C34" s="117"/>
      <c r="D34" s="117"/>
      <c r="E34" s="117"/>
      <c r="F34" s="117"/>
      <c r="G34" s="145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</row>
    <row r="35" spans="1:35" ht="15" customHeight="1">
      <c r="A35"/>
      <c r="B35" s="90"/>
      <c r="C35" s="90"/>
      <c r="D35" s="90"/>
      <c r="E35" s="39" t="s">
        <v>160</v>
      </c>
      <c r="F35" s="39"/>
      <c r="G35" s="70" t="str">
        <f>Inputs!$I$11</f>
        <v>£m 16/17 prices</v>
      </c>
      <c r="H35" s="39"/>
      <c r="I35" s="39"/>
      <c r="J35" s="35"/>
      <c r="K35" s="79">
        <f>K32 * K33</f>
        <v>1.2625400813402508</v>
      </c>
      <c r="L35" s="79">
        <f t="shared" ref="L35:W35" si="15">L32 * L33</f>
        <v>3.3208974482636271</v>
      </c>
      <c r="M35" s="79">
        <f t="shared" si="15"/>
        <v>2.8254071354379127</v>
      </c>
      <c r="N35" s="79">
        <f t="shared" si="15"/>
        <v>3.0735569063911532</v>
      </c>
      <c r="O35" s="79">
        <f t="shared" si="15"/>
        <v>3.0317505538210372</v>
      </c>
      <c r="P35" s="79">
        <f t="shared" si="15"/>
        <v>3.096895401838669</v>
      </c>
      <c r="Q35" s="79">
        <f t="shared" si="15"/>
        <v>3.1014741726486776</v>
      </c>
      <c r="R35" s="79">
        <f t="shared" si="15"/>
        <v>2.8875145141296672</v>
      </c>
      <c r="S35" s="79">
        <f t="shared" si="15"/>
        <v>2.8049571892585075</v>
      </c>
      <c r="T35" s="79">
        <f t="shared" si="15"/>
        <v>2.6300493018688864</v>
      </c>
      <c r="U35" s="79">
        <f t="shared" si="15"/>
        <v>2.5877700647866981</v>
      </c>
      <c r="V35" s="79">
        <f t="shared" si="15"/>
        <v>2.4892262400194505</v>
      </c>
      <c r="W35" s="79">
        <f t="shared" si="15"/>
        <v>2.3794659494924191</v>
      </c>
      <c r="X35" s="79">
        <f>X32 * X33</f>
        <v>2.2482581368646275</v>
      </c>
      <c r="Y35" s="79">
        <f t="shared" ref="Y35:AI35" si="16">Y32 * Y33</f>
        <v>2.0874593639895944</v>
      </c>
      <c r="Z35" s="79">
        <f t="shared" si="16"/>
        <v>2.0176745213655489</v>
      </c>
      <c r="AA35" s="79">
        <f t="shared" si="16"/>
        <v>1.7932917061820128</v>
      </c>
      <c r="AB35" s="79">
        <f t="shared" si="16"/>
        <v>1.7078304357224263</v>
      </c>
      <c r="AC35" s="79">
        <f t="shared" si="16"/>
        <v>1.620807405470978</v>
      </c>
      <c r="AD35" s="79">
        <f t="shared" si="16"/>
        <v>1.4913007495851955</v>
      </c>
      <c r="AE35" s="79">
        <f t="shared" si="16"/>
        <v>1.4207049429412804</v>
      </c>
      <c r="AF35" s="79">
        <f t="shared" si="16"/>
        <v>1.3395672513677512</v>
      </c>
      <c r="AG35" s="79">
        <f t="shared" si="16"/>
        <v>1.2604154816114372</v>
      </c>
      <c r="AH35" s="79">
        <f t="shared" si="16"/>
        <v>1.1837722518787286</v>
      </c>
      <c r="AI35" s="79">
        <f t="shared" si="16"/>
        <v>9.5406794840081438E-2</v>
      </c>
    </row>
    <row r="36" spans="1:35" ht="15" customHeight="1">
      <c r="A36"/>
      <c r="B36" s="90"/>
      <c r="C36" s="90"/>
      <c r="D36" s="90"/>
      <c r="E36" s="39" t="s">
        <v>161</v>
      </c>
      <c r="F36" s="39"/>
      <c r="G36" s="70" t="str">
        <f>Inputs!$I$11</f>
        <v>£m 16/17 prices</v>
      </c>
      <c r="H36" s="39"/>
      <c r="I36" s="74">
        <f>SUM(K35:AI35)</f>
        <v>53.757994001116622</v>
      </c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</row>
    <row r="37" spans="1:35" ht="15" customHeight="1">
      <c r="A37"/>
      <c r="B37" s="90"/>
      <c r="C37" s="90"/>
      <c r="D37" s="90"/>
      <c r="E37" s="83"/>
      <c r="F37" s="83"/>
      <c r="G37" s="52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</row>
    <row r="38" spans="1:35" ht="15" customHeight="1">
      <c r="A38"/>
      <c r="B38" s="90"/>
      <c r="C38" s="90"/>
      <c r="D38" s="90"/>
      <c r="E38" s="75" t="s">
        <v>65</v>
      </c>
      <c r="F38" s="83"/>
      <c r="G38" s="163" t="str">
        <f>'Allowances Cap'!G31</f>
        <v>scalar</v>
      </c>
      <c r="H38" s="83"/>
      <c r="I38" s="150">
        <f>'Allowances Cap'!I31</f>
        <v>9.4480276733656054E-2</v>
      </c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</row>
    <row r="39" spans="1:35" ht="15" customHeight="1">
      <c r="A39"/>
      <c r="B39" s="90"/>
      <c r="C39" s="90"/>
      <c r="D39" s="90"/>
      <c r="E39" s="83"/>
      <c r="F39" s="83"/>
      <c r="G39" s="52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</row>
    <row r="40" spans="1:35" ht="15" customHeight="1">
      <c r="A40"/>
      <c r="B40" s="90"/>
      <c r="C40" s="90"/>
      <c r="D40" s="90"/>
      <c r="E40" s="39" t="s">
        <v>162</v>
      </c>
      <c r="F40" s="39"/>
      <c r="G40" s="70" t="str">
        <f>Inputs!$I$11</f>
        <v>£m 16/17 prices</v>
      </c>
      <c r="H40" s="39"/>
      <c r="I40" s="289">
        <f>I36 * I38</f>
        <v>5.0790701498717201</v>
      </c>
      <c r="J40" s="35"/>
      <c r="K40" s="35"/>
      <c r="L40" s="83"/>
      <c r="M40" s="83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</row>
    <row r="41" spans="1:35" ht="15" customHeight="1">
      <c r="A41"/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</row>
    <row r="42" spans="1:35" ht="15" customHeight="1">
      <c r="A42"/>
      <c r="B42" s="188" t="s">
        <v>8</v>
      </c>
      <c r="C42" s="82"/>
      <c r="D42" s="82"/>
      <c r="E42" s="82"/>
      <c r="F42" s="82"/>
      <c r="G42" s="82"/>
      <c r="H42" s="82"/>
      <c r="I42" s="30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</row>
    <row r="43" spans="1:35" ht="15" customHeight="1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</row>
    <row r="44" spans="1:35" ht="15" hidden="1" customHeight="1">
      <c r="A44" s="90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</row>
    <row r="45" spans="1:35" ht="15" hidden="1" customHeight="1">
      <c r="A45" s="90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</row>
    <row r="46" spans="1:35" ht="15" hidden="1" customHeight="1">
      <c r="A46" s="90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</row>
    <row r="47" spans="1:35" ht="15" hidden="1" customHeight="1">
      <c r="A47" s="90"/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</row>
    <row r="48" spans="1:35" ht="15" hidden="1" customHeight="1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</row>
    <row r="49" spans="1:35" ht="15" hidden="1" customHeight="1">
      <c r="A49" s="90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</row>
    <row r="50" spans="1:35" ht="15" hidden="1" customHeight="1">
      <c r="A50" s="90"/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</row>
    <row r="51" spans="1:35" ht="15" hidden="1" customHeight="1">
      <c r="A51" s="90"/>
      <c r="B51" s="90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  <c r="AG51" s="90"/>
      <c r="AH51" s="90"/>
      <c r="AI51" s="90"/>
    </row>
    <row r="52" spans="1:35" ht="15" hidden="1" customHeight="1">
      <c r="A52" s="90"/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</row>
    <row r="53" spans="1:35" ht="15" hidden="1" customHeight="1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</row>
    <row r="54" spans="1:35" ht="15" hidden="1" customHeight="1">
      <c r="A54" s="90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</row>
    <row r="55" spans="1:35" ht="15" hidden="1" customHeight="1">
      <c r="A55" s="90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</row>
    <row r="56" spans="1:35" ht="15" hidden="1" customHeight="1">
      <c r="A56" s="90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</row>
    <row r="57" spans="1:35" ht="15" hidden="1" customHeight="1">
      <c r="A57" s="90"/>
      <c r="B57" s="90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  <c r="AG57" s="90"/>
      <c r="AH57" s="90"/>
      <c r="AI57" s="90"/>
    </row>
    <row r="58" spans="1:35" ht="15" hidden="1" customHeight="1">
      <c r="A58" s="90"/>
      <c r="B58" s="90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</row>
    <row r="59" spans="1:35" ht="15" hidden="1" customHeight="1">
      <c r="E59" s="39"/>
      <c r="F59" s="39"/>
      <c r="G59" s="90"/>
      <c r="H59" s="39"/>
      <c r="I59" s="151"/>
    </row>
    <row r="60" spans="1:35" ht="15" hidden="1" customHeight="1">
      <c r="A60" s="90"/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</row>
  </sheetData>
  <sheetProtection algorithmName="SHA-512" hashValue="MrD2z9QMrMBq3jYQF7qYSykj2X99g9DlstGDEVfixCELvytt7WvYKeYVBSnsGl5FtBWCy8PWmLm6S3Gw/vuISA==" saltValue="OU0NWj5g5caGtzvnaHjGZw==" spinCount="100000" sheet="1" objects="1" scenarios="1"/>
  <pageMargins left="0.23622047244094491" right="0.23622047244094491" top="0.74803149606299213" bottom="0.74803149606299213" header="0.31496062992125984" footer="0.31496062992125984"/>
  <pageSetup paperSize="8" scale="4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7" tint="0.59999389629810485"/>
    <pageSetUpPr fitToPage="1"/>
  </sheetPr>
  <dimension ref="A1:AY60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defaultColWidth="0" defaultRowHeight="15" customHeight="1" zeroHeight="1"/>
  <cols>
    <col min="1" max="4" width="2.59765625" style="91" customWidth="1"/>
    <col min="5" max="5" width="50.59765625" style="91" customWidth="1"/>
    <col min="6" max="6" width="1.59765625" style="91" customWidth="1"/>
    <col min="7" max="7" width="15.59765625" style="91" customWidth="1"/>
    <col min="8" max="8" width="10.8984375" style="91" customWidth="1"/>
    <col min="9" max="9" width="10.59765625" style="42" customWidth="1"/>
    <col min="10" max="10" width="1.59765625" style="91" customWidth="1"/>
    <col min="11" max="35" width="10.59765625" style="91" customWidth="1"/>
    <col min="36" max="36" width="3.09765625" customWidth="1"/>
    <col min="37" max="50" width="10.59765625" hidden="1" customWidth="1"/>
    <col min="51" max="51" width="2.59765625" hidden="1" customWidth="1"/>
    <col min="52" max="16384" width="9.09765625" hidden="1"/>
  </cols>
  <sheetData>
    <row r="1" spans="1:35" ht="14.5">
      <c r="A1" s="242" t="s">
        <v>249</v>
      </c>
      <c r="B1" s="16"/>
      <c r="C1" s="16"/>
      <c r="D1" s="16"/>
      <c r="E1" s="16"/>
      <c r="F1" s="16"/>
      <c r="G1" s="16"/>
      <c r="H1" s="16" t="s">
        <v>73</v>
      </c>
      <c r="I1" s="2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6"/>
      <c r="AH1" s="16"/>
      <c r="AI1" s="16"/>
    </row>
    <row r="2" spans="1:35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27" t="s">
        <v>1</v>
      </c>
      <c r="J2" s="19"/>
      <c r="K2" s="18" t="s">
        <v>4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</row>
    <row r="3" spans="1:35" ht="15" customHeight="1">
      <c r="A3" s="16"/>
      <c r="B3" s="16"/>
      <c r="C3" s="16"/>
      <c r="D3" s="16"/>
      <c r="E3" s="19" t="s">
        <v>10</v>
      </c>
      <c r="F3" s="18"/>
      <c r="G3" s="18"/>
      <c r="H3" s="18"/>
      <c r="I3" s="27"/>
      <c r="J3" s="19"/>
      <c r="K3" s="186" t="s">
        <v>88</v>
      </c>
      <c r="L3" s="186" t="s">
        <v>89</v>
      </c>
      <c r="M3" s="186" t="s">
        <v>90</v>
      </c>
      <c r="N3" s="186" t="s">
        <v>91</v>
      </c>
      <c r="O3" s="186" t="s">
        <v>92</v>
      </c>
      <c r="P3" s="186" t="s">
        <v>93</v>
      </c>
      <c r="Q3" s="186" t="s">
        <v>94</v>
      </c>
      <c r="R3" s="186" t="s">
        <v>95</v>
      </c>
      <c r="S3" s="186" t="s">
        <v>96</v>
      </c>
      <c r="T3" s="186" t="s">
        <v>97</v>
      </c>
      <c r="U3" s="186" t="s">
        <v>98</v>
      </c>
      <c r="V3" s="186" t="s">
        <v>99</v>
      </c>
      <c r="W3" s="186" t="s">
        <v>100</v>
      </c>
      <c r="X3" s="186" t="s">
        <v>101</v>
      </c>
      <c r="Y3" s="186" t="s">
        <v>102</v>
      </c>
      <c r="Z3" s="186" t="s">
        <v>103</v>
      </c>
      <c r="AA3" s="186" t="s">
        <v>104</v>
      </c>
      <c r="AB3" s="186" t="s">
        <v>105</v>
      </c>
      <c r="AC3" s="186" t="s">
        <v>106</v>
      </c>
      <c r="AD3" s="186" t="s">
        <v>107</v>
      </c>
      <c r="AE3" s="186" t="s">
        <v>108</v>
      </c>
      <c r="AF3" s="186" t="s">
        <v>109</v>
      </c>
      <c r="AG3" s="186" t="s">
        <v>110</v>
      </c>
      <c r="AH3" s="186" t="s">
        <v>111</v>
      </c>
      <c r="AI3" s="186" t="s">
        <v>112</v>
      </c>
    </row>
    <row r="4" spans="1:35" ht="15" customHeight="1">
      <c r="A4" s="90"/>
      <c r="B4" s="90"/>
      <c r="C4" s="90"/>
      <c r="D4" s="90"/>
      <c r="E4" s="90"/>
      <c r="F4" s="90"/>
      <c r="G4" s="90"/>
      <c r="H4" s="90"/>
      <c r="I4" s="29"/>
      <c r="J4" s="6"/>
      <c r="K4" s="6"/>
      <c r="L4" s="6"/>
      <c r="M4" s="6"/>
      <c r="N4" s="6"/>
      <c r="O4" s="6"/>
      <c r="P4" s="6"/>
      <c r="Q4" s="6"/>
      <c r="R4" s="6"/>
      <c r="S4" s="90"/>
      <c r="T4" s="90"/>
      <c r="U4" s="90"/>
      <c r="V4" s="90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5" customHeight="1">
      <c r="A5"/>
      <c r="B5" s="188" t="s">
        <v>163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</row>
    <row r="6" spans="1:35" ht="15" customHeight="1">
      <c r="A6"/>
      <c r="B6" s="68"/>
      <c r="C6" s="68"/>
      <c r="D6" s="68"/>
      <c r="E6" s="68"/>
      <c r="F6" s="68"/>
      <c r="G6" s="68"/>
      <c r="H6" s="23"/>
      <c r="I6" s="68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</row>
    <row r="7" spans="1:35" ht="15" customHeight="1">
      <c r="A7"/>
      <c r="B7" s="90"/>
      <c r="C7" s="126" t="s">
        <v>149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</row>
    <row r="8" spans="1:35" ht="15" customHeight="1">
      <c r="A8"/>
    </row>
    <row r="9" spans="1:35" ht="15" customHeight="1">
      <c r="A9"/>
      <c r="E9" s="70" t="s">
        <v>53</v>
      </c>
      <c r="G9" s="91" t="s">
        <v>150</v>
      </c>
      <c r="I9" s="91"/>
      <c r="K9" s="145">
        <f>'Allowances Floor'!K34* 'Tax Deductions'!K$11</f>
        <v>42.271163207143488</v>
      </c>
      <c r="L9" s="145">
        <f>'Allowances Floor'!L34* 'Tax Deductions'!L$11</f>
        <v>43.640748895054934</v>
      </c>
      <c r="M9" s="145">
        <f>'Allowances Floor'!M34* 'Tax Deductions'!M$11</f>
        <v>45.054709159254713</v>
      </c>
      <c r="N9" s="145">
        <f>'Allowances Floor'!N34* 'Tax Deductions'!N$11</f>
        <v>46.514481736014567</v>
      </c>
      <c r="O9" s="145">
        <f>'Allowances Floor'!O34* 'Tax Deductions'!O$11</f>
        <v>48.021550944261435</v>
      </c>
      <c r="P9" s="145">
        <f>'Allowances Floor'!P34* 'Tax Deductions'!P$11</f>
        <v>49.577449194855511</v>
      </c>
      <c r="Q9" s="145">
        <f>'Allowances Floor'!Q34* 'Tax Deductions'!Q$11</f>
        <v>51.183758548768829</v>
      </c>
      <c r="R9" s="145">
        <f>'Allowances Floor'!R34* 'Tax Deductions'!R$11</f>
        <v>52.842112325748936</v>
      </c>
      <c r="S9" s="145">
        <f>'Allowances Floor'!S34* 'Tax Deductions'!S$11</f>
        <v>54.5541967651032</v>
      </c>
      <c r="T9" s="145">
        <f>'Allowances Floor'!T34* 'Tax Deductions'!T$11</f>
        <v>56.321752740292546</v>
      </c>
      <c r="U9" s="145">
        <f>'Allowances Floor'!U34* 'Tax Deductions'!U$11</f>
        <v>58.146577529078023</v>
      </c>
      <c r="V9" s="145">
        <f>'Allowances Floor'!V34* 'Tax Deductions'!V$11</f>
        <v>60.030526641020145</v>
      </c>
      <c r="W9" s="145">
        <f>'Allowances Floor'!W34* 'Tax Deductions'!W$11</f>
        <v>61.975515704189206</v>
      </c>
      <c r="X9" s="145">
        <f>'Allowances Floor'!X34* 'Tax Deductions'!X$11</f>
        <v>63.983522413004934</v>
      </c>
      <c r="Y9" s="145">
        <f>'Allowances Floor'!Y34* 'Tax Deductions'!Y$11</f>
        <v>66.056588539186293</v>
      </c>
      <c r="Z9" s="145">
        <f>'Allowances Floor'!Z34* 'Tax Deductions'!Z$11</f>
        <v>68.196822007855928</v>
      </c>
      <c r="AA9" s="145">
        <f>'Allowances Floor'!AA34* 'Tax Deductions'!AA$11</f>
        <v>70.406399040910458</v>
      </c>
      <c r="AB9" s="145">
        <f>'Allowances Floor'!AB34* 'Tax Deductions'!AB$11</f>
        <v>72.687566369835949</v>
      </c>
      <c r="AC9" s="145">
        <f>'Allowances Floor'!AC34* 'Tax Deductions'!AC$11</f>
        <v>75.042643520218633</v>
      </c>
      <c r="AD9" s="145">
        <f>'Allowances Floor'!AD34* 'Tax Deductions'!AD$11</f>
        <v>77.47402517027372</v>
      </c>
      <c r="AE9" s="145">
        <f>'Allowances Floor'!AE34* 'Tax Deductions'!AE$11</f>
        <v>79.984183585790589</v>
      </c>
      <c r="AF9" s="145">
        <f>'Allowances Floor'!AF34* 'Tax Deductions'!AF$11</f>
        <v>82.575671133970204</v>
      </c>
      <c r="AG9" s="145">
        <f>'Allowances Floor'!AG34* 'Tax Deductions'!AG$11</f>
        <v>85.251122878710831</v>
      </c>
      <c r="AH9" s="145">
        <f>'Allowances Floor'!AH34* 'Tax Deductions'!AH$11</f>
        <v>88.013259259981069</v>
      </c>
      <c r="AI9" s="145">
        <f>'Allowances Floor'!AI34* 'Tax Deductions'!AI$11</f>
        <v>90.864888860004456</v>
      </c>
    </row>
    <row r="10" spans="1:35" ht="15" customHeight="1">
      <c r="A10"/>
      <c r="E10" s="70" t="s">
        <v>151</v>
      </c>
      <c r="F10" s="83"/>
      <c r="G10" s="83" t="s">
        <v>150</v>
      </c>
      <c r="K10" s="117">
        <f>-'Tax Deductions'!K19</f>
        <v>-57.603526597052564</v>
      </c>
      <c r="L10" s="117">
        <f>-'Tax Deductions'!L19</f>
        <v>-46.584158231248665</v>
      </c>
      <c r="M10" s="117">
        <f>-'Tax Deductions'!M19</f>
        <v>-49.741015874893137</v>
      </c>
      <c r="N10" s="117">
        <f>-'Tax Deductions'!N19</f>
        <v>-47.92459099164644</v>
      </c>
      <c r="O10" s="117">
        <f>-'Tax Deductions'!O19</f>
        <v>-47.909157781508156</v>
      </c>
      <c r="P10" s="117">
        <f>-'Tax Deductions'!P19</f>
        <v>-46.747352239466835</v>
      </c>
      <c r="Q10" s="117">
        <f>-'Tax Deductions'!Q19</f>
        <v>-45.810008801974405</v>
      </c>
      <c r="R10" s="117">
        <f>-'Tax Deductions'!R19</f>
        <v>-47.081059033704605</v>
      </c>
      <c r="S10" s="117">
        <f>-'Tax Deductions'!S19</f>
        <v>-46.879598257193521</v>
      </c>
      <c r="T10" s="117">
        <f>-'Tax Deductions'!T19</f>
        <v>-47.890502708412001</v>
      </c>
      <c r="U10" s="117">
        <f>-'Tax Deductions'!U19</f>
        <v>-46.953959809210488</v>
      </c>
      <c r="V10" s="117">
        <f>-'Tax Deductions'!V19</f>
        <v>-46.764570986241061</v>
      </c>
      <c r="W10" s="117">
        <f>-'Tax Deductions'!W19</f>
        <v>-46.74296020797064</v>
      </c>
      <c r="X10" s="117">
        <f>-'Tax Deductions'!X19</f>
        <v>-47.205328575856456</v>
      </c>
      <c r="Y10" s="117">
        <f>-'Tax Deductions'!Y19</f>
        <v>-48.543654952798903</v>
      </c>
      <c r="Z10" s="117">
        <f>-'Tax Deductions'!Z19</f>
        <v>-47.70561133941149</v>
      </c>
      <c r="AA10" s="117">
        <f>-'Tax Deductions'!AA19</f>
        <v>-51.524656381670276</v>
      </c>
      <c r="AB10" s="117">
        <f>-'Tax Deductions'!AB19</f>
        <v>-51.498702732088354</v>
      </c>
      <c r="AC10" s="117">
        <f>-'Tax Deductions'!AC19</f>
        <v>-51.583336279549407</v>
      </c>
      <c r="AD10" s="117">
        <f>-'Tax Deductions'!AD19</f>
        <v>-53.602537805007039</v>
      </c>
      <c r="AE10" s="117">
        <f>-'Tax Deductions'!AE19</f>
        <v>-53.356708042357859</v>
      </c>
      <c r="AF10" s="117">
        <f>-'Tax Deductions'!AF19</f>
        <v>-53.724170802785004</v>
      </c>
      <c r="AG10" s="117">
        <f>-'Tax Deductions'!AG19</f>
        <v>-54.191261538263767</v>
      </c>
      <c r="AH10" s="117">
        <f>-'Tax Deductions'!AH19</f>
        <v>-54.754922594011539</v>
      </c>
      <c r="AI10" s="117">
        <f>-'Tax Deductions'!AI19</f>
        <v>-131.24641984641607</v>
      </c>
    </row>
    <row r="11" spans="1:35" ht="15" customHeight="1">
      <c r="A11"/>
      <c r="E11" s="91" t="s">
        <v>149</v>
      </c>
      <c r="G11" s="91" t="s">
        <v>150</v>
      </c>
      <c r="K11" s="146">
        <f t="shared" ref="K11" si="0">SUM(K9:K10)</f>
        <v>-15.332363389909077</v>
      </c>
      <c r="L11" s="146">
        <f t="shared" ref="L11:AI11" si="1">SUM(L9:L10)</f>
        <v>-2.9434093361937315</v>
      </c>
      <c r="M11" s="146">
        <f t="shared" si="1"/>
        <v>-4.6863067156384233</v>
      </c>
      <c r="N11" s="146">
        <f t="shared" si="1"/>
        <v>-1.4101092556318733</v>
      </c>
      <c r="O11" s="146">
        <f t="shared" si="1"/>
        <v>0.11239316275327838</v>
      </c>
      <c r="P11" s="146">
        <f t="shared" si="1"/>
        <v>2.8300969553886759</v>
      </c>
      <c r="Q11" s="146">
        <f t="shared" si="1"/>
        <v>5.3737497467944237</v>
      </c>
      <c r="R11" s="146">
        <f t="shared" si="1"/>
        <v>5.7610532920443305</v>
      </c>
      <c r="S11" s="146">
        <f t="shared" si="1"/>
        <v>7.6745985079096783</v>
      </c>
      <c r="T11" s="146">
        <f t="shared" si="1"/>
        <v>8.4312500318805448</v>
      </c>
      <c r="U11" s="146">
        <f t="shared" si="1"/>
        <v>11.192617719867535</v>
      </c>
      <c r="V11" s="146">
        <f t="shared" si="1"/>
        <v>13.265955654779084</v>
      </c>
      <c r="W11" s="146">
        <f t="shared" si="1"/>
        <v>15.232555496218566</v>
      </c>
      <c r="X11" s="146">
        <f t="shared" si="1"/>
        <v>16.778193837148478</v>
      </c>
      <c r="Y11" s="146">
        <f t="shared" si="1"/>
        <v>17.512933586387391</v>
      </c>
      <c r="Z11" s="146">
        <f t="shared" si="1"/>
        <v>20.491210668444438</v>
      </c>
      <c r="AA11" s="146">
        <f t="shared" si="1"/>
        <v>18.881742659240182</v>
      </c>
      <c r="AB11" s="146">
        <f t="shared" si="1"/>
        <v>21.188863637747595</v>
      </c>
      <c r="AC11" s="146">
        <f t="shared" si="1"/>
        <v>23.459307240669226</v>
      </c>
      <c r="AD11" s="146">
        <f t="shared" si="1"/>
        <v>23.871487365266681</v>
      </c>
      <c r="AE11" s="146">
        <f t="shared" si="1"/>
        <v>26.62747554343273</v>
      </c>
      <c r="AF11" s="146">
        <f t="shared" si="1"/>
        <v>28.8515003311852</v>
      </c>
      <c r="AG11" s="146">
        <f t="shared" si="1"/>
        <v>31.059861340447064</v>
      </c>
      <c r="AH11" s="146">
        <f t="shared" si="1"/>
        <v>33.25833666596953</v>
      </c>
      <c r="AI11" s="146">
        <f t="shared" si="1"/>
        <v>-40.381530986411619</v>
      </c>
    </row>
    <row r="12" spans="1:35" ht="15" customHeight="1">
      <c r="A12"/>
    </row>
    <row r="13" spans="1:35" ht="15" customHeight="1">
      <c r="A13"/>
      <c r="B13" s="68"/>
      <c r="C13" s="126" t="s">
        <v>152</v>
      </c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27"/>
      <c r="AI13" s="127"/>
    </row>
    <row r="14" spans="1:35" ht="15" customHeight="1">
      <c r="A14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 ht="15" customHeight="1">
      <c r="A15"/>
      <c r="B15" s="68"/>
      <c r="C15" s="68"/>
      <c r="D15" s="68"/>
      <c r="E15" s="23" t="s">
        <v>153</v>
      </c>
      <c r="F15" s="68"/>
      <c r="G15" s="91" t="s">
        <v>150</v>
      </c>
      <c r="H15" s="68"/>
      <c r="I15" s="68"/>
      <c r="J15" s="68"/>
      <c r="K15" s="23">
        <f>J18</f>
        <v>0</v>
      </c>
      <c r="L15" s="23">
        <f t="shared" ref="L15:AI15" si="2">K18</f>
        <v>-15.332363389909077</v>
      </c>
      <c r="M15" s="23">
        <f t="shared" si="2"/>
        <v>-18.275772726102808</v>
      </c>
      <c r="N15" s="23">
        <f t="shared" si="2"/>
        <v>-22.962079441741231</v>
      </c>
      <c r="O15" s="23">
        <f t="shared" si="2"/>
        <v>-24.372188697373105</v>
      </c>
      <c r="P15" s="23">
        <f t="shared" si="2"/>
        <v>-24.259795534619826</v>
      </c>
      <c r="Q15" s="23">
        <f t="shared" si="2"/>
        <v>-21.42969857923115</v>
      </c>
      <c r="R15" s="23">
        <f t="shared" si="2"/>
        <v>-16.055948832436727</v>
      </c>
      <c r="S15" s="23">
        <f t="shared" si="2"/>
        <v>-10.294895540392396</v>
      </c>
      <c r="T15" s="23">
        <f t="shared" si="2"/>
        <v>-2.6202970324827177</v>
      </c>
      <c r="U15" s="23">
        <f t="shared" si="2"/>
        <v>0</v>
      </c>
      <c r="V15" s="23">
        <f t="shared" si="2"/>
        <v>0</v>
      </c>
      <c r="W15" s="23">
        <f t="shared" si="2"/>
        <v>0</v>
      </c>
      <c r="X15" s="23">
        <f t="shared" si="2"/>
        <v>0</v>
      </c>
      <c r="Y15" s="23">
        <f t="shared" si="2"/>
        <v>0</v>
      </c>
      <c r="Z15" s="23">
        <f t="shared" si="2"/>
        <v>0</v>
      </c>
      <c r="AA15" s="23">
        <f t="shared" si="2"/>
        <v>0</v>
      </c>
      <c r="AB15" s="23">
        <f t="shared" si="2"/>
        <v>0</v>
      </c>
      <c r="AC15" s="23">
        <f t="shared" si="2"/>
        <v>0</v>
      </c>
      <c r="AD15" s="23">
        <f t="shared" si="2"/>
        <v>0</v>
      </c>
      <c r="AE15" s="23">
        <f t="shared" si="2"/>
        <v>0</v>
      </c>
      <c r="AF15" s="23">
        <f t="shared" si="2"/>
        <v>0</v>
      </c>
      <c r="AG15" s="23">
        <f t="shared" si="2"/>
        <v>0</v>
      </c>
      <c r="AH15" s="23">
        <f t="shared" si="2"/>
        <v>0</v>
      </c>
      <c r="AI15" s="23">
        <f t="shared" si="2"/>
        <v>0</v>
      </c>
    </row>
    <row r="16" spans="1:35" ht="15" customHeight="1">
      <c r="A16"/>
      <c r="B16" s="68"/>
      <c r="C16" s="68"/>
      <c r="D16" s="68"/>
      <c r="E16" s="23" t="s">
        <v>154</v>
      </c>
      <c r="F16" s="68"/>
      <c r="G16" s="91" t="s">
        <v>150</v>
      </c>
      <c r="H16" s="68"/>
      <c r="I16" s="68"/>
      <c r="J16" s="68"/>
      <c r="K16" s="23">
        <f t="shared" ref="K16:AI16" si="3">MIN(K11, 0)</f>
        <v>-15.332363389909077</v>
      </c>
      <c r="L16" s="23">
        <f t="shared" si="3"/>
        <v>-2.9434093361937315</v>
      </c>
      <c r="M16" s="23">
        <f t="shared" si="3"/>
        <v>-4.6863067156384233</v>
      </c>
      <c r="N16" s="23">
        <f t="shared" si="3"/>
        <v>-1.4101092556318733</v>
      </c>
      <c r="O16" s="23">
        <f t="shared" si="3"/>
        <v>0</v>
      </c>
      <c r="P16" s="23">
        <f t="shared" si="3"/>
        <v>0</v>
      </c>
      <c r="Q16" s="23">
        <f t="shared" si="3"/>
        <v>0</v>
      </c>
      <c r="R16" s="23">
        <f t="shared" si="3"/>
        <v>0</v>
      </c>
      <c r="S16" s="23">
        <f t="shared" si="3"/>
        <v>0</v>
      </c>
      <c r="T16" s="23">
        <f t="shared" si="3"/>
        <v>0</v>
      </c>
      <c r="U16" s="23">
        <f t="shared" si="3"/>
        <v>0</v>
      </c>
      <c r="V16" s="23">
        <f t="shared" si="3"/>
        <v>0</v>
      </c>
      <c r="W16" s="23">
        <f t="shared" si="3"/>
        <v>0</v>
      </c>
      <c r="X16" s="23">
        <f t="shared" si="3"/>
        <v>0</v>
      </c>
      <c r="Y16" s="23">
        <f t="shared" si="3"/>
        <v>0</v>
      </c>
      <c r="Z16" s="23">
        <f t="shared" si="3"/>
        <v>0</v>
      </c>
      <c r="AA16" s="23">
        <f t="shared" si="3"/>
        <v>0</v>
      </c>
      <c r="AB16" s="23">
        <f t="shared" si="3"/>
        <v>0</v>
      </c>
      <c r="AC16" s="23">
        <f t="shared" si="3"/>
        <v>0</v>
      </c>
      <c r="AD16" s="23">
        <f t="shared" si="3"/>
        <v>0</v>
      </c>
      <c r="AE16" s="23">
        <f t="shared" si="3"/>
        <v>0</v>
      </c>
      <c r="AF16" s="23">
        <f t="shared" si="3"/>
        <v>0</v>
      </c>
      <c r="AG16" s="23">
        <f t="shared" si="3"/>
        <v>0</v>
      </c>
      <c r="AH16" s="23">
        <f t="shared" si="3"/>
        <v>0</v>
      </c>
      <c r="AI16" s="23">
        <f t="shared" si="3"/>
        <v>-40.381530986411619</v>
      </c>
    </row>
    <row r="17" spans="1:35" ht="15" customHeight="1">
      <c r="A17"/>
      <c r="B17" s="68"/>
      <c r="C17" s="68"/>
      <c r="D17" s="68"/>
      <c r="E17" s="68" t="s">
        <v>242</v>
      </c>
      <c r="F17" s="68"/>
      <c r="G17" s="91" t="s">
        <v>150</v>
      </c>
      <c r="H17" s="68"/>
      <c r="I17" s="68"/>
      <c r="J17" s="68"/>
      <c r="K17" s="23">
        <f t="shared" ref="K17:AI17" si="4">IF(K11 &gt;= 0, MIN(K11, -K15), 0)</f>
        <v>0</v>
      </c>
      <c r="L17" s="23">
        <f t="shared" si="4"/>
        <v>0</v>
      </c>
      <c r="M17" s="23">
        <f t="shared" si="4"/>
        <v>0</v>
      </c>
      <c r="N17" s="23">
        <f t="shared" si="4"/>
        <v>0</v>
      </c>
      <c r="O17" s="23">
        <f t="shared" si="4"/>
        <v>0.11239316275327838</v>
      </c>
      <c r="P17" s="23">
        <f t="shared" si="4"/>
        <v>2.8300969553886759</v>
      </c>
      <c r="Q17" s="23">
        <f t="shared" si="4"/>
        <v>5.3737497467944237</v>
      </c>
      <c r="R17" s="23">
        <f t="shared" si="4"/>
        <v>5.7610532920443305</v>
      </c>
      <c r="S17" s="23">
        <f t="shared" si="4"/>
        <v>7.6745985079096783</v>
      </c>
      <c r="T17" s="23">
        <f t="shared" si="4"/>
        <v>2.6202970324827177</v>
      </c>
      <c r="U17" s="23">
        <f t="shared" si="4"/>
        <v>0</v>
      </c>
      <c r="V17" s="23">
        <f t="shared" si="4"/>
        <v>0</v>
      </c>
      <c r="W17" s="23">
        <f t="shared" si="4"/>
        <v>0</v>
      </c>
      <c r="X17" s="23">
        <f t="shared" si="4"/>
        <v>0</v>
      </c>
      <c r="Y17" s="23">
        <f t="shared" si="4"/>
        <v>0</v>
      </c>
      <c r="Z17" s="23">
        <f t="shared" si="4"/>
        <v>0</v>
      </c>
      <c r="AA17" s="23">
        <f t="shared" si="4"/>
        <v>0</v>
      </c>
      <c r="AB17" s="23">
        <f t="shared" si="4"/>
        <v>0</v>
      </c>
      <c r="AC17" s="23">
        <f t="shared" si="4"/>
        <v>0</v>
      </c>
      <c r="AD17" s="23">
        <f t="shared" si="4"/>
        <v>0</v>
      </c>
      <c r="AE17" s="23">
        <f t="shared" si="4"/>
        <v>0</v>
      </c>
      <c r="AF17" s="23">
        <f t="shared" si="4"/>
        <v>0</v>
      </c>
      <c r="AG17" s="23">
        <f t="shared" si="4"/>
        <v>0</v>
      </c>
      <c r="AH17" s="23">
        <f t="shared" si="4"/>
        <v>0</v>
      </c>
      <c r="AI17" s="23">
        <f t="shared" si="4"/>
        <v>0</v>
      </c>
    </row>
    <row r="18" spans="1:35" ht="15" customHeight="1">
      <c r="A18"/>
      <c r="B18" s="68"/>
      <c r="C18" s="68"/>
      <c r="D18" s="68"/>
      <c r="E18" s="23" t="s">
        <v>241</v>
      </c>
      <c r="F18" s="68"/>
      <c r="G18" s="91" t="s">
        <v>150</v>
      </c>
      <c r="H18" s="68"/>
      <c r="I18" s="68"/>
      <c r="J18" s="68"/>
      <c r="K18" s="135">
        <f t="shared" ref="K18" si="5">SUM(K15:K17)</f>
        <v>-15.332363389909077</v>
      </c>
      <c r="L18" s="135">
        <f t="shared" ref="L18:AI18" si="6">SUM(L15:L17)</f>
        <v>-18.275772726102808</v>
      </c>
      <c r="M18" s="135">
        <f t="shared" si="6"/>
        <v>-22.962079441741231</v>
      </c>
      <c r="N18" s="135">
        <f t="shared" si="6"/>
        <v>-24.372188697373105</v>
      </c>
      <c r="O18" s="135">
        <f t="shared" si="6"/>
        <v>-24.259795534619826</v>
      </c>
      <c r="P18" s="135">
        <f t="shared" si="6"/>
        <v>-21.42969857923115</v>
      </c>
      <c r="Q18" s="135">
        <f t="shared" si="6"/>
        <v>-16.055948832436727</v>
      </c>
      <c r="R18" s="135">
        <f t="shared" si="6"/>
        <v>-10.294895540392396</v>
      </c>
      <c r="S18" s="135">
        <f t="shared" si="6"/>
        <v>-2.6202970324827177</v>
      </c>
      <c r="T18" s="135">
        <f t="shared" si="6"/>
        <v>0</v>
      </c>
      <c r="U18" s="135">
        <f t="shared" si="6"/>
        <v>0</v>
      </c>
      <c r="V18" s="135">
        <f t="shared" si="6"/>
        <v>0</v>
      </c>
      <c r="W18" s="135">
        <f t="shared" si="6"/>
        <v>0</v>
      </c>
      <c r="X18" s="135">
        <f t="shared" si="6"/>
        <v>0</v>
      </c>
      <c r="Y18" s="135">
        <f t="shared" si="6"/>
        <v>0</v>
      </c>
      <c r="Z18" s="135">
        <f t="shared" si="6"/>
        <v>0</v>
      </c>
      <c r="AA18" s="135">
        <f t="shared" si="6"/>
        <v>0</v>
      </c>
      <c r="AB18" s="135">
        <f t="shared" si="6"/>
        <v>0</v>
      </c>
      <c r="AC18" s="135">
        <f t="shared" si="6"/>
        <v>0</v>
      </c>
      <c r="AD18" s="135">
        <f t="shared" si="6"/>
        <v>0</v>
      </c>
      <c r="AE18" s="135">
        <f t="shared" si="6"/>
        <v>0</v>
      </c>
      <c r="AF18" s="135">
        <f t="shared" si="6"/>
        <v>0</v>
      </c>
      <c r="AG18" s="135">
        <f t="shared" si="6"/>
        <v>0</v>
      </c>
      <c r="AH18" s="135">
        <f t="shared" si="6"/>
        <v>0</v>
      </c>
      <c r="AI18" s="135">
        <f t="shared" si="6"/>
        <v>-40.381530986411619</v>
      </c>
    </row>
    <row r="19" spans="1:35" ht="15" customHeight="1">
      <c r="A19"/>
      <c r="B19" s="68"/>
      <c r="C19" s="68"/>
      <c r="D19" s="68"/>
      <c r="E19" s="68"/>
      <c r="F19" s="68"/>
      <c r="G19" s="68"/>
      <c r="H19" s="68"/>
      <c r="I19" s="68"/>
      <c r="J19" s="68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</row>
    <row r="20" spans="1:35" ht="15" customHeight="1">
      <c r="A20"/>
      <c r="B20" s="68"/>
      <c r="C20" s="126" t="s">
        <v>155</v>
      </c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/>
      <c r="AH20" s="127"/>
      <c r="AI20" s="127"/>
    </row>
    <row r="21" spans="1:35" ht="15" customHeight="1">
      <c r="A21"/>
      <c r="B21" s="23"/>
      <c r="C21" s="23"/>
      <c r="D21" s="23"/>
      <c r="E21" s="23"/>
      <c r="F21" s="23"/>
      <c r="G21" s="23"/>
      <c r="H21" s="23"/>
      <c r="I21" s="23"/>
      <c r="J21" s="147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</row>
    <row r="22" spans="1:35" ht="15" customHeight="1">
      <c r="A22"/>
      <c r="B22" s="23"/>
      <c r="C22" s="23"/>
      <c r="D22" s="23"/>
      <c r="E22" s="68" t="s">
        <v>156</v>
      </c>
      <c r="F22" s="68"/>
      <c r="G22" s="83" t="s">
        <v>150</v>
      </c>
      <c r="H22" s="23"/>
      <c r="I22" s="23"/>
      <c r="J22" s="147"/>
      <c r="K22" s="23">
        <f t="shared" ref="K22:AI22" si="7">MAX(K11 - K17,0)</f>
        <v>0</v>
      </c>
      <c r="L22" s="23">
        <f t="shared" si="7"/>
        <v>0</v>
      </c>
      <c r="M22" s="23">
        <f t="shared" si="7"/>
        <v>0</v>
      </c>
      <c r="N22" s="23">
        <f t="shared" si="7"/>
        <v>0</v>
      </c>
      <c r="O22" s="23">
        <f t="shared" si="7"/>
        <v>0</v>
      </c>
      <c r="P22" s="23">
        <f t="shared" si="7"/>
        <v>0</v>
      </c>
      <c r="Q22" s="23">
        <f t="shared" si="7"/>
        <v>0</v>
      </c>
      <c r="R22" s="23">
        <f t="shared" si="7"/>
        <v>0</v>
      </c>
      <c r="S22" s="23">
        <f t="shared" si="7"/>
        <v>0</v>
      </c>
      <c r="T22" s="23">
        <f t="shared" si="7"/>
        <v>5.8109529993978271</v>
      </c>
      <c r="U22" s="23">
        <f t="shared" si="7"/>
        <v>11.192617719867535</v>
      </c>
      <c r="V22" s="23">
        <f t="shared" si="7"/>
        <v>13.265955654779084</v>
      </c>
      <c r="W22" s="23">
        <f t="shared" si="7"/>
        <v>15.232555496218566</v>
      </c>
      <c r="X22" s="23">
        <f t="shared" si="7"/>
        <v>16.778193837148478</v>
      </c>
      <c r="Y22" s="23">
        <f t="shared" si="7"/>
        <v>17.512933586387391</v>
      </c>
      <c r="Z22" s="23">
        <f t="shared" si="7"/>
        <v>20.491210668444438</v>
      </c>
      <c r="AA22" s="23">
        <f t="shared" si="7"/>
        <v>18.881742659240182</v>
      </c>
      <c r="AB22" s="23">
        <f t="shared" si="7"/>
        <v>21.188863637747595</v>
      </c>
      <c r="AC22" s="23">
        <f t="shared" si="7"/>
        <v>23.459307240669226</v>
      </c>
      <c r="AD22" s="23">
        <f t="shared" si="7"/>
        <v>23.871487365266681</v>
      </c>
      <c r="AE22" s="23">
        <f t="shared" si="7"/>
        <v>26.62747554343273</v>
      </c>
      <c r="AF22" s="23">
        <f t="shared" si="7"/>
        <v>28.8515003311852</v>
      </c>
      <c r="AG22" s="23">
        <f t="shared" si="7"/>
        <v>31.059861340447064</v>
      </c>
      <c r="AH22" s="23">
        <f t="shared" si="7"/>
        <v>33.25833666596953</v>
      </c>
      <c r="AI22" s="23">
        <f t="shared" si="7"/>
        <v>0</v>
      </c>
    </row>
    <row r="23" spans="1:35" ht="15" customHeight="1">
      <c r="A23"/>
      <c r="B23" s="23"/>
      <c r="C23" s="23"/>
      <c r="D23" s="23"/>
      <c r="E23" s="148" t="s">
        <v>157</v>
      </c>
      <c r="F23" s="68"/>
      <c r="G23" s="148" t="str">
        <f>Inputs!G113</f>
        <v>%</v>
      </c>
      <c r="H23" s="23"/>
      <c r="I23" s="23"/>
      <c r="J23" s="147"/>
      <c r="K23" s="178">
        <f>Inputs!K113</f>
        <v>0.19</v>
      </c>
      <c r="L23" s="178">
        <f>Inputs!L113</f>
        <v>0.19</v>
      </c>
      <c r="M23" s="178">
        <f>Inputs!M113</f>
        <v>0.19</v>
      </c>
      <c r="N23" s="178">
        <f>Inputs!N113</f>
        <v>0.19</v>
      </c>
      <c r="O23" s="178">
        <f>Inputs!O113</f>
        <v>0.19</v>
      </c>
      <c r="P23" s="178">
        <f>Inputs!P113</f>
        <v>0.19</v>
      </c>
      <c r="Q23" s="178">
        <f>Inputs!Q113</f>
        <v>0.19</v>
      </c>
      <c r="R23" s="178">
        <f>Inputs!R113</f>
        <v>0.19</v>
      </c>
      <c r="S23" s="178">
        <f>Inputs!S113</f>
        <v>0.19</v>
      </c>
      <c r="T23" s="178">
        <f>Inputs!T113</f>
        <v>0.19</v>
      </c>
      <c r="U23" s="178">
        <f>Inputs!U113</f>
        <v>0.19</v>
      </c>
      <c r="V23" s="178">
        <f>Inputs!V113</f>
        <v>0.19</v>
      </c>
      <c r="W23" s="178">
        <f>Inputs!W113</f>
        <v>0.19</v>
      </c>
      <c r="X23" s="178">
        <f>Inputs!X113</f>
        <v>0.19</v>
      </c>
      <c r="Y23" s="178">
        <f>Inputs!Y113</f>
        <v>0.19</v>
      </c>
      <c r="Z23" s="178">
        <f>Inputs!Z113</f>
        <v>0.19</v>
      </c>
      <c r="AA23" s="178">
        <f>Inputs!AA113</f>
        <v>0.19</v>
      </c>
      <c r="AB23" s="178">
        <f>Inputs!AB113</f>
        <v>0.19</v>
      </c>
      <c r="AC23" s="178">
        <f>Inputs!AC113</f>
        <v>0.19</v>
      </c>
      <c r="AD23" s="178">
        <f>Inputs!AD113</f>
        <v>0.19</v>
      </c>
      <c r="AE23" s="178">
        <f>Inputs!AE113</f>
        <v>0.19</v>
      </c>
      <c r="AF23" s="178">
        <f>Inputs!AF113</f>
        <v>0.19</v>
      </c>
      <c r="AG23" s="178">
        <f>Inputs!AG113</f>
        <v>0.19</v>
      </c>
      <c r="AH23" s="178">
        <f>Inputs!AH113</f>
        <v>0.19</v>
      </c>
      <c r="AI23" s="178">
        <f>Inputs!AI113</f>
        <v>0.19</v>
      </c>
    </row>
    <row r="24" spans="1:35" ht="15" customHeight="1">
      <c r="A24"/>
      <c r="B24" s="68"/>
      <c r="C24" s="68"/>
      <c r="D24" s="68"/>
      <c r="E24" s="68" t="s">
        <v>158</v>
      </c>
      <c r="F24" s="68"/>
      <c r="G24" s="83" t="s">
        <v>150</v>
      </c>
      <c r="H24" s="68"/>
      <c r="I24" s="68"/>
      <c r="J24" s="68"/>
      <c r="K24" s="23">
        <f>K22 * K23</f>
        <v>0</v>
      </c>
      <c r="L24" s="23">
        <f t="shared" ref="L24:AI24" si="8">L22 * L23</f>
        <v>0</v>
      </c>
      <c r="M24" s="23">
        <f t="shared" si="8"/>
        <v>0</v>
      </c>
      <c r="N24" s="23">
        <f t="shared" si="8"/>
        <v>0</v>
      </c>
      <c r="O24" s="23">
        <f t="shared" si="8"/>
        <v>0</v>
      </c>
      <c r="P24" s="23">
        <f t="shared" si="8"/>
        <v>0</v>
      </c>
      <c r="Q24" s="23">
        <f t="shared" si="8"/>
        <v>0</v>
      </c>
      <c r="R24" s="23">
        <f t="shared" si="8"/>
        <v>0</v>
      </c>
      <c r="S24" s="23">
        <f t="shared" si="8"/>
        <v>0</v>
      </c>
      <c r="T24" s="23">
        <f t="shared" si="8"/>
        <v>1.1040810698855872</v>
      </c>
      <c r="U24" s="23">
        <f t="shared" si="8"/>
        <v>2.1265973667748317</v>
      </c>
      <c r="V24" s="23">
        <f t="shared" si="8"/>
        <v>2.5205315744080261</v>
      </c>
      <c r="W24" s="23">
        <f t="shared" si="8"/>
        <v>2.8941855442815276</v>
      </c>
      <c r="X24" s="23">
        <f t="shared" si="8"/>
        <v>3.187856829058211</v>
      </c>
      <c r="Y24" s="23">
        <f t="shared" si="8"/>
        <v>3.3274573814136041</v>
      </c>
      <c r="Z24" s="23">
        <f t="shared" si="8"/>
        <v>3.8933300270044433</v>
      </c>
      <c r="AA24" s="23">
        <f t="shared" si="8"/>
        <v>3.5875311052556347</v>
      </c>
      <c r="AB24" s="23">
        <f t="shared" si="8"/>
        <v>4.0258840911720428</v>
      </c>
      <c r="AC24" s="23">
        <f t="shared" si="8"/>
        <v>4.4572683757271525</v>
      </c>
      <c r="AD24" s="23">
        <f t="shared" si="8"/>
        <v>4.5355825994006693</v>
      </c>
      <c r="AE24" s="23">
        <f t="shared" si="8"/>
        <v>5.0592203532522184</v>
      </c>
      <c r="AF24" s="23">
        <f t="shared" si="8"/>
        <v>5.4817850629251881</v>
      </c>
      <c r="AG24" s="23">
        <f t="shared" si="8"/>
        <v>5.9013736546849422</v>
      </c>
      <c r="AH24" s="23">
        <f t="shared" si="8"/>
        <v>6.3190839665342109</v>
      </c>
      <c r="AI24" s="23">
        <f t="shared" si="8"/>
        <v>0</v>
      </c>
    </row>
    <row r="25" spans="1:35" ht="15" customHeight="1">
      <c r="A25"/>
      <c r="B25" s="68"/>
      <c r="C25" s="68"/>
      <c r="D25" s="68"/>
      <c r="E25" s="68"/>
      <c r="F25" s="68"/>
      <c r="G25" s="68"/>
      <c r="H25" s="68"/>
      <c r="I25" s="68"/>
      <c r="J25" s="68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35" ht="15" customHeight="1">
      <c r="A26"/>
      <c r="B26" s="68"/>
      <c r="C26" s="68"/>
      <c r="D26" s="68"/>
      <c r="E26" s="23" t="s">
        <v>224</v>
      </c>
      <c r="F26" s="68"/>
      <c r="G26" s="23" t="s">
        <v>29</v>
      </c>
      <c r="H26" s="68"/>
      <c r="I26" s="68"/>
      <c r="J26" s="68"/>
      <c r="K26" s="149">
        <f t="shared" ref="K26:AI26" si="9">1 / (1 - K23)</f>
        <v>1.2345679012345678</v>
      </c>
      <c r="L26" s="149">
        <f t="shared" si="9"/>
        <v>1.2345679012345678</v>
      </c>
      <c r="M26" s="149">
        <f t="shared" si="9"/>
        <v>1.2345679012345678</v>
      </c>
      <c r="N26" s="149">
        <f t="shared" si="9"/>
        <v>1.2345679012345678</v>
      </c>
      <c r="O26" s="149">
        <f t="shared" si="9"/>
        <v>1.2345679012345678</v>
      </c>
      <c r="P26" s="149">
        <f t="shared" si="9"/>
        <v>1.2345679012345678</v>
      </c>
      <c r="Q26" s="149">
        <f t="shared" si="9"/>
        <v>1.2345679012345678</v>
      </c>
      <c r="R26" s="149">
        <f t="shared" si="9"/>
        <v>1.2345679012345678</v>
      </c>
      <c r="S26" s="149">
        <f t="shared" si="9"/>
        <v>1.2345679012345678</v>
      </c>
      <c r="T26" s="149">
        <f t="shared" si="9"/>
        <v>1.2345679012345678</v>
      </c>
      <c r="U26" s="149">
        <f t="shared" si="9"/>
        <v>1.2345679012345678</v>
      </c>
      <c r="V26" s="149">
        <f t="shared" si="9"/>
        <v>1.2345679012345678</v>
      </c>
      <c r="W26" s="149">
        <f t="shared" si="9"/>
        <v>1.2345679012345678</v>
      </c>
      <c r="X26" s="149">
        <f t="shared" si="9"/>
        <v>1.2345679012345678</v>
      </c>
      <c r="Y26" s="149">
        <f t="shared" si="9"/>
        <v>1.2345679012345678</v>
      </c>
      <c r="Z26" s="149">
        <f t="shared" si="9"/>
        <v>1.2345679012345678</v>
      </c>
      <c r="AA26" s="149">
        <f t="shared" si="9"/>
        <v>1.2345679012345678</v>
      </c>
      <c r="AB26" s="149">
        <f t="shared" si="9"/>
        <v>1.2345679012345678</v>
      </c>
      <c r="AC26" s="149">
        <f t="shared" si="9"/>
        <v>1.2345679012345678</v>
      </c>
      <c r="AD26" s="149">
        <f t="shared" si="9"/>
        <v>1.2345679012345678</v>
      </c>
      <c r="AE26" s="149">
        <f t="shared" si="9"/>
        <v>1.2345679012345678</v>
      </c>
      <c r="AF26" s="149">
        <f t="shared" si="9"/>
        <v>1.2345679012345678</v>
      </c>
      <c r="AG26" s="149">
        <f t="shared" si="9"/>
        <v>1.2345679012345678</v>
      </c>
      <c r="AH26" s="149">
        <f t="shared" si="9"/>
        <v>1.2345679012345678</v>
      </c>
      <c r="AI26" s="149">
        <f t="shared" si="9"/>
        <v>1.2345679012345678</v>
      </c>
    </row>
    <row r="27" spans="1:35" ht="15" customHeight="1">
      <c r="A27"/>
      <c r="B27" s="68"/>
      <c r="C27" s="68"/>
      <c r="D27" s="68"/>
      <c r="E27" s="68"/>
      <c r="F27" s="68"/>
      <c r="G27" s="68"/>
      <c r="H27" s="68"/>
      <c r="I27" s="68"/>
      <c r="J27" s="68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</row>
    <row r="28" spans="1:35" ht="15" customHeight="1">
      <c r="A28"/>
      <c r="B28" s="68"/>
      <c r="C28" s="68"/>
      <c r="D28" s="68"/>
      <c r="E28" s="49" t="s">
        <v>163</v>
      </c>
      <c r="F28" s="68"/>
      <c r="G28" s="91" t="s">
        <v>150</v>
      </c>
      <c r="H28" s="68"/>
      <c r="I28" s="68"/>
      <c r="J28" s="68"/>
      <c r="K28" s="130">
        <f t="shared" ref="K28:AI28" si="10">K24 * K26</f>
        <v>0</v>
      </c>
      <c r="L28" s="130">
        <f t="shared" si="10"/>
        <v>0</v>
      </c>
      <c r="M28" s="130">
        <f t="shared" si="10"/>
        <v>0</v>
      </c>
      <c r="N28" s="130">
        <f t="shared" si="10"/>
        <v>0</v>
      </c>
      <c r="O28" s="130">
        <f t="shared" si="10"/>
        <v>0</v>
      </c>
      <c r="P28" s="130">
        <f t="shared" si="10"/>
        <v>0</v>
      </c>
      <c r="Q28" s="130">
        <f t="shared" si="10"/>
        <v>0</v>
      </c>
      <c r="R28" s="130">
        <f t="shared" si="10"/>
        <v>0</v>
      </c>
      <c r="S28" s="130">
        <f t="shared" si="10"/>
        <v>0</v>
      </c>
      <c r="T28" s="130">
        <f t="shared" si="10"/>
        <v>1.3630630492414655</v>
      </c>
      <c r="U28" s="130">
        <f t="shared" si="10"/>
        <v>2.6254288478701624</v>
      </c>
      <c r="V28" s="130">
        <f t="shared" si="10"/>
        <v>3.1117673758123776</v>
      </c>
      <c r="W28" s="130">
        <f t="shared" si="10"/>
        <v>3.5730685731870708</v>
      </c>
      <c r="X28" s="130">
        <f t="shared" si="10"/>
        <v>3.93562571488668</v>
      </c>
      <c r="Y28" s="130">
        <f t="shared" si="10"/>
        <v>4.1079720758192639</v>
      </c>
      <c r="Z28" s="130">
        <f t="shared" si="10"/>
        <v>4.8065802802523985</v>
      </c>
      <c r="AA28" s="130">
        <f t="shared" si="10"/>
        <v>4.4290507472291782</v>
      </c>
      <c r="AB28" s="130">
        <f t="shared" si="10"/>
        <v>4.9702272730519041</v>
      </c>
      <c r="AC28" s="130">
        <f t="shared" si="10"/>
        <v>5.502800463860682</v>
      </c>
      <c r="AD28" s="130">
        <f t="shared" si="10"/>
        <v>5.5994846906181097</v>
      </c>
      <c r="AE28" s="130">
        <f t="shared" si="10"/>
        <v>6.2459510533977998</v>
      </c>
      <c r="AF28" s="130">
        <f t="shared" si="10"/>
        <v>6.7676358801545531</v>
      </c>
      <c r="AG28" s="130">
        <f t="shared" si="10"/>
        <v>7.2856464872653603</v>
      </c>
      <c r="AH28" s="130">
        <f t="shared" si="10"/>
        <v>7.801338230289149</v>
      </c>
      <c r="AI28" s="130">
        <f t="shared" si="10"/>
        <v>0</v>
      </c>
    </row>
    <row r="29" spans="1:35" ht="15" customHeight="1">
      <c r="A29"/>
      <c r="B29" s="68"/>
      <c r="C29" s="68"/>
      <c r="D29" s="68"/>
      <c r="E29" s="68"/>
      <c r="F29" s="68"/>
      <c r="G29" s="68"/>
      <c r="H29" s="68"/>
      <c r="I29" s="68"/>
      <c r="J29" s="68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</row>
    <row r="30" spans="1:35" ht="15" customHeight="1">
      <c r="A30"/>
      <c r="B30" s="82" t="s">
        <v>164</v>
      </c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</row>
    <row r="31" spans="1:35" ht="15" customHeight="1">
      <c r="A31"/>
      <c r="B31" s="90"/>
      <c r="C31" s="90"/>
      <c r="D31" s="90"/>
      <c r="E31" s="39"/>
      <c r="F31" s="39"/>
      <c r="G31" s="39"/>
      <c r="H31" s="39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</row>
    <row r="32" spans="1:35" ht="15" customHeight="1">
      <c r="A32"/>
      <c r="B32" s="90"/>
      <c r="C32" s="90"/>
      <c r="D32" s="90"/>
      <c r="E32" s="90" t="s">
        <v>163</v>
      </c>
      <c r="F32" s="39"/>
      <c r="G32" s="70" t="str">
        <f>Inputs!$I$11</f>
        <v>£m 16/17 prices</v>
      </c>
      <c r="H32" s="39"/>
      <c r="I32" s="39"/>
      <c r="J32" s="35"/>
      <c r="K32" s="90">
        <f>'Tax Floor'!K28 / 'Tax Deductions'!K$11</f>
        <v>0</v>
      </c>
      <c r="L32" s="90">
        <f>'Tax Floor'!L28 / 'Tax Deductions'!L$11</f>
        <v>0</v>
      </c>
      <c r="M32" s="90">
        <f>'Tax Floor'!M28 / 'Tax Deductions'!M$11</f>
        <v>0</v>
      </c>
      <c r="N32" s="90">
        <f>'Tax Floor'!N28 / 'Tax Deductions'!N$11</f>
        <v>0</v>
      </c>
      <c r="O32" s="90">
        <f>'Tax Floor'!O28 / 'Tax Deductions'!O$11</f>
        <v>0</v>
      </c>
      <c r="P32" s="90">
        <f>'Tax Floor'!P28 / 'Tax Deductions'!P$11</f>
        <v>0</v>
      </c>
      <c r="Q32" s="90">
        <f>'Tax Floor'!Q28 / 'Tax Deductions'!Q$11</f>
        <v>0</v>
      </c>
      <c r="R32" s="90">
        <f>'Tax Floor'!R28 / 'Tax Deductions'!R$11</f>
        <v>0</v>
      </c>
      <c r="S32" s="90">
        <f>'Tax Floor'!S28 / 'Tax Deductions'!S$11</f>
        <v>0</v>
      </c>
      <c r="T32" s="90">
        <f>'Tax Floor'!T28 / 'Tax Deductions'!T$11</f>
        <v>0.87910757478805057</v>
      </c>
      <c r="U32" s="90">
        <f>'Tax Floor'!U28 / 'Tax Deductions'!U$11</f>
        <v>1.6401302337017603</v>
      </c>
      <c r="V32" s="90">
        <f>'Tax Floor'!V28 / 'Tax Deductions'!V$11</f>
        <v>1.882943153919614</v>
      </c>
      <c r="W32" s="90">
        <f>'Tax Floor'!W28 / 'Tax Deductions'!W$11</f>
        <v>2.0942254875509541</v>
      </c>
      <c r="X32" s="90">
        <f>'Tax Floor'!X28 / 'Tax Deductions'!X$11</f>
        <v>2.2343329150012075</v>
      </c>
      <c r="Y32" s="90">
        <f>'Tax Floor'!Y28 / 'Tax Deductions'!Y$11</f>
        <v>2.2589862150715807</v>
      </c>
      <c r="Z32" s="90">
        <f>'Tax Floor'!Z28 / 'Tax Deductions'!Z$11</f>
        <v>2.5602024122912108</v>
      </c>
      <c r="AA32" s="90">
        <f>'Tax Floor'!AA28 / 'Tax Deductions'!AA$11</f>
        <v>2.2850765978152783</v>
      </c>
      <c r="AB32" s="90">
        <f>'Tax Floor'!AB28 / 'Tax Deductions'!AB$11</f>
        <v>2.4838099268717002</v>
      </c>
      <c r="AC32" s="90">
        <f>'Tax Floor'!AC28 / 'Tax Deductions'!AC$11</f>
        <v>2.6636544229832393</v>
      </c>
      <c r="AD32" s="90">
        <f>'Tax Floor'!AD28 / 'Tax Deductions'!AD$11</f>
        <v>2.6253921369026179</v>
      </c>
      <c r="AE32" s="90">
        <f>'Tax Floor'!AE28 / 'Tax Deductions'!AE$11</f>
        <v>2.8365908605366887</v>
      </c>
      <c r="AF32" s="90">
        <f>'Tax Floor'!AF28 / 'Tax Deductions'!AF$11</f>
        <v>2.9770567340739245</v>
      </c>
      <c r="AG32" s="90">
        <f>'Tax Floor'!AG28 / 'Tax Deductions'!AG$11</f>
        <v>3.1043467530746911</v>
      </c>
      <c r="AH32" s="90">
        <f>'Tax Floor'!AH28 / 'Tax Deductions'!AH$11</f>
        <v>3.219758085202078</v>
      </c>
      <c r="AI32" s="90">
        <f>'Tax Floor'!AI28 / 'Tax Deductions'!AI$11</f>
        <v>0</v>
      </c>
    </row>
    <row r="33" spans="1:35" ht="15" customHeight="1">
      <c r="A33"/>
      <c r="B33" s="90"/>
      <c r="C33" s="90"/>
      <c r="D33" s="90"/>
      <c r="E33" s="90" t="s">
        <v>68</v>
      </c>
      <c r="F33" s="39"/>
      <c r="G33" s="70" t="str">
        <f>'Allowances Floor'!G24</f>
        <v>scalar</v>
      </c>
      <c r="H33" s="39"/>
      <c r="I33" s="39"/>
      <c r="J33" s="35"/>
      <c r="K33" s="154">
        <f>'Allowances Floor'!K24</f>
        <v>1.0021044192804891</v>
      </c>
      <c r="L33" s="154">
        <f>'Allowances Floor'!L24</f>
        <v>1.0042132671414861</v>
      </c>
      <c r="M33" s="154">
        <f>'Allowances Floor'!M24</f>
        <v>1.0063265529025816</v>
      </c>
      <c r="N33" s="154">
        <f>'Allowances Floor'!N24</f>
        <v>1.0084442859029779</v>
      </c>
      <c r="O33" s="154">
        <f>'Allowances Floor'!O24</f>
        <v>1.0105664755015311</v>
      </c>
      <c r="P33" s="154">
        <f>'Allowances Floor'!P24</f>
        <v>1.0126931310767924</v>
      </c>
      <c r="Q33" s="154">
        <f>'Allowances Floor'!Q24</f>
        <v>1.0148242620270491</v>
      </c>
      <c r="R33" s="154">
        <f>'Allowances Floor'!R24</f>
        <v>1.016959877770367</v>
      </c>
      <c r="S33" s="154">
        <f>'Allowances Floor'!S24</f>
        <v>1.0190999877446307</v>
      </c>
      <c r="T33" s="154">
        <f>'Allowances Floor'!T24</f>
        <v>1.0212446014075867</v>
      </c>
      <c r="U33" s="154">
        <f>'Allowances Floor'!U24</f>
        <v>1.0233937282368841</v>
      </c>
      <c r="V33" s="154">
        <f>'Allowances Floor'!V24</f>
        <v>1.0255473777301174</v>
      </c>
      <c r="W33" s="154">
        <f>'Allowances Floor'!W24</f>
        <v>1.0277055594048676</v>
      </c>
      <c r="X33" s="154">
        <f>'Allowances Floor'!X24</f>
        <v>1.0298682827987451</v>
      </c>
      <c r="Y33" s="154">
        <f>'Allowances Floor'!Y24</f>
        <v>1.0320355574694309</v>
      </c>
      <c r="Z33" s="154">
        <f>'Allowances Floor'!Z24</f>
        <v>1.0342073929947198</v>
      </c>
      <c r="AA33" s="154">
        <f>'Allowances Floor'!AA24</f>
        <v>1.0363837989725622</v>
      </c>
      <c r="AB33" s="154">
        <f>'Allowances Floor'!AB24</f>
        <v>1.0385647850211064</v>
      </c>
      <c r="AC33" s="154">
        <f>'Allowances Floor'!AC24</f>
        <v>1.0407503607787418</v>
      </c>
      <c r="AD33" s="154">
        <f>'Allowances Floor'!AD24</f>
        <v>1.0429405359041406</v>
      </c>
      <c r="AE33" s="154">
        <f>'Allowances Floor'!AE24</f>
        <v>1.0451353200763007</v>
      </c>
      <c r="AF33" s="154">
        <f>'Allowances Floor'!AF24</f>
        <v>1.0473347229945895</v>
      </c>
      <c r="AG33" s="154">
        <f>'Allowances Floor'!AG24</f>
        <v>1.0495387543787849</v>
      </c>
      <c r="AH33" s="154">
        <f>'Allowances Floor'!AH24</f>
        <v>1.0517474239691202</v>
      </c>
      <c r="AI33" s="154">
        <f>'Allowances Floor'!AI24</f>
        <v>1.0539607415263255</v>
      </c>
    </row>
    <row r="34" spans="1:35" ht="15" customHeight="1">
      <c r="A34"/>
      <c r="B34" s="117"/>
      <c r="C34" s="117"/>
      <c r="D34" s="117"/>
      <c r="E34" s="117"/>
      <c r="F34" s="117"/>
      <c r="G34" s="145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</row>
    <row r="35" spans="1:35" ht="15" customHeight="1">
      <c r="A35"/>
      <c r="B35" s="90"/>
      <c r="C35" s="90"/>
      <c r="D35" s="90"/>
      <c r="E35" s="39" t="s">
        <v>165</v>
      </c>
      <c r="F35" s="39"/>
      <c r="G35" s="70" t="str">
        <f>Inputs!$I$11</f>
        <v>£m 16/17 prices</v>
      </c>
      <c r="H35" s="39"/>
      <c r="I35" s="39"/>
      <c r="J35" s="35"/>
      <c r="K35" s="130">
        <f>K32*K33</f>
        <v>0</v>
      </c>
      <c r="L35" s="130">
        <f t="shared" ref="L35:AI35" si="11">L32*L33</f>
        <v>0</v>
      </c>
      <c r="M35" s="130">
        <f t="shared" si="11"/>
        <v>0</v>
      </c>
      <c r="N35" s="130">
        <f t="shared" si="11"/>
        <v>0</v>
      </c>
      <c r="O35" s="130">
        <f t="shared" si="11"/>
        <v>0</v>
      </c>
      <c r="P35" s="130">
        <f t="shared" si="11"/>
        <v>0</v>
      </c>
      <c r="Q35" s="130">
        <f t="shared" si="11"/>
        <v>0</v>
      </c>
      <c r="R35" s="130">
        <f t="shared" si="11"/>
        <v>0</v>
      </c>
      <c r="S35" s="130">
        <f t="shared" si="11"/>
        <v>0</v>
      </c>
      <c r="T35" s="130">
        <f t="shared" si="11"/>
        <v>0.89778386480881289</v>
      </c>
      <c r="U35" s="130">
        <f t="shared" si="11"/>
        <v>1.6784989946620765</v>
      </c>
      <c r="V35" s="130">
        <f t="shared" si="11"/>
        <v>1.931047413917137</v>
      </c>
      <c r="W35" s="130">
        <f t="shared" si="11"/>
        <v>2.1522471762034847</v>
      </c>
      <c r="X35" s="130">
        <f t="shared" si="11"/>
        <v>2.3010686023730078</v>
      </c>
      <c r="Y35" s="130">
        <f t="shared" si="11"/>
        <v>2.3313540977871585</v>
      </c>
      <c r="Z35" s="130">
        <f t="shared" si="11"/>
        <v>2.6477802623544857</v>
      </c>
      <c r="AA35" s="130">
        <f t="shared" si="11"/>
        <v>2.3682163653870956</v>
      </c>
      <c r="AB35" s="130">
        <f t="shared" si="11"/>
        <v>2.5795975227347974</v>
      </c>
      <c r="AC35" s="130">
        <f t="shared" si="11"/>
        <v>2.7721993017096977</v>
      </c>
      <c r="AD35" s="130">
        <f t="shared" si="11"/>
        <v>2.7381278822197332</v>
      </c>
      <c r="AE35" s="130">
        <f t="shared" si="11"/>
        <v>2.9646212969525214</v>
      </c>
      <c r="AF35" s="130">
        <f t="shared" si="11"/>
        <v>3.1179748899204909</v>
      </c>
      <c r="AG35" s="130">
        <f t="shared" si="11"/>
        <v>3.2581322243818365</v>
      </c>
      <c r="AH35" s="130">
        <f t="shared" si="11"/>
        <v>3.3863722719150329</v>
      </c>
      <c r="AI35" s="130">
        <f t="shared" si="11"/>
        <v>0</v>
      </c>
    </row>
    <row r="36" spans="1:35" ht="15" customHeight="1">
      <c r="A36"/>
      <c r="B36" s="90"/>
      <c r="C36" s="90"/>
      <c r="D36" s="90"/>
      <c r="E36" s="39" t="s">
        <v>166</v>
      </c>
      <c r="F36" s="39"/>
      <c r="G36" s="70" t="str">
        <f>Inputs!$I$11</f>
        <v>£m 16/17 prices</v>
      </c>
      <c r="H36" s="39"/>
      <c r="I36" s="74">
        <f>SUM(K35:AI35)</f>
        <v>37.125022167327373</v>
      </c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</row>
    <row r="37" spans="1:35" ht="15" customHeight="1">
      <c r="A37"/>
      <c r="B37" s="90"/>
      <c r="C37" s="90"/>
      <c r="D37" s="90"/>
      <c r="E37" s="39"/>
      <c r="F37" s="39"/>
      <c r="G37" s="68"/>
      <c r="H37" s="39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</row>
    <row r="38" spans="1:35" ht="15" customHeight="1">
      <c r="A38"/>
      <c r="B38" s="90"/>
      <c r="C38" s="90"/>
      <c r="D38" s="90"/>
      <c r="E38" s="39" t="s">
        <v>66</v>
      </c>
      <c r="F38" s="39"/>
      <c r="G38" s="68" t="str">
        <f>'Allowances Floor'!G31</f>
        <v>scalar</v>
      </c>
      <c r="H38" s="39"/>
      <c r="I38" s="152">
        <f>'Allowances Floor'!I31</f>
        <v>3.8917182021590405E-2</v>
      </c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</row>
    <row r="39" spans="1:35" ht="15" customHeight="1">
      <c r="A39"/>
      <c r="B39" s="90"/>
      <c r="C39" s="90"/>
      <c r="D39" s="90"/>
      <c r="E39" s="39"/>
      <c r="F39" s="39"/>
      <c r="G39" s="68"/>
      <c r="H39" s="39"/>
      <c r="I39" s="39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</row>
    <row r="40" spans="1:35" ht="15" customHeight="1">
      <c r="A40"/>
      <c r="B40" s="90"/>
      <c r="C40" s="90"/>
      <c r="D40" s="90"/>
      <c r="E40" s="39" t="s">
        <v>167</v>
      </c>
      <c r="F40" s="39"/>
      <c r="G40" s="70" t="str">
        <f>Inputs!$I$11</f>
        <v>£m 16/17 prices</v>
      </c>
      <c r="H40" s="39"/>
      <c r="I40" s="120">
        <f>I36 * I38</f>
        <v>1.444801245241458</v>
      </c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</row>
    <row r="41" spans="1:35" ht="15" customHeight="1">
      <c r="A41"/>
      <c r="B41" s="90"/>
      <c r="C41" s="90"/>
      <c r="D41" s="90"/>
      <c r="E41" s="39"/>
      <c r="F41" s="39"/>
      <c r="G41" s="39"/>
      <c r="H41" s="39"/>
      <c r="I41" s="39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</row>
    <row r="42" spans="1:35" ht="15" customHeight="1">
      <c r="A42"/>
      <c r="B42" s="188" t="s">
        <v>8</v>
      </c>
      <c r="C42" s="82"/>
      <c r="D42" s="82"/>
      <c r="E42" s="82"/>
      <c r="F42" s="82"/>
      <c r="G42" s="82"/>
      <c r="H42" s="82"/>
      <c r="I42" s="30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</row>
    <row r="43" spans="1:35" ht="15" customHeight="1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</row>
    <row r="44" spans="1:35" ht="15" hidden="1" customHeight="1">
      <c r="A44" s="90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</row>
    <row r="45" spans="1:35" ht="15" hidden="1" customHeight="1">
      <c r="A45" s="90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</row>
    <row r="46" spans="1:35" ht="15" hidden="1" customHeight="1">
      <c r="A46" s="90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</row>
    <row r="47" spans="1:35" ht="15" hidden="1" customHeight="1">
      <c r="A47" s="90"/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</row>
    <row r="48" spans="1:35" ht="15" hidden="1" customHeight="1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</row>
    <row r="49" spans="1:35" ht="15" hidden="1" customHeight="1">
      <c r="A49" s="90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</row>
    <row r="50" spans="1:35" ht="15" hidden="1" customHeight="1">
      <c r="A50" s="90"/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</row>
    <row r="51" spans="1:35" ht="15" hidden="1" customHeight="1">
      <c r="A51" s="90"/>
      <c r="B51" s="90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  <c r="AG51" s="90"/>
      <c r="AH51" s="90"/>
      <c r="AI51" s="90"/>
    </row>
    <row r="52" spans="1:35" ht="15" hidden="1" customHeight="1">
      <c r="A52" s="90"/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</row>
    <row r="53" spans="1:35" ht="15" hidden="1" customHeight="1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</row>
    <row r="54" spans="1:35" ht="15" hidden="1" customHeight="1">
      <c r="A54" s="90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</row>
    <row r="55" spans="1:35" ht="15" hidden="1" customHeight="1">
      <c r="A55" s="90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</row>
    <row r="56" spans="1:35" ht="15" hidden="1" customHeight="1">
      <c r="A56" s="90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</row>
    <row r="57" spans="1:35" ht="15" hidden="1" customHeight="1">
      <c r="A57" s="90"/>
      <c r="B57" s="90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  <c r="AG57" s="90"/>
      <c r="AH57" s="90"/>
      <c r="AI57" s="90"/>
    </row>
    <row r="58" spans="1:35" ht="15" hidden="1" customHeight="1">
      <c r="A58" s="90"/>
      <c r="B58" s="90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</row>
    <row r="59" spans="1:35" ht="15" hidden="1" customHeight="1">
      <c r="A59" s="90"/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</row>
    <row r="60" spans="1:35" ht="15" hidden="1" customHeight="1">
      <c r="A60" s="90"/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</row>
  </sheetData>
  <sheetProtection algorithmName="SHA-512" hashValue="VfEizVjtaiqXMwxRMUeWzjNzPHX9iX0Acv6QXUBDJuQ+pituH1Nmn0U198k2WzMKtPGqvMosXazCM+7amkfDuw==" saltValue="wLridlhiUPxqyDviz2szgA==" spinCount="100000" sheet="1" objects="1" scenarios="1"/>
  <pageMargins left="0.23622047244094491" right="0.23622047244094491" top="0.74803149606299213" bottom="0.74803149606299213" header="0.31496062992125984" footer="0.31496062992125984"/>
  <pageSetup paperSize="8" scale="4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6" tint="0.59999389629810485"/>
    <pageSetUpPr fitToPage="1"/>
  </sheetPr>
  <dimension ref="A1:AT27"/>
  <sheetViews>
    <sheetView tabSelected="1" zoomScale="110" zoomScaleNormal="110" workbookViewId="0">
      <pane xSplit="10" ySplit="2" topLeftCell="K3" activePane="bottomRight" state="frozen"/>
      <selection pane="topRight"/>
      <selection pane="bottomLeft"/>
      <selection pane="bottomRight" activeCell="E9" sqref="E9"/>
    </sheetView>
  </sheetViews>
  <sheetFormatPr defaultColWidth="0" defaultRowHeight="15" customHeight="1" zeroHeight="1"/>
  <cols>
    <col min="1" max="3" width="2.59765625" style="32" customWidth="1"/>
    <col min="4" max="4" width="2.59765625" style="21" customWidth="1"/>
    <col min="5" max="5" width="72.09765625" style="21" bestFit="1" customWidth="1"/>
    <col min="6" max="6" width="1.59765625" style="21" customWidth="1"/>
    <col min="7" max="7" width="15.59765625" style="21" customWidth="1"/>
    <col min="8" max="8" width="10.8984375" style="21" bestFit="1" customWidth="1"/>
    <col min="9" max="9" width="11.3984375" style="21" bestFit="1" customWidth="1"/>
    <col min="10" max="10" width="3.09765625" customWidth="1"/>
    <col min="11" max="21" width="10.59765625" hidden="1" customWidth="1"/>
    <col min="22" max="22" width="11.296875" hidden="1" customWidth="1"/>
    <col min="23" max="39" width="13.8984375" hidden="1" customWidth="1"/>
    <col min="40" max="40" width="12.59765625" hidden="1" customWidth="1"/>
    <col min="41" max="46" width="13.8984375" hidden="1" customWidth="1"/>
    <col min="47" max="16384" width="9.09765625" hidden="1"/>
  </cols>
  <sheetData>
    <row r="1" spans="1:9" ht="15" customHeight="1">
      <c r="A1" s="242" t="s">
        <v>250</v>
      </c>
      <c r="B1" s="16"/>
      <c r="C1" s="16"/>
      <c r="D1" s="16"/>
      <c r="E1" s="16"/>
      <c r="F1" s="16"/>
      <c r="G1" s="16"/>
      <c r="H1" s="16" t="s">
        <v>73</v>
      </c>
      <c r="I1" s="16"/>
    </row>
    <row r="2" spans="1:9" ht="15" customHeight="1">
      <c r="A2" s="16"/>
      <c r="B2" s="16"/>
      <c r="C2" s="16"/>
      <c r="D2" s="16"/>
      <c r="E2" s="18" t="s">
        <v>3</v>
      </c>
      <c r="F2" s="18"/>
      <c r="G2" s="18" t="s">
        <v>2</v>
      </c>
      <c r="H2" s="18" t="s">
        <v>74</v>
      </c>
      <c r="I2" s="18" t="s">
        <v>1</v>
      </c>
    </row>
    <row r="3" spans="1:9" ht="15" customHeight="1">
      <c r="I3" s="33"/>
    </row>
    <row r="4" spans="1:9" ht="15" customHeight="1">
      <c r="A4" s="84"/>
      <c r="B4" s="188" t="s">
        <v>209</v>
      </c>
      <c r="C4" s="72"/>
      <c r="D4" s="72"/>
      <c r="E4" s="72"/>
      <c r="F4" s="72"/>
      <c r="G4" s="72"/>
      <c r="H4" s="72"/>
      <c r="I4" s="72"/>
    </row>
    <row r="5" spans="1:9" ht="15" customHeight="1">
      <c r="A5" s="84"/>
      <c r="B5" s="84"/>
      <c r="C5" s="83"/>
      <c r="D5" s="83"/>
      <c r="E5" s="83"/>
      <c r="F5" s="83"/>
      <c r="G5" s="83"/>
      <c r="H5" s="83"/>
      <c r="I5" s="85"/>
    </row>
    <row r="6" spans="1:9" ht="15" customHeight="1">
      <c r="A6" s="90"/>
      <c r="B6" s="90"/>
      <c r="C6" s="13" t="s">
        <v>210</v>
      </c>
      <c r="D6" s="81"/>
      <c r="E6" s="81"/>
      <c r="F6" s="81"/>
      <c r="G6" s="81"/>
      <c r="H6" s="81"/>
      <c r="I6" s="81"/>
    </row>
    <row r="7" spans="1:9" ht="15" customHeight="1">
      <c r="A7" s="90"/>
      <c r="B7" s="90"/>
      <c r="C7" s="3" t="s">
        <v>288</v>
      </c>
      <c r="D7" s="3"/>
      <c r="E7" s="3"/>
      <c r="F7" s="39"/>
      <c r="G7" s="39"/>
      <c r="H7" s="39"/>
      <c r="I7" s="39"/>
    </row>
    <row r="8" spans="1:9" ht="15" customHeight="1">
      <c r="A8"/>
      <c r="B8" s="90"/>
      <c r="C8" s="90"/>
      <c r="D8" s="90"/>
      <c r="E8" s="90" t="s">
        <v>201</v>
      </c>
      <c r="F8" s="39"/>
      <c r="G8" s="70" t="str">
        <f>Inputs!$I$11</f>
        <v>£m 16/17 prices</v>
      </c>
      <c r="H8" s="39"/>
      <c r="I8" s="266">
        <f>'Allowances Cap'!$I33</f>
        <v>55.318600871218877</v>
      </c>
    </row>
    <row r="9" spans="1:9" ht="15" customHeight="1">
      <c r="A9"/>
      <c r="B9" s="90"/>
      <c r="C9" s="90"/>
      <c r="D9" s="90"/>
      <c r="E9" s="90" t="s">
        <v>202</v>
      </c>
      <c r="F9" s="39"/>
      <c r="G9" s="70" t="str">
        <f>Inputs!$I$11</f>
        <v>£m 16/17 prices</v>
      </c>
      <c r="H9" s="39"/>
      <c r="I9" s="266">
        <f>'Allowances Floor'!$I33</f>
        <v>36.324716957799104</v>
      </c>
    </row>
    <row r="10" spans="1:9" ht="15" customHeight="1">
      <c r="A10" s="185"/>
      <c r="B10" s="90"/>
      <c r="C10" s="90"/>
      <c r="D10" s="90"/>
      <c r="E10" s="39"/>
      <c r="F10" s="39"/>
      <c r="G10" s="68"/>
      <c r="H10" s="39"/>
      <c r="I10" s="104"/>
    </row>
    <row r="11" spans="1:9" ht="13">
      <c r="A11"/>
      <c r="B11" s="90"/>
      <c r="C11" s="90"/>
      <c r="D11" s="90"/>
      <c r="E11" s="69" t="s">
        <v>203</v>
      </c>
      <c r="F11" s="39"/>
      <c r="G11" s="70" t="str">
        <f>Inputs!$I$11</f>
        <v>£m 16/17 prices</v>
      </c>
      <c r="H11" s="39"/>
      <c r="I11" s="266">
        <f>IF(Inputs!$I$123="No",'Tax Cap'!I40,0)</f>
        <v>5.0790701498717201</v>
      </c>
    </row>
    <row r="12" spans="1:9" ht="13">
      <c r="A12"/>
      <c r="B12" s="90"/>
      <c r="C12" s="90"/>
      <c r="D12" s="90"/>
      <c r="E12" s="69" t="s">
        <v>204</v>
      </c>
      <c r="F12" s="39"/>
      <c r="G12" s="70" t="str">
        <f>Inputs!$I$11</f>
        <v>£m 16/17 prices</v>
      </c>
      <c r="H12" s="39"/>
      <c r="I12" s="266">
        <f>IF(Inputs!$I$123="No",'Tax Floor'!I40,0)</f>
        <v>1.444801245241458</v>
      </c>
    </row>
    <row r="13" spans="1:9" ht="15" customHeight="1">
      <c r="A13"/>
      <c r="B13" s="70"/>
      <c r="C13" s="70"/>
      <c r="D13" s="70"/>
      <c r="E13" s="183"/>
      <c r="F13" s="68"/>
      <c r="G13" s="70"/>
      <c r="H13" s="68"/>
      <c r="I13" s="184"/>
    </row>
    <row r="14" spans="1:9" ht="15" customHeight="1">
      <c r="A14"/>
      <c r="B14" s="90"/>
      <c r="C14" s="90"/>
      <c r="D14" s="90"/>
      <c r="E14" s="69" t="s">
        <v>213</v>
      </c>
      <c r="F14" s="39"/>
      <c r="G14" s="70" t="str">
        <f>Inputs!$I$11</f>
        <v>£m 16/17 prices</v>
      </c>
      <c r="H14" s="39"/>
      <c r="I14" s="201"/>
    </row>
    <row r="15" spans="1:9" ht="15" customHeight="1">
      <c r="A15"/>
      <c r="B15" s="90"/>
      <c r="C15" s="90"/>
      <c r="D15" s="90"/>
      <c r="E15" s="69" t="s">
        <v>214</v>
      </c>
      <c r="F15" s="39"/>
      <c r="G15" s="70" t="str">
        <f>Inputs!$I$11</f>
        <v>£m 16/17 prices</v>
      </c>
      <c r="H15" s="39"/>
      <c r="I15" s="201"/>
    </row>
    <row r="16" spans="1:9" ht="15" customHeight="1">
      <c r="A16"/>
      <c r="B16" s="90"/>
      <c r="C16" s="90"/>
      <c r="D16" s="90"/>
      <c r="E16" s="39"/>
      <c r="F16" s="39"/>
      <c r="G16" s="68"/>
      <c r="H16" s="39"/>
      <c r="I16" s="104"/>
    </row>
    <row r="17" spans="1:9" ht="13">
      <c r="A17"/>
      <c r="B17" s="90"/>
      <c r="C17" s="90"/>
      <c r="D17" s="90"/>
      <c r="E17" s="90" t="s">
        <v>205</v>
      </c>
      <c r="F17" s="39"/>
      <c r="G17" s="70" t="str">
        <f>Inputs!$I$11</f>
        <v>£m 16/17 prices</v>
      </c>
      <c r="H17" s="39"/>
      <c r="I17" s="179">
        <f>I8+IF(Inputs!$I$123="Yes",I14,I11)</f>
        <v>60.397671021090595</v>
      </c>
    </row>
    <row r="18" spans="1:9" ht="13">
      <c r="A18"/>
      <c r="B18" s="90"/>
      <c r="C18" s="90"/>
      <c r="D18" s="90"/>
      <c r="E18" s="90" t="s">
        <v>206</v>
      </c>
      <c r="F18" s="39"/>
      <c r="G18" s="70" t="str">
        <f>Inputs!$I$11</f>
        <v>£m 16/17 prices</v>
      </c>
      <c r="H18" s="39"/>
      <c r="I18" s="180">
        <f>I9+IF(Inputs!$I$123="Yes",I15,I12)</f>
        <v>37.769518203040562</v>
      </c>
    </row>
    <row r="19" spans="1:9" ht="15" customHeight="1">
      <c r="A19" s="185"/>
      <c r="B19" s="90"/>
      <c r="C19" s="90"/>
      <c r="D19" s="90"/>
      <c r="E19" s="39"/>
      <c r="F19" s="39"/>
      <c r="G19" s="68"/>
      <c r="H19" s="39"/>
      <c r="I19" s="104"/>
    </row>
    <row r="20" spans="1:9" ht="15" customHeight="1">
      <c r="A20"/>
      <c r="B20" s="84"/>
      <c r="C20" s="84"/>
      <c r="D20" s="83"/>
      <c r="E20" s="83" t="s">
        <v>199</v>
      </c>
      <c r="F20" s="83"/>
      <c r="G20" s="70" t="str">
        <f>Inputs!$I$11</f>
        <v>£m 16/17 prices</v>
      </c>
      <c r="H20" s="83" t="s">
        <v>120</v>
      </c>
      <c r="I20" s="201">
        <v>50.695857535181297</v>
      </c>
    </row>
    <row r="21" spans="1:9" ht="15" customHeight="1">
      <c r="A21"/>
      <c r="B21" s="84"/>
      <c r="C21" s="83"/>
      <c r="D21" s="83"/>
      <c r="E21" s="83" t="s">
        <v>200</v>
      </c>
      <c r="F21" s="83"/>
      <c r="G21" s="70" t="str">
        <f>Inputs!$I$11</f>
        <v>£m 16/17 prices</v>
      </c>
      <c r="H21" s="83" t="s">
        <v>121</v>
      </c>
      <c r="I21" s="201">
        <v>27.572136438684257</v>
      </c>
    </row>
    <row r="22" spans="1:9" ht="15" customHeight="1">
      <c r="A22"/>
      <c r="B22" s="83"/>
      <c r="C22" s="84"/>
      <c r="D22" s="83"/>
      <c r="E22" s="83"/>
      <c r="F22" s="83"/>
      <c r="G22" s="52"/>
      <c r="H22" s="83"/>
      <c r="I22" s="105"/>
    </row>
    <row r="23" spans="1:9" ht="15" customHeight="1">
      <c r="A23"/>
      <c r="B23" s="83"/>
      <c r="C23" s="83"/>
      <c r="D23" s="83"/>
      <c r="E23" s="83" t="s">
        <v>207</v>
      </c>
      <c r="F23" s="83"/>
      <c r="G23" s="70" t="str">
        <f>Inputs!$I$11</f>
        <v>£m 16/17 prices</v>
      </c>
      <c r="H23" s="83" t="s">
        <v>118</v>
      </c>
      <c r="I23" s="105">
        <f>I17-I20</f>
        <v>9.7018134859092982</v>
      </c>
    </row>
    <row r="24" spans="1:9" ht="15" customHeight="1">
      <c r="A24"/>
      <c r="B24" s="83"/>
      <c r="C24" s="83"/>
      <c r="D24" s="83"/>
      <c r="E24" s="83" t="s">
        <v>208</v>
      </c>
      <c r="F24" s="83"/>
      <c r="G24" s="70" t="str">
        <f>Inputs!$I$11</f>
        <v>£m 16/17 prices</v>
      </c>
      <c r="H24" s="83" t="s">
        <v>119</v>
      </c>
      <c r="I24" s="105">
        <f>I18-I21</f>
        <v>10.197381764356305</v>
      </c>
    </row>
    <row r="25" spans="1:9" ht="15" customHeight="1">
      <c r="A25" s="90"/>
      <c r="B25" s="90"/>
      <c r="C25" s="90"/>
      <c r="D25" s="90"/>
      <c r="E25" s="39"/>
      <c r="F25" s="39"/>
      <c r="G25" s="39"/>
      <c r="H25" s="39"/>
      <c r="I25" s="39"/>
    </row>
    <row r="26" spans="1:9" ht="15" customHeight="1">
      <c r="A26" s="90"/>
      <c r="B26" s="188" t="s">
        <v>8</v>
      </c>
      <c r="C26" s="72"/>
      <c r="D26" s="72"/>
      <c r="E26" s="72"/>
      <c r="F26" s="72"/>
      <c r="G26" s="72"/>
      <c r="H26" s="72"/>
      <c r="I26" s="72"/>
    </row>
    <row r="27" spans="1:9" ht="15" customHeight="1"/>
  </sheetData>
  <sheetProtection algorithmName="SHA-512" hashValue="DP2Z0Dz2rxb1EtARnmpS2tAeBMt8nudTqMaemy8TC2w3VNWOqZGO99D94XLG205eKc/u7E4BeUudCWsYEZ9nGg==" saltValue="mE3flw5ut2gvgBdzcW3jug==" spinCount="100000" sheet="1" objects="1" scenarios="1"/>
  <pageMargins left="0.23622047244094491" right="0.23622047244094491" top="0.74803149606299213" bottom="0.74803149606299213" header="0.31496062992125984" footer="0.31496062992125984"/>
  <pageSetup paperSize="8" scale="37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plicable_x0020_Start_x0020_Date xmlns="631298fc-6a88-4548-b7d9-3b164918c4a3">2014-03-17T00:00:00+00:00</Applicable_x0020_Start_x0020_Date>
    <Applicable_x0020_Duration xmlns="eecedeb9-13b3-4e62-b003-046c92e1668a">-</Applicable_x0020_Duration>
    <_Status xmlns="http://schemas.microsoft.com/sharepoint/v3/fields">Draft</_Status>
    <Classification xmlns="631298fc-6a88-4548-b7d9-3b164918c4a3">Unclassified</Classification>
    <Organisation xmlns="eecedeb9-13b3-4e62-b003-046c92e1668a">Choose an Organisation</Organisation>
    <Descriptor xmlns="eecedeb9-13b3-4e62-b003-046c92e1668a" xsi:nil="true"/>
  </documentManagement>
</p:properties>
</file>

<file path=customXml/item2.xml><?xml version="1.0" encoding="utf-8"?>
<?mso-contentType ?>
<SharedContentType xmlns="Microsoft.SharePoint.Taxonomy.ContentTypeSync" SourceId="ca9306fc-8436-45f0-b931-e34f519be3a3" ContentTypeId="0x0101004C9F495A7355574383679A0A27B29121" PreviousValue="tru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alysis" ma:contentTypeID="0x0101004C9F495A7355574383679A0A27B291210066E449D668032F48A1F56115FC042FF7" ma:contentTypeVersion="12" ma:contentTypeDescription="This is used to create spreadsheets" ma:contentTypeScope="" ma:versionID="4e22a32efef777fb761a81a4edb4290f">
  <xsd:schema xmlns:xsd="http://www.w3.org/2001/XMLSchema" xmlns:xs="http://www.w3.org/2001/XMLSchema" xmlns:p="http://schemas.microsoft.com/office/2006/metadata/properties" xmlns:ns2="631298fc-6a88-4548-b7d9-3b164918c4a3" xmlns:ns3="eecedeb9-13b3-4e62-b003-046c92e1668a" xmlns:ns4="http://schemas.microsoft.com/sharepoint/v3/fields" targetNamespace="http://schemas.microsoft.com/office/2006/metadata/properties" ma:root="true" ma:fieldsID="d0b2daa20cdb4dc585785fae3bcf41c3" ns2:_="" ns3:_="" ns4:_="">
    <xsd:import namespace="631298fc-6a88-4548-b7d9-3b164918c4a3"/>
    <xsd:import namespace="eecedeb9-13b3-4e62-b003-046c92e1668a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Applicable_x0020_Start_x0020_Date" minOccurs="0"/>
                <xsd:element ref="ns3:Applicable_x0020_Duration" minOccurs="0"/>
                <xsd:element ref="ns3:Organisation" minOccurs="0"/>
                <xsd:element ref="ns4:_Status" minOccurs="0"/>
                <xsd:element ref="ns2:Classification" minOccurs="0"/>
                <xsd:element ref="ns3:Descript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1298fc-6a88-4548-b7d9-3b164918c4a3" elementFormDefault="qualified">
    <xsd:import namespace="http://schemas.microsoft.com/office/2006/documentManagement/types"/>
    <xsd:import namespace="http://schemas.microsoft.com/office/infopath/2007/PartnerControls"/>
    <xsd:element name="Applicable_x0020_Start_x0020_Date" ma:index="8" nillable="true" ma:displayName="Applicable Start Date" ma:description="The Starting Date for the work - format is DD/MM/YYYY" ma:format="DateOnly" ma:internalName="Applicable_x0020_Start_x0020_Date">
      <xsd:simpleType>
        <xsd:restriction base="dms:DateTime"/>
      </xsd:simpleType>
    </xsd:element>
    <xsd:element name="Classification" ma:index="12" nillable="true" ma:displayName="Classification" ma:default="Unclassified" ma:format="Dropdown" ma:hidden="true" ma:internalName="Classification" ma:readOnly="false">
      <xsd:simpleType>
        <xsd:restriction base="dms:Choice">
          <xsd:enumeration value="Unclassified"/>
          <xsd:enumeration value="Protect"/>
          <xsd:enumeration value="Restric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cedeb9-13b3-4e62-b003-046c92e1668a" elementFormDefault="qualified">
    <xsd:import namespace="http://schemas.microsoft.com/office/2006/documentManagement/types"/>
    <xsd:import namespace="http://schemas.microsoft.com/office/infopath/2007/PartnerControls"/>
    <xsd:element name="Applicable_x0020_Duration" ma:index="9" nillable="true" ma:displayName="Applicable Duration" ma:default="-" ma:description="For how long is this document applicable, from the Applicable Start Date?" ma:format="Dropdown" ma:internalName="Applicable_x0020_Duration">
      <xsd:simpleType>
        <xsd:restriction base="dms:Choice">
          <xsd:enumeration value="-"/>
          <xsd:enumeration value="Day"/>
          <xsd:enumeration value="Week"/>
          <xsd:enumeration value="Month"/>
          <xsd:enumeration value="Quarter"/>
          <xsd:enumeration value="6 Months"/>
          <xsd:enumeration value="Winter"/>
          <xsd:enumeration value="Summer"/>
          <xsd:enumeration value="1 Year"/>
          <xsd:enumeration value="2 Years"/>
          <xsd:enumeration value="3 Years"/>
          <xsd:enumeration value="5 Years"/>
          <xsd:enumeration value="6 - 10 Years"/>
          <xsd:enumeration value="Enduring"/>
        </xsd:restriction>
      </xsd:simpleType>
    </xsd:element>
    <xsd:element name="Organisation" ma:index="10" nillable="true" ma:displayName="Organisation" ma:default="Choose an Organisation" ma:description="Choose from the drop-down menu or fill in a value" ma:format="Dropdown" ma:internalName="Organisation">
      <xsd:simpleType>
        <xsd:union memberTypes="dms:Text">
          <xsd:simpleType>
            <xsd:restriction base="dms:Choice">
              <xsd:enumeration value="Choose an Organisation"/>
              <xsd:enumeration value="Assoc Elec Producers"/>
              <xsd:enumeration value="Atomic Energy Auth"/>
              <xsd:enumeration value="BERR"/>
              <xsd:enumeration value="British Energy"/>
              <xsd:enumeration value="Brit Wind Energy Assoc"/>
              <xsd:enumeration value="Building Research Est"/>
              <xsd:enumeration value="Carbon Trust"/>
              <xsd:enumeration value="Cavendish"/>
              <xsd:enumeration value="Centrica"/>
              <xsd:enumeration value="Central Networks"/>
              <xsd:enumeration value="CE"/>
              <xsd:enumeration value="CEER"/>
              <xsd:enumeration value="CHPA"/>
              <xsd:enumeration value="Competition Commission"/>
              <xsd:enumeration value="DCLG"/>
              <xsd:enumeration value="DCUSA Ltd"/>
              <xsd:enumeration value="DECC"/>
              <xsd:enumeration value="DEFRA"/>
              <xsd:enumeration value="DETI (Northern Ireland)"/>
              <xsd:enumeration value="European Commission"/>
              <xsd:enumeration value="EdF"/>
              <xsd:enumeration value="Elec DNO"/>
              <xsd:enumeration value="ELEXON"/>
              <xsd:enumeration value="eon"/>
              <xsd:enumeration value="Electricity North West"/>
              <xsd:enumeration value="Energy Networks Association"/>
              <xsd:enumeration value="Energy Retail Association"/>
              <xsd:enumeration value="Energy Saving Trust"/>
              <xsd:enumeration value="energywatch"/>
              <xsd:enumeration value="ERGEG"/>
              <xsd:enumeration value="Ernst &amp; Young"/>
              <xsd:enumeration value="ESTA"/>
              <xsd:enumeration value="Gas DNs"/>
              <xsd:enumeration value="Gas Forum"/>
              <xsd:enumeration value="Gaz de France"/>
              <xsd:enumeration value="Government"/>
              <xsd:enumeration value="HM Revenue &amp; Customs"/>
              <xsd:enumeration value="HM Treasury"/>
              <xsd:enumeration value="House of Commons"/>
              <xsd:enumeration value="HSE"/>
              <xsd:enumeration value="IDNO"/>
              <xsd:enumeration value="IGT"/>
              <xsd:enumeration value="National Grid Gas"/>
              <xsd:enumeration value="National Grid Elec"/>
              <xsd:enumeration value="nPower"/>
              <xsd:enumeration value="NWOperators"/>
              <xsd:enumeration value="NEDL &amp;  YEDL"/>
              <xsd:enumeration value="Northern Gas Networks"/>
              <xsd:enumeration value="OFGEM"/>
              <xsd:enumeration value="OFREG"/>
              <xsd:enumeration value="OFT"/>
              <xsd:enumeration value="Parity"/>
              <xsd:enumeration value="Parl Renew &amp; Sustain Energy Grp"/>
              <xsd:enumeration value="Renewble Energy Assoc"/>
              <xsd:enumeration value="RWE"/>
              <xsd:enumeration value="Scotia Gas Networks"/>
              <xsd:enumeration value="Scottish and Southern"/>
              <xsd:enumeration value="Scottish Executive"/>
              <xsd:enumeration value="Scottish Power"/>
              <xsd:enumeration value="SmartestEnergy"/>
              <xsd:enumeration value="Suppliers"/>
              <xsd:enumeration value="Wales &amp; West Utilities"/>
              <xsd:enumeration value="Welsh Assembly"/>
              <xsd:enumeration value="WPD"/>
              <xsd:enumeration value="Xoserve"/>
              <xsd:enumeration value="-"/>
            </xsd:restriction>
          </xsd:simpleType>
        </xsd:union>
      </xsd:simpleType>
    </xsd:element>
    <xsd:element name="Descriptor" ma:index="13" nillable="true" ma:displayName="Descriptor" ma:format="Dropdown" ma:hidden="true" ma:internalName="Descriptor" ma:readOnly="false">
      <xsd:simpleType>
        <xsd:restriction base="dms:Choice">
          <xsd:enumeration value="Commercial"/>
          <xsd:enumeration value="Management"/>
          <xsd:enumeration value="Market Sensitive"/>
          <xsd:enumeration value="Staff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1" nillable="true" ma:displayName="Status" ma:default="Draft" ma:description="Choose the appropriate status from the drop-down" ma:format="Dropdown" ma:internalName="_Status">
      <xsd:simpleType>
        <xsd:restriction base="dms:Choice">
          <xsd:enumeration value="Draft"/>
          <xsd:enumeration value="For comment"/>
          <xsd:enumeration value="Peer Reviewed"/>
          <xsd:enumeration value="Head of Dept Reviewed"/>
          <xsd:enumeration value="Legally Reviewed"/>
          <xsd:enumeration value="MD Approved"/>
          <xsd:enumeration value="Final not for Registry"/>
          <xsd:enumeration value="Final and Sent to Registry"/>
          <xsd:enumeration value="Published"/>
          <xsd:enumeration value="For deletion review"/>
          <xsd:enumeration value="External Draft"/>
          <xsd:enumeration value="External for comment"/>
          <xsd:enumeration value="External for action"/>
          <xsd:enumeration value="External Final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sisl xmlns:xsd="http://www.w3.org/2001/XMLSchema" xmlns:xsi="http://www.w3.org/2001/XMLSchema-instance" xmlns="http://www.boldonjames.com/2008/01/sie/internal/label" sislVersion="0" policy="973096ae-7329-4b3b-9368-47aeba6959e1" origin="userSelected"/>
</file>

<file path=customXml/itemProps1.xml><?xml version="1.0" encoding="utf-8"?>
<ds:datastoreItem xmlns:ds="http://schemas.openxmlformats.org/officeDocument/2006/customXml" ds:itemID="{0E3DAC2A-039C-49F3-AF6D-71F3165C1A09}">
  <ds:schemaRefs>
    <ds:schemaRef ds:uri="http://schemas.microsoft.com/office/2006/metadata/properties"/>
    <ds:schemaRef ds:uri="http://schemas.microsoft.com/office/2006/documentManagement/types"/>
    <ds:schemaRef ds:uri="http://schemas.microsoft.com/sharepoint/v3/fields"/>
    <ds:schemaRef ds:uri="http://purl.org/dc/dcmitype/"/>
    <ds:schemaRef ds:uri="631298fc-6a88-4548-b7d9-3b164918c4a3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eecedeb9-13b3-4e62-b003-046c92e1668a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8C51A2A-1057-44F8-95DB-8B83857C0C61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17786FD1-976F-4359-95CF-2DD8A52937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1298fc-6a88-4548-b7d9-3b164918c4a3"/>
    <ds:schemaRef ds:uri="eecedeb9-13b3-4e62-b003-046c92e1668a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6D7EEB9-D373-42EA-9381-0F4872C157E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163A920-A5FA-4262-A7CD-85B611909641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24</vt:i4>
      </vt:variant>
    </vt:vector>
  </HeadingPairs>
  <TitlesOfParts>
    <vt:vector size="37" baseType="lpstr">
      <vt:lpstr>Cover</vt:lpstr>
      <vt:lpstr>Version Control</vt:lpstr>
      <vt:lpstr>Inputs</vt:lpstr>
      <vt:lpstr>Data Sources</vt:lpstr>
      <vt:lpstr>Pre Op RAV</vt:lpstr>
      <vt:lpstr>Finance</vt:lpstr>
      <vt:lpstr>Op Rav</vt:lpstr>
      <vt:lpstr>Allowances Cap</vt:lpstr>
      <vt:lpstr>Allowances Floor</vt:lpstr>
      <vt:lpstr>Tax Deductions</vt:lpstr>
      <vt:lpstr>Tax Cap</vt:lpstr>
      <vt:lpstr>Tax Floor</vt:lpstr>
      <vt:lpstr>Cap Floor Levels</vt:lpstr>
      <vt:lpstr>'Allowances Cap'!Print_Area</vt:lpstr>
      <vt:lpstr>'Allowances Floor'!Print_Area</vt:lpstr>
      <vt:lpstr>'Cap Floor Levels'!Print_Area</vt:lpstr>
      <vt:lpstr>Cover!Print_Area</vt:lpstr>
      <vt:lpstr>'Data Sources'!Print_Area</vt:lpstr>
      <vt:lpstr>Finance!Print_Area</vt:lpstr>
      <vt:lpstr>Inputs!Print_Area</vt:lpstr>
      <vt:lpstr>'Op Rav'!Print_Area</vt:lpstr>
      <vt:lpstr>'Pre Op RAV'!Print_Area</vt:lpstr>
      <vt:lpstr>'Tax Cap'!Print_Area</vt:lpstr>
      <vt:lpstr>'Tax Deductions'!Print_Area</vt:lpstr>
      <vt:lpstr>'Tax Floor'!Print_Area</vt:lpstr>
      <vt:lpstr>'Allowances Cap'!Print_Titles</vt:lpstr>
      <vt:lpstr>'Allowances Floor'!Print_Titles</vt:lpstr>
      <vt:lpstr>'Cap Floor Levels'!Print_Titles</vt:lpstr>
      <vt:lpstr>Cover!Print_Titles</vt:lpstr>
      <vt:lpstr>'Data Sources'!Print_Titles</vt:lpstr>
      <vt:lpstr>Finance!Print_Titles</vt:lpstr>
      <vt:lpstr>Inputs!Print_Titles</vt:lpstr>
      <vt:lpstr>'Op Rav'!Print_Titles</vt:lpstr>
      <vt:lpstr>'Pre Op RAV'!Print_Titles</vt:lpstr>
      <vt:lpstr>'Tax Cap'!Print_Titles</vt:lpstr>
      <vt:lpstr>'Tax Deductions'!Print_Titles</vt:lpstr>
      <vt:lpstr>'Tax Floor'!Print_Titles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IFA2 CFFM1 PCR Decision</dc:title>
  <dc:creator>Martin Namor</dc:creator>
  <cp:lastModifiedBy>Vanessa Stevenson</cp:lastModifiedBy>
  <cp:lastPrinted>2019-02-01T10:22:22Z</cp:lastPrinted>
  <dcterms:created xsi:type="dcterms:W3CDTF">2014-03-17T11:35:35Z</dcterms:created>
  <dcterms:modified xsi:type="dcterms:W3CDTF">2022-07-28T15:01:50Z</dcterms:modified>
  <cp:contentStatus>External 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0x0101004C9F495A7355574383679A0A27B291210066E449D668032F48A1F56115FC042FF7</vt:lpwstr>
  </property>
  <property fmtid="{D5CDD505-2E9C-101B-9397-08002B2CF9AE}" pid="3" name="Select Content Type Above">
    <vt:lpwstr/>
  </property>
  <property fmtid="{D5CDD505-2E9C-101B-9397-08002B2CF9AE}" pid="4" name="Order">
    <vt:r8>2893600</vt:r8>
  </property>
  <property fmtid="{D5CDD505-2E9C-101B-9397-08002B2CF9AE}" pid="5" name="Applicable Start Date">
    <vt:filetime>2014-03-17T00:00:00Z</vt:filetime>
  </property>
  <property fmtid="{D5CDD505-2E9C-101B-9397-08002B2CF9AE}" pid="6" name="URL">
    <vt:lpwstr/>
  </property>
  <property fmtid="{D5CDD505-2E9C-101B-9397-08002B2CF9AE}" pid="7" name="From">
    <vt:lpwstr/>
  </property>
  <property fmtid="{D5CDD505-2E9C-101B-9397-08002B2CF9AE}" pid="8" name="Project Sponsor">
    <vt:lpwstr/>
  </property>
  <property fmtid="{D5CDD505-2E9C-101B-9397-08002B2CF9AE}" pid="9" name="BCC">
    <vt:lpwstr/>
  </property>
  <property fmtid="{D5CDD505-2E9C-101B-9397-08002B2CF9AE}" pid="10" name="xd_ProgID">
    <vt:lpwstr/>
  </property>
  <property fmtid="{D5CDD505-2E9C-101B-9397-08002B2CF9AE}" pid="11" name="_Version">
    <vt:lpwstr/>
  </property>
  <property fmtid="{D5CDD505-2E9C-101B-9397-08002B2CF9AE}" pid="12" name="Project Manager">
    <vt:lpwstr/>
  </property>
  <property fmtid="{D5CDD505-2E9C-101B-9397-08002B2CF9AE}" pid="13" name="Ref No">
    <vt:lpwstr/>
  </property>
  <property fmtid="{D5CDD505-2E9C-101B-9397-08002B2CF9AE}" pid="14" name="Applicable Duration">
    <vt:lpwstr>-</vt:lpwstr>
  </property>
  <property fmtid="{D5CDD505-2E9C-101B-9397-08002B2CF9AE}" pid="15" name="Project Name">
    <vt:lpwstr/>
  </property>
  <property fmtid="{D5CDD505-2E9C-101B-9397-08002B2CF9AE}" pid="16" name="Project Owner">
    <vt:lpwstr/>
  </property>
  <property fmtid="{D5CDD505-2E9C-101B-9397-08002B2CF9AE}" pid="17" name="TemplateUrl">
    <vt:lpwstr/>
  </property>
  <property fmtid="{D5CDD505-2E9C-101B-9397-08002B2CF9AE}" pid="18" name="CC">
    <vt:lpwstr/>
  </property>
  <property fmtid="{D5CDD505-2E9C-101B-9397-08002B2CF9AE}" pid="19" name="DLCPolicyLabelLock">
    <vt:lpwstr/>
  </property>
  <property fmtid="{D5CDD505-2E9C-101B-9397-08002B2CF9AE}" pid="20" name="To">
    <vt:lpwstr/>
  </property>
  <property fmtid="{D5CDD505-2E9C-101B-9397-08002B2CF9AE}" pid="21" name="::">
    <vt:lpwstr/>
  </property>
  <property fmtid="{D5CDD505-2E9C-101B-9397-08002B2CF9AE}" pid="22" name="Attach Count">
    <vt:lpwstr/>
  </property>
  <property fmtid="{D5CDD505-2E9C-101B-9397-08002B2CF9AE}" pid="23" name=":">
    <vt:lpwstr/>
  </property>
  <property fmtid="{D5CDD505-2E9C-101B-9397-08002B2CF9AE}" pid="24" name="Importance">
    <vt:lpwstr/>
  </property>
  <property fmtid="{D5CDD505-2E9C-101B-9397-08002B2CF9AE}" pid="25" name="DLCPolicyLabelClientValue">
    <vt:lpwstr>Version : {_UIVersionString}</vt:lpwstr>
  </property>
  <property fmtid="{D5CDD505-2E9C-101B-9397-08002B2CF9AE}" pid="26" name="Recipient">
    <vt:lpwstr/>
  </property>
  <property fmtid="{D5CDD505-2E9C-101B-9397-08002B2CF9AE}" pid="27" name="docIndexRef">
    <vt:lpwstr>bb1adc6c-3264-4cac-bf2f-95ac10f0d619</vt:lpwstr>
  </property>
  <property fmtid="{D5CDD505-2E9C-101B-9397-08002B2CF9AE}" pid="28" name="bjSaver">
    <vt:lpwstr>F4pwnGwIynODlByWBfXh7WvHa6LyLkXu</vt:lpwstr>
  </property>
  <property fmtid="{D5CDD505-2E9C-101B-9397-08002B2CF9AE}" pid="29" name="_NewReviewCycle">
    <vt:lpwstr/>
  </property>
  <property fmtid="{D5CDD505-2E9C-101B-9397-08002B2CF9AE}" pid="30" name="BJSCc5a055b0-1bed-4579_x">
    <vt:lpwstr/>
  </property>
  <property fmtid="{D5CDD505-2E9C-101B-9397-08002B2CF9AE}" pid="31" name="BJSCSummaryMarking">
    <vt:lpwstr>This item has no classification</vt:lpwstr>
  </property>
  <property fmtid="{D5CDD505-2E9C-101B-9397-08002B2CF9AE}" pid="32" name="BJSCInternalLabel">
    <vt:lpwstr>&lt;?xml version="1.0" encoding="us-ascii"?&gt;&lt;sisl xmlns:xsi="http://www.w3.org/2001/XMLSchema-instance" xmlns:xsd="http://www.w3.org/2001/XMLSchema" sislVersion="0" policy="973096ae-7329-4b3b-9368-47aeba6959e1" xmlns="http://www.boldonjames.com/2008/01/sie/internal/label" /&gt;</vt:lpwstr>
  </property>
  <property fmtid="{D5CDD505-2E9C-101B-9397-08002B2CF9AE}" pid="33" name="BJSCdd9eba61-d6b9-469b_x">
    <vt:lpwstr/>
  </property>
  <property fmtid="{D5CDD505-2E9C-101B-9397-08002B2CF9AE}" pid="34" name="bjDocumentSecurityLabel">
    <vt:lpwstr>This item has no classification</vt:lpwstr>
  </property>
  <property fmtid="{D5CDD505-2E9C-101B-9397-08002B2CF9AE}" pid="35" name="bjClsUserRVM">
    <vt:lpwstr>[]</vt:lpwstr>
  </property>
</Properties>
</file>