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760" windowWidth="34200" windowHeight="21480" tabRatio="866" firstSheet="0" activeTab="2" autoFilterDateGrouping="1"/>
  </bookViews>
  <sheets>
    <sheet name="Cover" sheetId="1" state="visible" r:id="rId1"/>
    <sheet name="Version Control" sheetId="2" state="visible" r:id="rId2"/>
    <sheet name="Inputs" sheetId="3" state="visible" r:id="rId3"/>
    <sheet name="Data Sources" sheetId="4" state="visible" r:id="rId4"/>
    <sheet name="Costs &amp; Revenue" sheetId="5" state="visible" r:id="rId5"/>
    <sheet name="ORA Adjustment" sheetId="6" state="visible" r:id="rId6"/>
    <sheet name="Indexation" sheetId="7" state="visible" r:id="rId7"/>
    <sheet name="DC Adjustment" sheetId="8" state="visible" r:id="rId8"/>
    <sheet name="Availability" sheetId="9" state="visible" r:id="rId9"/>
    <sheet name="Assessment" sheetId="10" state="visible" r:id="rId10"/>
    <sheet name="Revenue Adjustment" sheetId="11" state="visible" r:id="rId11"/>
  </sheets>
  <externalReferences>
    <externalReference r:id="rId12"/>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dRecalcBehavior" hidden="1">0</definedName>
    <definedName name="_AtRisk_SimSetting_StdRecalcWithoutRiskStatic" hidden="1">0</definedName>
    <definedName name="_AtRisk_SimSetting_StdRecalcWithoutRiskStaticPercentile" hidden="1">0.5</definedName>
    <definedName name="base_year">Inputs!$I$11</definedName>
    <definedName name="CF_currency">Inputs!$I$13</definedName>
    <definedName name="DCC_Adj_1st">Inputs!$I$187</definedName>
    <definedName name="DCC_Adj_2nd">Inputs!$I$192</definedName>
    <definedName name="DCC_Adj_3rd">Inputs!$I$197</definedName>
    <definedName name="DCC_Adj_4th">Inputs!$I$202</definedName>
    <definedName name="DCC_Adj_Latest">Inputs!$I$180</definedName>
    <definedName name="DCF_Adj_1st">Inputs!$I$188</definedName>
    <definedName name="DCF_Adj_2nd">Inputs!$I$193</definedName>
    <definedName name="DCF_Adj_3rd">Inputs!$I$198</definedName>
    <definedName name="DCF_Adj_4th">Inputs!$I$203</definedName>
    <definedName name="DCF_Adj_Latest">Inputs!$I$181</definedName>
    <definedName name="op_years">Inputs!$I$21</definedName>
    <definedName name="ORAC_Adj">Inputs!$I$166</definedName>
    <definedName name="ORAF_Adj">Inputs!$I$167</definedName>
    <definedName name="PCAC_Adj">Inputs!$I$29</definedName>
    <definedName name="PCAF_Adj">Inputs!$I$30</definedName>
    <definedName name="Prel_Cap">Inputs!$I$26</definedName>
    <definedName name="Prel_Floor">Inputs!$I$27</definedName>
    <definedName name="RiskAfterRecalcMacro" hidden="1">"Simulation"</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NumIterations" hidden="1">100</definedName>
    <definedName name="RiskNumSimulations" hidden="1">1</definedName>
    <definedName name="RiskPauseOnError" hidden="1">FALSE</definedName>
    <definedName name="RiskRunAfterRecalcMacro" hidden="1">TRUE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FALSE</definedName>
    <definedName name="WDA_Dis">'[1]fis-Standard Data'!$B$41</definedName>
    <definedName name="WDA_FYA">'[1]fis-Standard Data'!$B$40</definedName>
    <definedName name="WDA_LLA">'[1]fis-Standard Data'!$B$39</definedName>
    <definedName name="WDA_Plant">'[1]fis-Standard Data'!$B$38</definedName>
    <definedName name="_xlnm.Print_Titles" localSheetId="0">'Cover'!$2:$4</definedName>
    <definedName name="_xlnm.Print_Area" localSheetId="0">'Cover'!$A$2:$G$33</definedName>
    <definedName name="_xlnm.Print_Titles" localSheetId="2">'Inputs'!$1:$4</definedName>
    <definedName name="_xlnm.Print_Area" localSheetId="2">'Inputs'!$A$1:$BB$218</definedName>
    <definedName name="_xlnm.Print_Titles" localSheetId="3">'Data Sources'!$1:$2</definedName>
    <definedName name="_xlnm.Print_Area" localSheetId="3">'Data Sources'!$A$1:$BB$129</definedName>
    <definedName name="_ftn1" localSheetId="4">'Costs &amp; Revenue'!#REF!</definedName>
    <definedName name="_ftn2" localSheetId="4">'Costs &amp; Revenue'!#REF!</definedName>
    <definedName name="_ftn3" localSheetId="4">'Costs &amp; Revenue'!#REF!</definedName>
    <definedName name="_ftnref1" localSheetId="4">'Costs &amp; Revenue'!#REF!</definedName>
    <definedName name="_ftnref2" localSheetId="4">'Costs &amp; Revenue'!#REF!</definedName>
    <definedName name="_ftnref3" localSheetId="4">'Costs &amp; Revenue'!#REF!</definedName>
    <definedName name="_xlnm.Print_Titles" localSheetId="4">'Costs &amp; Revenue'!$1:$4</definedName>
    <definedName name="_xlnm.Print_Area" localSheetId="4">'Costs &amp; Revenue'!$A$1:$BB$33</definedName>
    <definedName name="_xlnm.Print_Titles" localSheetId="5">'ORA Adjustment'!$1:$4</definedName>
    <definedName name="_xlnm.Print_Area" localSheetId="5">'ORA Adjustment'!$A$1:$BB$39</definedName>
    <definedName name="_xlnm.Print_Titles" localSheetId="6">'Indexation'!$1:$4</definedName>
    <definedName name="_xlnm.Print_Area" localSheetId="6">'Indexation'!$A$1:$BB$56</definedName>
    <definedName name="_xlnm.Print_Titles" localSheetId="7">'DC Adjustment'!$1:$4</definedName>
    <definedName name="_xlnm.Print_Area" localSheetId="7">'DC Adjustment'!$A$1:$BB$82</definedName>
    <definedName name="_xlnm.Print_Titles" localSheetId="8">'Availability'!$1:$4</definedName>
    <definedName name="_xlnm.Print_Area" localSheetId="8">'Availability'!$A$1:$BB$55</definedName>
    <definedName name="_xlnm.Print_Titles" localSheetId="9">'Assessment'!$1:$4</definedName>
    <definedName name="_xlnm.Print_Area" localSheetId="9">'Assessment'!$A$1:$BB$78</definedName>
    <definedName name="_xlnm.Print_Titles" localSheetId="10">'Revenue Adjustment'!$1:$4</definedName>
    <definedName name="_xlnm.Print_Area" localSheetId="10">'Revenue Adjustment'!$A$1:$BB$22</definedName>
  </definedNames>
  <calcPr calcId="191029" fullCalcOnLoad="1"/>
</workbook>
</file>

<file path=xl/styles.xml><?xml version="1.0" encoding="utf-8"?>
<styleSheet xmlns="http://schemas.openxmlformats.org/spreadsheetml/2006/main">
  <numFmts count="33">
    <numFmt numFmtId="164" formatCode="yyyy"/>
    <numFmt numFmtId="165" formatCode="#,##0.0_);\(#,##0.0\);\-_)"/>
    <numFmt numFmtId="166" formatCode="#,##0_);\(#,##0\);\-_)"/>
    <numFmt numFmtId="167" formatCode="#,##0.0"/>
    <numFmt numFmtId="168" formatCode="#,##0.000_);\(#,##0.000\);\-_)"/>
    <numFmt numFmtId="169" formatCode="0.0%"/>
    <numFmt numFmtId="170" formatCode="_-* #,##0_-;\-* #,##0_-;_-* &quot;-&quot;??_-;_-@_-"/>
    <numFmt numFmtId="171" formatCode="_-* #,##0.000_-;\-* #,##0.000_-;_-* &quot;-&quot;??_-;_-@_-"/>
    <numFmt numFmtId="172" formatCode="_(* #,##0.000000_);_(* \(#,##0.000000\);_(* &quot;-&quot;??_);_(@_)"/>
    <numFmt numFmtId="173" formatCode="#,##0.000"/>
    <numFmt numFmtId="174" formatCode="dd\ mmm\ yyyy"/>
    <numFmt numFmtId="175" formatCode="&quot;error&quot;;&quot;error&quot;;&quot;ok&quot;"/>
    <numFmt numFmtId="176" formatCode="#,##0.000;\(#,##0.000\);\-"/>
    <numFmt numFmtId="177" formatCode="#,##0.00;\(#,##0.00\);\-"/>
    <numFmt numFmtId="178" formatCode="#,##0.00_);\(#,##0.00\);\-_)"/>
    <numFmt numFmtId="179" formatCode="0.0"/>
    <numFmt numFmtId="180" formatCode="_-* #,##0.00000000_-;\-* #,##0.00000000_-;_-* &quot;-&quot;??_-;_-@_-"/>
    <numFmt numFmtId="181" formatCode="0.000"/>
    <numFmt numFmtId="182" formatCode="#,##0.000000_);\(#,##0.000000\);\-_)"/>
    <numFmt numFmtId="183" formatCode="_(* #,##0.000_);_(* \(#,##0.000\);_(* &quot;-&quot;??_);_(@_)"/>
    <numFmt numFmtId="184" formatCode="_(* #,##0.0_);_(* \(#,##0.0\);_(* &quot;-&quot;??_);_(@_)"/>
    <numFmt numFmtId="185" formatCode="0.000000"/>
    <numFmt numFmtId="186" formatCode="#,##0_);\(#,##0\);\-\ \ ;@"/>
    <numFmt numFmtId="187" formatCode="dd\-mmm\-yy_);;\-\ \ ;@"/>
    <numFmt numFmtId="188" formatCode="_-[$€-2]* #,##0.00_-;\-[$€-2]* #,##0.00_-;_-[$€-2]* &quot;-&quot;??_-"/>
    <numFmt numFmtId="189" formatCode="#,##0.0000_);\(#,##0.0000\);\-\ \ ;@"/>
    <numFmt numFmtId="190" formatCode="0.00%_);\-0.00%_);\-\ \ ;@"/>
    <numFmt numFmtId="191" formatCode="#,##0_-;\(#,##0\);&quot;-&quot;"/>
    <numFmt numFmtId="192" formatCode="[Magenta]&quot;Err&quot;;[Magenta]&quot;Err&quot;;[Blue]&quot;OK&quot;"/>
    <numFmt numFmtId="193" formatCode="General\ &quot;.&quot;"/>
    <numFmt numFmtId="194" formatCode="#,##0_);[Red]\(#,##0\);\-_)"/>
    <numFmt numFmtId="195" formatCode="0.0_)%;[Red]\(0.0%\);0.0_)%"/>
    <numFmt numFmtId="196" formatCode="[Red][&gt;1]&quot;&gt;100 %&quot;;[Red]\(0.0%\);0.0_)%"/>
  </numFmts>
  <fonts count="78">
    <font>
      <name val="Calibri"/>
      <family val="2"/>
      <color theme="1"/>
      <sz val="10"/>
    </font>
    <font>
      <name val="Verdana"/>
      <family val="2"/>
      <color theme="1"/>
      <sz val="10"/>
    </font>
    <font>
      <name val="Calibri"/>
      <family val="2"/>
      <color theme="1"/>
      <sz val="11"/>
      <scheme val="minor"/>
    </font>
    <font>
      <name val="Calibri"/>
      <family val="2"/>
      <sz val="10"/>
      <scheme val="minor"/>
    </font>
    <font>
      <name val="Calibri"/>
      <family val="2"/>
      <color theme="1"/>
      <sz val="10"/>
      <scheme val="minor"/>
    </font>
    <font>
      <name val="Calibri"/>
      <family val="2"/>
      <sz val="10"/>
      <u val="single"/>
      <scheme val="minor"/>
    </font>
    <font>
      <name val="Calibri"/>
      <family val="2"/>
      <color theme="4"/>
      <sz val="10"/>
      <scheme val="minor"/>
    </font>
    <font>
      <name val="Calibri"/>
      <family val="2"/>
      <color theme="0" tint="-0.0499893185216834"/>
      <sz val="10"/>
      <scheme val="minor"/>
    </font>
    <font>
      <name val="Calibri"/>
      <family val="2"/>
      <b val="1"/>
      <color theme="1"/>
      <sz val="10"/>
      <scheme val="minor"/>
    </font>
    <font>
      <name val="Calibri"/>
      <family val="2"/>
      <color theme="1"/>
      <sz val="10"/>
      <u val="single"/>
      <scheme val="minor"/>
    </font>
    <font>
      <name val="Calibri"/>
      <family val="2"/>
      <i val="1"/>
      <sz val="10"/>
      <scheme val="minor"/>
    </font>
    <font>
      <name val="Calibri"/>
      <family val="2"/>
      <b val="1"/>
      <i val="1"/>
      <sz val="10"/>
      <scheme val="minor"/>
    </font>
    <font>
      <name val="Calibri"/>
      <family val="2"/>
      <color theme="1"/>
      <sz val="16"/>
      <scheme val="minor"/>
    </font>
    <font>
      <name val="Calibri"/>
      <family val="2"/>
      <b val="1"/>
      <color indexed="9"/>
      <sz val="10"/>
      <scheme val="minor"/>
    </font>
    <font>
      <name val="Calibri"/>
      <family val="2"/>
      <b val="1"/>
      <sz val="10"/>
      <scheme val="minor"/>
    </font>
    <font>
      <name val="Calibri"/>
      <family val="2"/>
      <color theme="10"/>
      <sz val="11"/>
      <u val="single"/>
      <scheme val="minor"/>
    </font>
    <font>
      <name val="CG Omega"/>
      <family val="2"/>
      <sz val="11"/>
    </font>
    <font>
      <name val="Calibri"/>
      <family val="2"/>
      <color indexed="8"/>
      <sz val="11"/>
    </font>
    <font>
      <name val="Arial"/>
      <family val="2"/>
      <sz val="10"/>
    </font>
    <font>
      <name val="Arial"/>
      <family val="2"/>
      <color indexed="8"/>
      <sz val="10"/>
    </font>
    <font>
      <name val="Geneva"/>
      <family val="2"/>
      <sz val="10"/>
    </font>
    <font>
      <name val="Verdana"/>
      <family val="2"/>
      <color indexed="8"/>
      <sz val="10"/>
    </font>
    <font>
      <name val="Verdana"/>
      <family val="2"/>
      <sz val="10"/>
    </font>
    <font>
      <name val="Times New Roman"/>
      <family val="1"/>
      <sz val="10"/>
    </font>
    <font>
      <name val="CG Omega"/>
      <family val="2"/>
      <color indexed="48"/>
      <sz val="11"/>
      <u val="single"/>
    </font>
    <font>
      <name val="Arial"/>
      <family val="2"/>
      <i val="1"/>
      <color indexed="10"/>
      <sz val="10"/>
    </font>
    <font>
      <name val="Calibri"/>
      <family val="2"/>
      <color theme="1"/>
      <sz val="10"/>
    </font>
    <font>
      <name val="Arial"/>
      <family val="2"/>
      <color theme="1"/>
      <sz val="10"/>
    </font>
    <font>
      <name val="Calibri"/>
      <family val="2"/>
      <color theme="1"/>
      <sz val="11"/>
    </font>
    <font>
      <name val="Calibri"/>
      <family val="2"/>
      <color indexed="9"/>
      <sz val="11"/>
    </font>
    <font>
      <name val="Calibri"/>
      <family val="2"/>
      <color indexed="10"/>
      <sz val="11"/>
    </font>
    <font>
      <name val="Calibri"/>
      <family val="2"/>
      <b val="1"/>
      <color indexed="52"/>
      <sz val="11"/>
    </font>
    <font>
      <name val="Arial"/>
      <family val="2"/>
      <color indexed="12"/>
      <sz val="10"/>
    </font>
    <font>
      <name val="Calibri"/>
      <family val="2"/>
      <color indexed="17"/>
      <sz val="11"/>
    </font>
    <font>
      <name val="Arial"/>
      <family val="2"/>
      <b val="1"/>
      <sz val="10"/>
    </font>
    <font>
      <name val="Calibri"/>
      <family val="2"/>
      <color indexed="20"/>
      <sz val="11"/>
    </font>
    <font>
      <name val="Calibri"/>
      <family val="2"/>
      <b val="1"/>
      <color indexed="8"/>
      <sz val="11"/>
    </font>
    <font>
      <name val="Times New Roman"/>
      <family val="1"/>
      <sz val="12"/>
    </font>
    <font>
      <name val="Arial"/>
      <family val="2"/>
      <color indexed="12"/>
      <sz val="9"/>
    </font>
    <font>
      <name val="Arial"/>
      <family val="2"/>
      <b val="1"/>
      <color indexed="12"/>
      <sz val="8"/>
    </font>
    <font>
      <name val="Arial"/>
      <family val="2"/>
      <b val="1"/>
      <color indexed="8"/>
      <sz val="12"/>
    </font>
    <font>
      <name val="Arial"/>
      <family val="2"/>
      <b val="1"/>
      <color indexed="8"/>
      <sz val="10.5"/>
    </font>
    <font>
      <name val="Arial"/>
      <family val="2"/>
      <i val="1"/>
      <color indexed="8"/>
      <sz val="10"/>
    </font>
    <font>
      <name val="Calibri"/>
      <family val="2"/>
      <i val="1"/>
      <color indexed="23"/>
      <sz val="11"/>
    </font>
    <font>
      <name val="Calibri"/>
      <family val="2"/>
      <color indexed="62"/>
      <sz val="11"/>
    </font>
    <font>
      <name val="Calibri"/>
      <family val="2"/>
      <b val="1"/>
      <color indexed="9"/>
      <sz val="11"/>
    </font>
    <font>
      <name val="Calibri"/>
      <family val="2"/>
      <color indexed="52"/>
      <sz val="11"/>
    </font>
    <font>
      <name val="Arial"/>
      <family val="2"/>
      <b val="1"/>
      <sz val="14"/>
    </font>
    <font>
      <name val="Calibri"/>
      <family val="2"/>
      <b val="1"/>
      <color indexed="56"/>
      <sz val="15"/>
    </font>
    <font>
      <name val="Calibri"/>
      <family val="2"/>
      <b val="1"/>
      <color indexed="56"/>
      <sz val="13"/>
    </font>
    <font>
      <name val="Calibri"/>
      <family val="2"/>
      <b val="1"/>
      <color indexed="56"/>
      <sz val="11"/>
    </font>
    <font>
      <name val="Cambria"/>
      <family val="2"/>
      <b val="1"/>
      <color indexed="56"/>
      <sz val="18"/>
    </font>
    <font>
      <name val="Arial"/>
      <family val="2"/>
      <b val="1"/>
      <i val="1"/>
      <color indexed="8"/>
      <sz val="12"/>
    </font>
    <font>
      <name val="Arial"/>
      <family val="2"/>
      <color indexed="8"/>
      <sz val="12"/>
    </font>
    <font>
      <name val="Arial"/>
      <family val="2"/>
      <b val="1"/>
      <color indexed="8"/>
      <sz val="8"/>
    </font>
    <font>
      <name val="Arial"/>
      <family val="2"/>
      <sz val="8"/>
    </font>
    <font>
      <name val="Arial"/>
      <family val="2"/>
      <b val="1"/>
      <sz val="8"/>
    </font>
    <font>
      <name val="Arial"/>
      <family val="2"/>
      <i val="1"/>
      <color indexed="8"/>
      <sz val="12"/>
    </font>
    <font>
      <name val="Arial"/>
      <family val="2"/>
      <color indexed="8"/>
      <sz val="8"/>
    </font>
    <font>
      <name val="Arial"/>
      <family val="2"/>
      <color indexed="48"/>
      <sz val="19"/>
    </font>
    <font>
      <name val="Arial"/>
      <family val="2"/>
      <color indexed="14"/>
      <sz val="12"/>
    </font>
    <font>
      <name val="Cambria"/>
      <family val="2"/>
      <b val="1"/>
      <color indexed="62"/>
      <sz val="18"/>
    </font>
    <font>
      <name val="Calibri"/>
      <family val="2"/>
      <b val="1"/>
      <color indexed="63"/>
      <sz val="11"/>
    </font>
    <font>
      <name val="Arial"/>
      <family val="2"/>
      <color indexed="12"/>
      <sz val="8"/>
      <u val="single"/>
    </font>
    <font>
      <name val="Calibri"/>
      <family val="2"/>
      <color theme="10"/>
      <sz val="10"/>
      <u val="single"/>
    </font>
    <font>
      <name val="Calibri"/>
      <family val="2"/>
      <color theme="0"/>
      <sz val="10"/>
      <scheme val="minor"/>
    </font>
    <font>
      <name val="Calibri"/>
      <family val="2"/>
      <color rgb="FFFF0000"/>
      <sz val="10"/>
      <scheme val="minor"/>
    </font>
    <font>
      <name val="Calibri"/>
      <family val="2"/>
      <color theme="5" tint="0.5999938962981048"/>
      <sz val="10"/>
      <scheme val="minor"/>
    </font>
    <font>
      <name val="Verdana"/>
      <family val="2"/>
      <b val="1"/>
      <color theme="3"/>
      <sz val="11"/>
    </font>
    <font>
      <name val="Verdana"/>
      <family val="2"/>
      <color theme="10"/>
      <sz val="10"/>
      <u val="single"/>
    </font>
    <font>
      <name val="Calibri"/>
      <family val="2"/>
      <b val="1"/>
      <color theme="0"/>
      <sz val="10"/>
      <scheme val="minor"/>
    </font>
    <font>
      <name val="Calibri"/>
      <family val="2"/>
      <b val="1"/>
      <sz val="11"/>
      <scheme val="minor"/>
    </font>
    <font>
      <name val="Calibri"/>
      <family val="2"/>
      <b val="1"/>
      <color theme="1"/>
      <sz val="11"/>
      <scheme val="minor"/>
    </font>
    <font>
      <name val="Calibri"/>
      <family val="2"/>
      <color rgb="FF7030A0"/>
      <sz val="10"/>
      <scheme val="minor"/>
    </font>
    <font>
      <name val="Calibri"/>
      <family val="2"/>
      <i val="1"/>
      <color rgb="FFFF0000"/>
      <sz val="10"/>
      <scheme val="minor"/>
    </font>
    <font>
      <name val="Calibri"/>
      <family val="2"/>
      <i val="1"/>
      <color rgb="FFFF0000"/>
      <sz val="10"/>
    </font>
    <font>
      <name val="Calibri"/>
      <family val="2"/>
      <strike val="1"/>
      <sz val="10"/>
      <scheme val="minor"/>
    </font>
    <font>
      <name val="Calibri"/>
      <family val="2"/>
      <i val="1"/>
      <strike val="1"/>
      <sz val="10"/>
      <scheme val="minor"/>
    </font>
  </fonts>
  <fills count="77">
    <fill>
      <patternFill/>
    </fill>
    <fill>
      <patternFill patternType="gray125"/>
    </fill>
    <fill>
      <patternFill patternType="solid">
        <fgColor theme="0" tint="-0.249977111117893"/>
        <bgColor indexed="64"/>
      </patternFill>
    </fill>
    <fill>
      <patternFill patternType="solid">
        <fgColor rgb="FFFFFFCC"/>
        <bgColor indexed="64"/>
      </patternFill>
    </fill>
    <fill>
      <patternFill patternType="solid">
        <fgColor rgb="FFFF9900"/>
        <bgColor indexed="64"/>
      </patternFill>
    </fill>
    <fill>
      <patternFill patternType="solid">
        <fgColor theme="0" tint="-0.499984740745262"/>
        <bgColor indexed="64"/>
      </patternFill>
    </fill>
    <fill>
      <patternFill patternType="lightUp">
        <fgColor theme="0" tint="-0.249946592608417"/>
        <bgColor indexed="65"/>
      </patternFill>
    </fill>
    <fill>
      <patternFill patternType="solid">
        <fgColor theme="7" tint="0.5999938962981048"/>
        <bgColor indexed="64"/>
      </patternFill>
    </fill>
    <fill>
      <patternFill patternType="solid">
        <fgColor rgb="FFCCECFF"/>
        <bgColor indexed="64"/>
      </patternFill>
    </fill>
    <fill>
      <patternFill patternType="solid">
        <fgColor indexed="26"/>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5"/>
        <bgColor indexed="55"/>
      </patternFill>
    </fill>
    <fill>
      <patternFill patternType="solid">
        <fgColor indexed="41"/>
        <bgColor indexed="41"/>
      </patternFill>
    </fill>
    <fill>
      <patternFill patternType="solid">
        <fgColor indexed="54"/>
        <bgColor indexed="54"/>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22"/>
      </patternFill>
    </fill>
    <fill>
      <patternFill patternType="solid">
        <fgColor indexed="43"/>
        <bgColor indexed="64"/>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55"/>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4"/>
        <bgColor indexed="64"/>
      </patternFill>
    </fill>
    <fill>
      <patternFill patternType="solid">
        <fgColor indexed="10"/>
        <bgColor indexed="64"/>
      </patternFill>
    </fill>
    <fill>
      <patternFill patternType="solid">
        <fgColor indexed="45"/>
        <bgColor indexed="64"/>
      </patternFill>
    </fill>
    <fill>
      <patternFill patternType="solid">
        <fgColor indexed="29"/>
        <bgColor indexed="64"/>
      </patternFill>
    </fill>
    <fill>
      <patternFill patternType="solid">
        <fgColor indexed="42"/>
        <bgColor indexed="64"/>
      </patternFill>
    </fill>
    <fill>
      <patternFill patternType="solid">
        <fgColor indexed="51"/>
        <bgColor indexed="64"/>
      </patternFill>
    </fill>
    <fill>
      <patternFill patternType="solid">
        <fgColor indexed="47"/>
        <bgColor indexed="64"/>
      </patternFill>
    </fill>
    <fill>
      <patternFill patternType="solid">
        <fgColor indexed="50"/>
        <bgColor indexed="64"/>
      </patternFill>
    </fill>
    <fill>
      <patternFill patternType="solid">
        <fgColor indexed="57"/>
        <bgColor indexed="64"/>
      </patternFill>
    </fill>
    <fill>
      <patternFill patternType="solid">
        <fgColor indexed="21"/>
        <bgColor indexed="64"/>
      </patternFill>
    </fill>
    <fill>
      <patternFill patternType="lightUp">
        <fgColor indexed="48"/>
        <bgColor indexed="44"/>
      </patternFill>
    </fill>
    <fill>
      <patternFill patternType="solid">
        <fgColor indexed="44"/>
        <bgColor indexed="64"/>
      </patternFill>
    </fill>
    <fill>
      <patternFill patternType="solid">
        <fgColor indexed="54"/>
      </patternFill>
    </fill>
    <fill>
      <patternFill patternType="solid">
        <fgColor indexed="23"/>
      </patternFill>
    </fill>
    <fill>
      <patternFill patternType="solid">
        <fgColor indexed="40"/>
      </patternFill>
    </fill>
    <fill>
      <patternFill patternType="solid">
        <fgColor indexed="41"/>
      </patternFill>
    </fill>
    <fill>
      <patternFill patternType="solid">
        <fgColor indexed="9"/>
      </patternFill>
    </fill>
    <fill>
      <patternFill patternType="solid">
        <fgColor indexed="41"/>
        <bgColor indexed="64"/>
      </patternFill>
    </fill>
    <fill>
      <patternFill patternType="solid">
        <fgColor indexed="40"/>
        <bgColor indexed="64"/>
      </patternFill>
    </fill>
    <fill>
      <patternFill patternType="solid">
        <fgColor indexed="20"/>
      </patternFill>
    </fill>
    <fill>
      <patternFill patternType="lightUp">
        <fgColor theme="0" tint="-0.249946592608417"/>
        <bgColor rgb="FFFFFFCC"/>
      </patternFill>
    </fill>
    <fill>
      <patternFill patternType="solid">
        <fgColor theme="5" tint="0.7999816888943144"/>
        <bgColor indexed="64"/>
      </patternFill>
    </fill>
    <fill>
      <patternFill patternType="solid">
        <fgColor theme="4" tint="0.3999755851924192"/>
        <bgColor indexed="64"/>
      </patternFill>
    </fill>
    <fill>
      <patternFill patternType="solid">
        <fgColor theme="5" tint="0.5999938962981048"/>
        <bgColor indexed="64"/>
      </patternFill>
    </fill>
    <fill>
      <patternFill patternType="solid">
        <fgColor theme="6" tint="0.5999938962981048"/>
        <bgColor indexed="64"/>
      </patternFill>
    </fill>
    <fill>
      <patternFill patternType="solid">
        <fgColor rgb="FFFFFF00"/>
        <bgColor indexed="64"/>
      </patternFill>
    </fill>
    <fill>
      <patternFill patternType="lightUp">
        <fgColor theme="0" tint="-0.249946592608417"/>
        <bgColor theme="5" tint="0.7999816888943144"/>
      </patternFill>
    </fill>
  </fills>
  <borders count="28">
    <border>
      <left/>
      <right/>
      <top/>
      <bottom/>
      <diagonal/>
    </border>
    <border>
      <left/>
      <right/>
      <top/>
      <bottom style="thin">
        <color indexed="64"/>
      </bottom>
      <diagonal/>
    </border>
    <border>
      <left/>
      <right style="thin">
        <color indexed="64"/>
      </right>
      <top/>
      <bottom/>
      <diagonal/>
    </border>
    <border>
      <left style="medium">
        <color theme="0"/>
      </left>
      <right style="medium">
        <color theme="0"/>
      </right>
      <top style="medium">
        <color theme="0"/>
      </top>
      <bottom style="medium">
        <color theme="0"/>
      </bottom>
      <diagonal/>
    </border>
    <border>
      <left/>
      <right/>
      <top style="thin">
        <color auto="1"/>
      </top>
      <bottom/>
      <diagonal/>
    </border>
    <border>
      <left/>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right/>
      <top style="thin">
        <color indexed="8"/>
      </top>
      <bottom style="thin">
        <color indexed="8"/>
      </bottom>
      <diagonal/>
    </border>
    <border>
      <left/>
      <right/>
      <top style="thin">
        <color indexed="8"/>
      </top>
      <bottom style="double">
        <color indexed="8"/>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18"/>
      </left>
      <right style="thin">
        <color indexed="18"/>
      </right>
      <top style="thin">
        <color indexed="18"/>
      </top>
      <bottom style="thin">
        <color indexed="1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right/>
      <top style="thin">
        <color indexed="48"/>
      </top>
      <bottom style="thin">
        <color indexed="48"/>
      </bottom>
      <diagonal/>
    </border>
    <border>
      <left/>
      <right/>
      <top style="thin">
        <color indexed="64"/>
      </top>
      <bottom/>
      <diagonal/>
    </border>
    <border>
      <left/>
      <right/>
      <top style="thin">
        <color indexed="62"/>
      </top>
      <bottom style="double">
        <color indexed="62"/>
      </bottom>
      <diagonal/>
    </border>
    <border>
      <left/>
      <right/>
      <top style="thin">
        <color indexed="64"/>
      </top>
      <bottom style="double">
        <color indexed="64"/>
      </bottom>
      <diagonal/>
    </border>
    <border>
      <left style="thin">
        <color indexed="63"/>
      </left>
      <right style="thin">
        <color indexed="63"/>
      </right>
      <top style="thin">
        <color indexed="63"/>
      </top>
      <bottom style="thin">
        <color indexed="63"/>
      </bottom>
      <diagonal/>
    </border>
    <border>
      <left style="thick">
        <color theme="0"/>
      </left>
      <right style="thick">
        <color theme="0"/>
      </right>
      <top style="thick">
        <color theme="0"/>
      </top>
      <bottom style="thick">
        <color theme="0"/>
      </bottom>
      <diagonal/>
    </border>
  </borders>
  <cellStyleXfs count="2149">
    <xf numFmtId="0" fontId="26" fillId="0" borderId="0"/>
    <xf numFmtId="9" fontId="2" fillId="0" borderId="0"/>
    <xf numFmtId="0" fontId="15" fillId="0" borderId="0"/>
    <xf numFmtId="0" fontId="16" fillId="0" borderId="0"/>
    <xf numFmtId="0" fontId="1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8" fillId="0" borderId="0"/>
    <xf numFmtId="0" fontId="16" fillId="0" borderId="0"/>
    <xf numFmtId="0" fontId="16" fillId="0" borderId="0"/>
    <xf numFmtId="186" fontId="18" fillId="0" borderId="0"/>
    <xf numFmtId="43" fontId="21" fillId="0" borderId="0"/>
    <xf numFmtId="43" fontId="21" fillId="0" borderId="0"/>
    <xf numFmtId="43" fontId="21" fillId="0" borderId="0"/>
    <xf numFmtId="43" fontId="21" fillId="0" borderId="0"/>
    <xf numFmtId="43" fontId="21" fillId="0" borderId="0"/>
    <xf numFmtId="43" fontId="21" fillId="0" borderId="0"/>
    <xf numFmtId="0" fontId="21" fillId="0" borderId="0"/>
    <xf numFmtId="43" fontId="23" fillId="0" borderId="0"/>
    <xf numFmtId="43" fontId="23" fillId="0" borderId="0"/>
    <xf numFmtId="43" fontId="21" fillId="0" borderId="0"/>
    <xf numFmtId="43" fontId="21" fillId="0" borderId="0"/>
    <xf numFmtId="43" fontId="21" fillId="0" borderId="0"/>
    <xf numFmtId="43" fontId="21" fillId="0" borderId="0"/>
    <xf numFmtId="43" fontId="17" fillId="0" borderId="0"/>
    <xf numFmtId="0" fontId="21" fillId="0" borderId="0"/>
    <xf numFmtId="0" fontId="21" fillId="0" borderId="0"/>
    <xf numFmtId="0" fontId="21" fillId="0" borderId="0"/>
    <xf numFmtId="0" fontId="21" fillId="0" borderId="0"/>
    <xf numFmtId="43" fontId="21" fillId="0" borderId="0"/>
    <xf numFmtId="43" fontId="21" fillId="0" borderId="0"/>
    <xf numFmtId="43" fontId="21" fillId="0" borderId="0"/>
    <xf numFmtId="187" fontId="18" fillId="0" borderId="0"/>
    <xf numFmtId="188" fontId="23" fillId="0" borderId="0"/>
    <xf numFmtId="0" fontId="19" fillId="0" borderId="0"/>
    <xf numFmtId="189" fontId="18" fillId="0" borderId="0"/>
    <xf numFmtId="0" fontId="24" fillId="9" borderId="0"/>
    <xf numFmtId="0" fontId="21" fillId="0" borderId="0"/>
    <xf numFmtId="0" fontId="18" fillId="0" borderId="0"/>
    <xf numFmtId="0" fontId="21" fillId="0" borderId="0"/>
    <xf numFmtId="0" fontId="21" fillId="0" borderId="0"/>
    <xf numFmtId="0" fontId="21" fillId="0" borderId="0"/>
    <xf numFmtId="0" fontId="21" fillId="0" borderId="0"/>
    <xf numFmtId="0" fontId="23" fillId="0" borderId="0"/>
    <xf numFmtId="0" fontId="23" fillId="0" borderId="0"/>
    <xf numFmtId="0" fontId="17" fillId="0" borderId="0"/>
    <xf numFmtId="0" fontId="21" fillId="0" borderId="0"/>
    <xf numFmtId="0" fontId="21" fillId="0" borderId="0"/>
    <xf numFmtId="0" fontId="21" fillId="0" borderId="0"/>
    <xf numFmtId="0" fontId="21" fillId="0" borderId="0"/>
    <xf numFmtId="0" fontId="22" fillId="0" borderId="0"/>
    <xf numFmtId="0" fontId="22" fillId="0" borderId="0"/>
    <xf numFmtId="0" fontId="21" fillId="0" borderId="0"/>
    <xf numFmtId="0" fontId="21" fillId="0" borderId="0"/>
    <xf numFmtId="0" fontId="21" fillId="0" borderId="0"/>
    <xf numFmtId="0" fontId="16" fillId="0" borderId="0"/>
    <xf numFmtId="0" fontId="21" fillId="0" borderId="0"/>
    <xf numFmtId="0" fontId="21" fillId="0" borderId="0"/>
    <xf numFmtId="0" fontId="21" fillId="0" borderId="0"/>
    <xf numFmtId="0" fontId="21" fillId="0" borderId="0"/>
    <xf numFmtId="9" fontId="18" fillId="0" borderId="0"/>
    <xf numFmtId="9" fontId="21" fillId="0" borderId="0"/>
    <xf numFmtId="9" fontId="21" fillId="0" borderId="0"/>
    <xf numFmtId="9" fontId="23" fillId="0" borderId="0"/>
    <xf numFmtId="9" fontId="17" fillId="0" borderId="0"/>
    <xf numFmtId="9" fontId="21" fillId="0" borderId="0"/>
    <xf numFmtId="190" fontId="18" fillId="0" borderId="0"/>
    <xf numFmtId="9" fontId="21" fillId="0" borderId="0"/>
    <xf numFmtId="9" fontId="21" fillId="0" borderId="0"/>
    <xf numFmtId="0" fontId="25" fillId="0" borderId="0"/>
    <xf numFmtId="0" fontId="20" fillId="0" borderId="0"/>
    <xf numFmtId="43" fontId="26" fillId="0" borderId="0"/>
    <xf numFmtId="9" fontId="2" fillId="0" borderId="0"/>
    <xf numFmtId="0" fontId="18" fillId="0" borderId="0"/>
    <xf numFmtId="186" fontId="18" fillId="0" borderId="0"/>
    <xf numFmtId="187" fontId="18" fillId="0" borderId="0"/>
    <xf numFmtId="189" fontId="18" fillId="0" borderId="0"/>
    <xf numFmtId="0" fontId="18" fillId="0" borderId="0"/>
    <xf numFmtId="9" fontId="18" fillId="0" borderId="0"/>
    <xf numFmtId="190" fontId="18" fillId="0" borderId="0"/>
    <xf numFmtId="0" fontId="27" fillId="0" borderId="0"/>
    <xf numFmtId="0" fontId="2" fillId="0" borderId="0"/>
    <xf numFmtId="43" fontId="2"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8" fillId="0" borderId="0"/>
    <xf numFmtId="0" fontId="18" fillId="0" borderId="0"/>
    <xf numFmtId="0" fontId="17" fillId="10" borderId="0"/>
    <xf numFmtId="0" fontId="17" fillId="11" borderId="0"/>
    <xf numFmtId="0" fontId="17" fillId="12" borderId="0"/>
    <xf numFmtId="0" fontId="17" fillId="13" borderId="0"/>
    <xf numFmtId="0" fontId="17" fillId="14" borderId="0"/>
    <xf numFmtId="0" fontId="17" fillId="15" borderId="0"/>
    <xf numFmtId="0" fontId="17" fillId="10" borderId="0"/>
    <xf numFmtId="0" fontId="17" fillId="11" borderId="0"/>
    <xf numFmtId="0" fontId="17" fillId="12" borderId="0"/>
    <xf numFmtId="0" fontId="17" fillId="13" borderId="0"/>
    <xf numFmtId="0" fontId="17" fillId="14" borderId="0"/>
    <xf numFmtId="0" fontId="17" fillId="15" borderId="0"/>
    <xf numFmtId="0" fontId="17" fillId="16" borderId="0"/>
    <xf numFmtId="0" fontId="17" fillId="17" borderId="0"/>
    <xf numFmtId="0" fontId="17" fillId="18" borderId="0"/>
    <xf numFmtId="0" fontId="17" fillId="13" borderId="0"/>
    <xf numFmtId="0" fontId="17" fillId="16" borderId="0"/>
    <xf numFmtId="0" fontId="17" fillId="19" borderId="0"/>
    <xf numFmtId="0" fontId="17" fillId="16" borderId="0"/>
    <xf numFmtId="0" fontId="17" fillId="17" borderId="0"/>
    <xf numFmtId="0" fontId="17" fillId="18" borderId="0"/>
    <xf numFmtId="0" fontId="17" fillId="13" borderId="0"/>
    <xf numFmtId="0" fontId="17" fillId="16" borderId="0"/>
    <xf numFmtId="0" fontId="17" fillId="19" borderId="0"/>
    <xf numFmtId="0" fontId="29" fillId="20" borderId="0"/>
    <xf numFmtId="0" fontId="29" fillId="17" borderId="0"/>
    <xf numFmtId="0" fontId="29" fillId="18" borderId="0"/>
    <xf numFmtId="0" fontId="29" fillId="21" borderId="0"/>
    <xf numFmtId="0" fontId="29" fillId="22" borderId="0"/>
    <xf numFmtId="0" fontId="29" fillId="23" borderId="0"/>
    <xf numFmtId="0" fontId="29" fillId="20" borderId="0"/>
    <xf numFmtId="0" fontId="29" fillId="17" borderId="0"/>
    <xf numFmtId="0" fontId="29" fillId="18" borderId="0"/>
    <xf numFmtId="0" fontId="29" fillId="21" borderId="0"/>
    <xf numFmtId="0" fontId="29" fillId="22" borderId="0"/>
    <xf numFmtId="0" fontId="29" fillId="23" borderId="0"/>
    <xf numFmtId="0" fontId="17" fillId="24" borderId="0"/>
    <xf numFmtId="0" fontId="17" fillId="25" borderId="0"/>
    <xf numFmtId="0" fontId="29" fillId="26" borderId="0"/>
    <xf numFmtId="0" fontId="17" fillId="27" borderId="0"/>
    <xf numFmtId="0" fontId="17" fillId="28" borderId="0"/>
    <xf numFmtId="0" fontId="29" fillId="29" borderId="0"/>
    <xf numFmtId="0" fontId="17" fillId="30" borderId="0"/>
    <xf numFmtId="0" fontId="17" fillId="31" borderId="0"/>
    <xf numFmtId="0" fontId="29" fillId="32" borderId="0"/>
    <xf numFmtId="0" fontId="17" fillId="27" borderId="0"/>
    <xf numFmtId="0" fontId="17" fillId="33" borderId="0"/>
    <xf numFmtId="0" fontId="29" fillId="28" borderId="0"/>
    <xf numFmtId="0" fontId="17" fillId="34" borderId="0"/>
    <xf numFmtId="0" fontId="17" fillId="35" borderId="0"/>
    <xf numFmtId="0" fontId="29" fillId="26" borderId="0"/>
    <xf numFmtId="0" fontId="17" fillId="36" borderId="0"/>
    <xf numFmtId="0" fontId="17" fillId="37" borderId="0"/>
    <xf numFmtId="0" fontId="29" fillId="38" borderId="0"/>
    <xf numFmtId="0" fontId="30" fillId="0" borderId="0"/>
    <xf numFmtId="0" fontId="18" fillId="9" borderId="6"/>
    <xf numFmtId="0" fontId="17" fillId="9" borderId="6"/>
    <xf numFmtId="0" fontId="31" fillId="39" borderId="7"/>
    <xf numFmtId="0" fontId="31" fillId="39" borderId="7"/>
    <xf numFmtId="191" fontId="32" fillId="40" borderId="8" applyProtection="1">
      <protection locked="0" hidden="0"/>
    </xf>
    <xf numFmtId="0" fontId="33" fillId="12" borderId="0"/>
    <xf numFmtId="37" fontId="34" fillId="0" borderId="1" applyAlignment="1">
      <alignment horizontal="center"/>
    </xf>
    <xf numFmtId="37" fontId="34" fillId="0" borderId="0" applyAlignment="1">
      <alignment horizontal="center" vertical="center" wrapText="1"/>
    </xf>
    <xf numFmtId="43" fontId="18" fillId="0" borderId="0"/>
    <xf numFmtId="0" fontId="35" fillId="11" borderId="0"/>
    <xf numFmtId="0" fontId="36" fillId="41" borderId="0"/>
    <xf numFmtId="0" fontId="36" fillId="42" borderId="0"/>
    <xf numFmtId="0" fontId="36" fillId="43" borderId="0"/>
    <xf numFmtId="188" fontId="18" fillId="0" borderId="0"/>
    <xf numFmtId="0" fontId="37" fillId="44" borderId="0"/>
    <xf numFmtId="0" fontId="38" fillId="0" borderId="0"/>
    <xf numFmtId="192" fontId="39" fillId="0" borderId="0"/>
    <xf numFmtId="15" fontId="19" fillId="0" borderId="0" applyAlignment="1">
      <alignment horizontal="center"/>
    </xf>
    <xf numFmtId="0" fontId="37" fillId="11" borderId="0"/>
    <xf numFmtId="193" fontId="40" fillId="39" borderId="5"/>
    <xf numFmtId="194" fontId="41" fillId="0" borderId="0"/>
    <xf numFmtId="194" fontId="42" fillId="0" borderId="0"/>
    <xf numFmtId="15" fontId="32" fillId="45" borderId="9" applyAlignment="1" applyProtection="1">
      <alignment horizontal="center"/>
      <protection locked="0" hidden="0"/>
    </xf>
    <xf numFmtId="195" fontId="32" fillId="45" borderId="9" applyProtection="1">
      <protection locked="0" hidden="0"/>
    </xf>
    <xf numFmtId="194" fontId="32" fillId="45" borderId="9" applyProtection="1">
      <protection locked="0" hidden="0"/>
    </xf>
    <xf numFmtId="194" fontId="19" fillId="0" borderId="0"/>
    <xf numFmtId="195" fontId="19" fillId="0" borderId="0"/>
    <xf numFmtId="196" fontId="19" fillId="0" borderId="0"/>
    <xf numFmtId="0" fontId="37" fillId="0" borderId="10"/>
    <xf numFmtId="0" fontId="37" fillId="0" borderId="11"/>
    <xf numFmtId="0" fontId="37" fillId="18" borderId="0"/>
    <xf numFmtId="0" fontId="29" fillId="46" borderId="0"/>
    <xf numFmtId="0" fontId="29" fillId="47" borderId="0"/>
    <xf numFmtId="0" fontId="29" fillId="48" borderId="0"/>
    <xf numFmtId="0" fontId="29" fillId="21" borderId="0"/>
    <xf numFmtId="0" fontId="29" fillId="22" borderId="0"/>
    <xf numFmtId="0" fontId="29" fillId="49" borderId="0"/>
    <xf numFmtId="0" fontId="43" fillId="0" borderId="0"/>
    <xf numFmtId="0" fontId="43" fillId="0" borderId="0"/>
    <xf numFmtId="0" fontId="37" fillId="0" borderId="0"/>
    <xf numFmtId="0" fontId="33" fillId="12" borderId="0"/>
    <xf numFmtId="0" fontId="44" fillId="15" borderId="7"/>
    <xf numFmtId="0" fontId="45" fillId="44" borderId="12"/>
    <xf numFmtId="0" fontId="45" fillId="44" borderId="12"/>
    <xf numFmtId="0" fontId="46" fillId="0" borderId="13"/>
    <xf numFmtId="37" fontId="47" fillId="0" borderId="0"/>
    <xf numFmtId="0" fontId="29" fillId="46" borderId="0"/>
    <xf numFmtId="0" fontId="29" fillId="47" borderId="0"/>
    <xf numFmtId="0" fontId="29" fillId="48" borderId="0"/>
    <xf numFmtId="0" fontId="29" fillId="21" borderId="0"/>
    <xf numFmtId="0" fontId="29" fillId="22" borderId="0"/>
    <xf numFmtId="0" fontId="29" fillId="49" borderId="0"/>
    <xf numFmtId="194" fontId="18" fillId="44" borderId="0"/>
    <xf numFmtId="194" fontId="38" fillId="0" borderId="0"/>
    <xf numFmtId="192" fontId="39" fillId="0" borderId="0"/>
    <xf numFmtId="15" fontId="19" fillId="0" borderId="0" applyAlignment="1">
      <alignment horizontal="center"/>
    </xf>
    <xf numFmtId="194" fontId="18" fillId="11" borderId="0"/>
    <xf numFmtId="193" fontId="40" fillId="39" borderId="5"/>
    <xf numFmtId="194" fontId="41" fillId="0" borderId="0"/>
    <xf numFmtId="194" fontId="42" fillId="0" borderId="0"/>
    <xf numFmtId="15" fontId="32" fillId="45" borderId="9" applyAlignment="1" applyProtection="1">
      <alignment horizontal="center"/>
      <protection locked="0" hidden="0"/>
    </xf>
    <xf numFmtId="195" fontId="32" fillId="45" borderId="9" applyProtection="1">
      <protection locked="0" hidden="0"/>
    </xf>
    <xf numFmtId="194" fontId="32" fillId="45" borderId="9" applyProtection="1">
      <protection locked="0" hidden="0"/>
    </xf>
    <xf numFmtId="194" fontId="19" fillId="0" borderId="0"/>
    <xf numFmtId="195" fontId="19" fillId="0" borderId="0"/>
    <xf numFmtId="196" fontId="19" fillId="0" borderId="0"/>
    <xf numFmtId="194" fontId="18" fillId="0" borderId="10"/>
    <xf numFmtId="194" fontId="18" fillId="0" borderId="11"/>
    <xf numFmtId="194" fontId="18" fillId="18" borderId="0"/>
    <xf numFmtId="0" fontId="18" fillId="0" borderId="0"/>
    <xf numFmtId="0" fontId="48" fillId="0" borderId="14"/>
    <xf numFmtId="0" fontId="49" fillId="0" borderId="15"/>
    <xf numFmtId="0" fontId="50" fillId="0" borderId="16"/>
    <xf numFmtId="0" fontId="50" fillId="0" borderId="0"/>
    <xf numFmtId="9" fontId="17" fillId="0" borderId="0"/>
    <xf numFmtId="9" fontId="18" fillId="0" borderId="0"/>
    <xf numFmtId="0" fontId="51" fillId="0" borderId="0"/>
    <xf numFmtId="0" fontId="48" fillId="0" borderId="14"/>
    <xf numFmtId="0" fontId="49" fillId="0" borderId="15"/>
    <xf numFmtId="0" fontId="50" fillId="0" borderId="16"/>
    <xf numFmtId="0" fontId="50" fillId="0" borderId="0"/>
    <xf numFmtId="0" fontId="46" fillId="0" borderId="13"/>
    <xf numFmtId="4" fontId="40" fillId="40" borderId="17" applyAlignment="1">
      <alignment vertical="center"/>
    </xf>
    <xf numFmtId="4" fontId="52" fillId="40" borderId="17" applyAlignment="1">
      <alignment vertical="center"/>
    </xf>
    <xf numFmtId="4" fontId="53" fillId="40" borderId="17" applyAlignment="1">
      <alignment horizontal="left" vertical="center" indent="1"/>
    </xf>
    <xf numFmtId="0" fontId="54" fillId="45" borderId="17" applyAlignment="1">
      <alignment horizontal="left" vertical="top" indent="1"/>
    </xf>
    <xf numFmtId="4" fontId="53" fillId="50" borderId="0" applyAlignment="1">
      <alignment horizontal="left" vertical="center" indent="1"/>
    </xf>
    <xf numFmtId="4" fontId="53" fillId="51" borderId="17" applyAlignment="1">
      <alignment horizontal="right" vertical="center"/>
    </xf>
    <xf numFmtId="4" fontId="53" fillId="52" borderId="17" applyAlignment="1">
      <alignment horizontal="right" vertical="center"/>
    </xf>
    <xf numFmtId="4" fontId="53" fillId="53" borderId="17" applyAlignment="1">
      <alignment horizontal="right" vertical="center"/>
    </xf>
    <xf numFmtId="4" fontId="53" fillId="54" borderId="17" applyAlignment="1">
      <alignment horizontal="right" vertical="center"/>
    </xf>
    <xf numFmtId="4" fontId="53" fillId="55" borderId="17" applyAlignment="1">
      <alignment horizontal="right" vertical="center"/>
    </xf>
    <xf numFmtId="4" fontId="53" fillId="56" borderId="17" applyAlignment="1">
      <alignment horizontal="right" vertical="center"/>
    </xf>
    <xf numFmtId="4" fontId="53" fillId="57" borderId="17" applyAlignment="1">
      <alignment horizontal="right" vertical="center"/>
    </xf>
    <xf numFmtId="4" fontId="53" fillId="58" borderId="17" applyAlignment="1">
      <alignment horizontal="right" vertical="center"/>
    </xf>
    <xf numFmtId="4" fontId="53" fillId="59" borderId="17" applyAlignment="1">
      <alignment horizontal="right" vertical="center"/>
    </xf>
    <xf numFmtId="4" fontId="40" fillId="60" borderId="18" applyAlignment="1">
      <alignment horizontal="left" vertical="center" indent="1"/>
    </xf>
    <xf numFmtId="4" fontId="40" fillId="61" borderId="0" applyAlignment="1">
      <alignment horizontal="left" vertical="center" indent="1"/>
    </xf>
    <xf numFmtId="4" fontId="40" fillId="50" borderId="0" applyAlignment="1">
      <alignment horizontal="left" vertical="center" indent="1"/>
    </xf>
    <xf numFmtId="4" fontId="53" fillId="61" borderId="17" applyAlignment="1">
      <alignment horizontal="right" vertical="center"/>
    </xf>
    <xf numFmtId="4" fontId="19" fillId="61" borderId="0" applyAlignment="1">
      <alignment horizontal="left" vertical="center" indent="1"/>
    </xf>
    <xf numFmtId="4" fontId="19" fillId="50" borderId="0" applyAlignment="1">
      <alignment horizontal="left" vertical="center" indent="1"/>
    </xf>
    <xf numFmtId="0" fontId="55" fillId="39" borderId="19" applyAlignment="1">
      <alignment horizontal="left" vertical="center" indent="1"/>
    </xf>
    <xf numFmtId="0" fontId="55" fillId="62" borderId="17" applyAlignment="1">
      <alignment horizontal="left" vertical="top" indent="1"/>
    </xf>
    <xf numFmtId="0" fontId="55" fillId="63" borderId="19" applyAlignment="1">
      <alignment horizontal="left" vertical="center" indent="1"/>
    </xf>
    <xf numFmtId="0" fontId="55" fillId="64" borderId="17" applyAlignment="1">
      <alignment horizontal="left" vertical="top" indent="1"/>
    </xf>
    <xf numFmtId="0" fontId="55" fillId="16" borderId="19" applyAlignment="1">
      <alignment horizontal="left" vertical="center" indent="1"/>
    </xf>
    <xf numFmtId="0" fontId="55" fillId="16" borderId="17" applyAlignment="1">
      <alignment horizontal="left" vertical="top" indent="1"/>
    </xf>
    <xf numFmtId="0" fontId="55" fillId="65" borderId="19" applyAlignment="1">
      <alignment horizontal="left" vertical="center" indent="1"/>
    </xf>
    <xf numFmtId="0" fontId="55" fillId="65" borderId="17" applyAlignment="1">
      <alignment horizontal="left" vertical="top" indent="1"/>
    </xf>
    <xf numFmtId="0" fontId="55" fillId="66" borderId="20" applyProtection="1">
      <protection locked="0" hidden="0"/>
    </xf>
    <xf numFmtId="0" fontId="56" fillId="62" borderId="21"/>
    <xf numFmtId="4" fontId="53" fillId="67" borderId="17" applyAlignment="1">
      <alignment vertical="center"/>
    </xf>
    <xf numFmtId="4" fontId="57" fillId="67" borderId="17" applyAlignment="1">
      <alignment vertical="center"/>
    </xf>
    <xf numFmtId="4" fontId="40" fillId="61" borderId="22" applyAlignment="1">
      <alignment horizontal="left" vertical="center" indent="1"/>
    </xf>
    <xf numFmtId="0" fontId="58" fillId="9" borderId="17" applyAlignment="1">
      <alignment horizontal="left" vertical="top" indent="1"/>
    </xf>
    <xf numFmtId="4" fontId="53" fillId="67" borderId="17" applyAlignment="1">
      <alignment horizontal="right" vertical="center"/>
    </xf>
    <xf numFmtId="4" fontId="57" fillId="67" borderId="17" applyAlignment="1">
      <alignment horizontal="right" vertical="center"/>
    </xf>
    <xf numFmtId="4" fontId="40" fillId="61" borderId="17" applyAlignment="1">
      <alignment horizontal="left" vertical="center" indent="1"/>
    </xf>
    <xf numFmtId="0" fontId="58" fillId="64" borderId="17" applyAlignment="1">
      <alignment horizontal="left" vertical="top" indent="1"/>
    </xf>
    <xf numFmtId="4" fontId="59" fillId="68" borderId="22" applyAlignment="1">
      <alignment horizontal="left" vertical="center" indent="1"/>
    </xf>
    <xf numFmtId="0" fontId="55" fillId="69" borderId="8"/>
    <xf numFmtId="4" fontId="60" fillId="67" borderId="17" applyAlignment="1">
      <alignment horizontal="right" vertical="center"/>
    </xf>
    <xf numFmtId="0" fontId="61" fillId="0" borderId="0"/>
    <xf numFmtId="0" fontId="18" fillId="0" borderId="0"/>
    <xf numFmtId="37" fontId="34" fillId="0" borderId="23"/>
    <xf numFmtId="0" fontId="36" fillId="0" borderId="24"/>
    <xf numFmtId="49" fontId="37" fillId="0" borderId="0"/>
    <xf numFmtId="0" fontId="51" fillId="0" borderId="0"/>
    <xf numFmtId="37" fontId="34" fillId="0" borderId="25"/>
    <xf numFmtId="0" fontId="35" fillId="11" borderId="0"/>
    <xf numFmtId="0" fontId="62" fillId="39" borderId="26"/>
    <xf numFmtId="0" fontId="30" fillId="0" borderId="0"/>
    <xf numFmtId="9" fontId="27" fillId="0" borderId="0"/>
    <xf numFmtId="0" fontId="63" fillId="0" borderId="0" applyAlignment="1" applyProtection="1">
      <alignment vertical="top"/>
      <protection locked="0" hidden="0"/>
    </xf>
    <xf numFmtId="0" fontId="17" fillId="10" borderId="0"/>
    <xf numFmtId="0" fontId="17" fillId="11" borderId="0"/>
    <xf numFmtId="0" fontId="17" fillId="12" borderId="0"/>
    <xf numFmtId="0" fontId="17" fillId="13" borderId="0"/>
    <xf numFmtId="0" fontId="17" fillId="14" borderId="0"/>
    <xf numFmtId="0" fontId="17" fillId="15" borderId="0"/>
    <xf numFmtId="0" fontId="17" fillId="16" borderId="0"/>
    <xf numFmtId="0" fontId="17" fillId="17" borderId="0"/>
    <xf numFmtId="0" fontId="17" fillId="18" borderId="0"/>
    <xf numFmtId="0" fontId="17" fillId="13" borderId="0"/>
    <xf numFmtId="0" fontId="17" fillId="16" borderId="0"/>
    <xf numFmtId="0" fontId="17" fillId="19" borderId="0"/>
    <xf numFmtId="0" fontId="18" fillId="0" borderId="0"/>
    <xf numFmtId="0" fontId="18" fillId="0" borderId="0"/>
    <xf numFmtId="0" fontId="18" fillId="0" borderId="0"/>
    <xf numFmtId="0" fontId="17" fillId="9" borderId="6"/>
    <xf numFmtId="0" fontId="17" fillId="9" borderId="6"/>
    <xf numFmtId="0" fontId="1" fillId="0" borderId="0"/>
    <xf numFmtId="0" fontId="1" fillId="0" borderId="0"/>
    <xf numFmtId="43" fontId="1" fillId="0" borderId="0"/>
    <xf numFmtId="9" fontId="1" fillId="0" borderId="0"/>
    <xf numFmtId="0" fontId="1" fillId="0" borderId="0"/>
    <xf numFmtId="0" fontId="28" fillId="0" borderId="0"/>
    <xf numFmtId="43" fontId="27" fillId="0" borderId="0"/>
    <xf numFmtId="194" fontId="18" fillId="0" borderId="0"/>
    <xf numFmtId="194" fontId="18" fillId="0" borderId="0"/>
    <xf numFmtId="194" fontId="18" fillId="0" borderId="0"/>
    <xf numFmtId="194" fontId="18" fillId="0" borderId="0"/>
    <xf numFmtId="194" fontId="18" fillId="0" borderId="0"/>
    <xf numFmtId="194" fontId="18" fillId="0" borderId="0"/>
    <xf numFmtId="0" fontId="2" fillId="0" borderId="0"/>
    <xf numFmtId="194" fontId="18" fillId="0" borderId="0"/>
    <xf numFmtId="194" fontId="18" fillId="0" borderId="0"/>
    <xf numFmtId="194" fontId="18" fillId="0" borderId="0"/>
    <xf numFmtId="194" fontId="18" fillId="0" borderId="0"/>
    <xf numFmtId="194" fontId="18" fillId="0" borderId="0"/>
    <xf numFmtId="194" fontId="18" fillId="0" borderId="0"/>
    <xf numFmtId="194" fontId="18" fillId="0" borderId="0"/>
    <xf numFmtId="15" fontId="32" fillId="45" borderId="9" applyAlignment="1" applyProtection="1">
      <alignment horizontal="center"/>
      <protection locked="0" hidden="0"/>
    </xf>
    <xf numFmtId="194" fontId="18" fillId="0" borderId="0"/>
    <xf numFmtId="0" fontId="68" fillId="0" borderId="0"/>
    <xf numFmtId="0" fontId="1" fillId="0" borderId="0"/>
    <xf numFmtId="0" fontId="69" fillId="0" borderId="0"/>
    <xf numFmtId="9" fontId="2" fillId="0" borderId="0"/>
    <xf numFmtId="43" fontId="21" fillId="0" borderId="0"/>
    <xf numFmtId="43" fontId="21" fillId="0" borderId="0"/>
    <xf numFmtId="43" fontId="21" fillId="0" borderId="0"/>
    <xf numFmtId="43" fontId="21" fillId="0" borderId="0"/>
    <xf numFmtId="43" fontId="21" fillId="0" borderId="0"/>
    <xf numFmtId="43" fontId="21" fillId="0" borderId="0"/>
    <xf numFmtId="43" fontId="23" fillId="0" borderId="0"/>
    <xf numFmtId="43" fontId="21" fillId="0" borderId="0"/>
    <xf numFmtId="43" fontId="21" fillId="0" borderId="0"/>
    <xf numFmtId="43" fontId="21" fillId="0" borderId="0"/>
    <xf numFmtId="43" fontId="21" fillId="0" borderId="0"/>
    <xf numFmtId="43" fontId="17" fillId="0" borderId="0"/>
    <xf numFmtId="43" fontId="21" fillId="0" borderId="0"/>
    <xf numFmtId="43" fontId="21" fillId="0" borderId="0"/>
    <xf numFmtId="43" fontId="21" fillId="0" borderId="0"/>
    <xf numFmtId="43" fontId="26" fillId="0" borderId="0"/>
    <xf numFmtId="9" fontId="2" fillId="0" borderId="0"/>
    <xf numFmtId="0" fontId="2" fillId="0" borderId="0"/>
    <xf numFmtId="43" fontId="2" fillId="0" borderId="0"/>
    <xf numFmtId="37" fontId="34" fillId="0" borderId="1" applyAlignment="1">
      <alignment horizontal="center"/>
    </xf>
    <xf numFmtId="37" fontId="34" fillId="0" borderId="0" applyAlignment="1">
      <alignment horizontal="center" vertical="center" wrapText="1"/>
    </xf>
    <xf numFmtId="43" fontId="18" fillId="0" borderId="0"/>
    <xf numFmtId="37" fontId="47" fillId="0" borderId="0"/>
    <xf numFmtId="37" fontId="34" fillId="0" borderId="23"/>
    <xf numFmtId="37" fontId="34" fillId="0" borderId="25"/>
    <xf numFmtId="0" fontId="1" fillId="0" borderId="0"/>
    <xf numFmtId="0" fontId="1" fillId="0" borderId="0"/>
    <xf numFmtId="43" fontId="1" fillId="0" borderId="0"/>
    <xf numFmtId="9" fontId="1" fillId="0" borderId="0"/>
    <xf numFmtId="0" fontId="1" fillId="0" borderId="0"/>
    <xf numFmtId="43" fontId="27" fillId="0" borderId="0"/>
    <xf numFmtId="0" fontId="2" fillId="0" borderId="0"/>
  </cellStyleXfs>
  <cellXfs count="187">
    <xf numFmtId="0" fontId="0" fillId="0" borderId="0" pivotButton="0" quotePrefix="0" xfId="0"/>
    <xf numFmtId="164" fontId="4" fillId="0" borderId="0" applyAlignment="1" pivotButton="0" quotePrefix="0" xfId="0">
      <alignment vertical="center"/>
    </xf>
    <xf numFmtId="0" fontId="3" fillId="8" borderId="0" applyAlignment="1" pivotButton="0" quotePrefix="0" xfId="0">
      <alignment vertical="center"/>
    </xf>
    <xf numFmtId="0" fontId="10" fillId="8" borderId="0" applyAlignment="1" pivotButton="0" quotePrefix="0" xfId="0">
      <alignment vertical="center"/>
    </xf>
    <xf numFmtId="0" fontId="4" fillId="0" borderId="0" applyAlignment="1" pivotButton="0" quotePrefix="0" xfId="0">
      <alignment vertical="center"/>
    </xf>
    <xf numFmtId="165" fontId="3" fillId="0" borderId="0" applyAlignment="1" pivotButton="0" quotePrefix="0" xfId="0">
      <alignment vertical="center"/>
    </xf>
    <xf numFmtId="165" fontId="3" fillId="0" borderId="0" applyAlignment="1" pivotButton="0" quotePrefix="0" xfId="0">
      <alignment horizontal="left" vertical="center"/>
    </xf>
    <xf numFmtId="165" fontId="3" fillId="0" borderId="0" applyAlignment="1" pivotButton="0" quotePrefix="0" xfId="0">
      <alignment horizontal="center" vertical="center"/>
    </xf>
    <xf numFmtId="165" fontId="7" fillId="5" borderId="0" applyAlignment="1" pivotButton="0" quotePrefix="0" xfId="0">
      <alignment vertical="center"/>
    </xf>
    <xf numFmtId="165" fontId="5" fillId="4" borderId="0" applyAlignment="1" pivotButton="0" quotePrefix="0" xfId="0">
      <alignment vertical="center"/>
    </xf>
    <xf numFmtId="165" fontId="3" fillId="4" borderId="0" applyAlignment="1" pivotButton="0" quotePrefix="0" xfId="0">
      <alignment vertical="center"/>
    </xf>
    <xf numFmtId="1" fontId="3" fillId="4" borderId="0" applyAlignment="1" pivotButton="0" quotePrefix="0" xfId="0">
      <alignment vertical="center"/>
    </xf>
    <xf numFmtId="166" fontId="3" fillId="0" borderId="0" applyAlignment="1" pivotButton="0" quotePrefix="0" xfId="0">
      <alignment vertical="center"/>
    </xf>
    <xf numFmtId="165" fontId="5" fillId="4" borderId="0" applyAlignment="1" pivotButton="0" quotePrefix="0" xfId="0">
      <alignment horizontal="right" vertical="center"/>
    </xf>
    <xf numFmtId="166" fontId="3" fillId="0" borderId="0" applyAlignment="1" pivotButton="0" quotePrefix="0" xfId="0">
      <alignment horizontal="right" vertical="center"/>
    </xf>
    <xf numFmtId="0" fontId="11" fillId="0" borderId="0" applyAlignment="1" pivotButton="0" quotePrefix="0" xfId="0">
      <alignment vertical="center"/>
    </xf>
    <xf numFmtId="167" fontId="3" fillId="0" borderId="0" applyAlignment="1" pivotButton="0" quotePrefix="0" xfId="0">
      <alignment vertical="center"/>
    </xf>
    <xf numFmtId="4" fontId="3" fillId="0" borderId="0" applyAlignment="1" pivotButton="0" quotePrefix="0" xfId="0">
      <alignment vertical="center"/>
    </xf>
    <xf numFmtId="10" fontId="3" fillId="0" borderId="0" applyAlignment="1" pivotButton="0" quotePrefix="0" xfId="0">
      <alignment vertical="center"/>
    </xf>
    <xf numFmtId="0" fontId="3" fillId="0" borderId="0" applyAlignment="1" pivotButton="0" quotePrefix="1" xfId="0">
      <alignment vertical="center"/>
    </xf>
    <xf numFmtId="3" fontId="3" fillId="0" borderId="0" applyAlignment="1" pivotButton="0" quotePrefix="0" xfId="0">
      <alignment vertical="center"/>
    </xf>
    <xf numFmtId="0" fontId="3" fillId="0" borderId="0" applyAlignment="1" pivotButton="0" quotePrefix="0" xfId="0">
      <alignment vertical="center"/>
    </xf>
    <xf numFmtId="0" fontId="12" fillId="4" borderId="0" applyAlignment="1" pivotButton="0" quotePrefix="0" xfId="0">
      <alignment horizontal="left" vertical="center"/>
    </xf>
    <xf numFmtId="0" fontId="4" fillId="4" borderId="0" applyAlignment="1" pivotButton="0" quotePrefix="0" xfId="0">
      <alignment horizontal="left" vertical="center"/>
    </xf>
    <xf numFmtId="0" fontId="4" fillId="4" borderId="0" applyAlignment="1" pivotButton="0" quotePrefix="0" xfId="0">
      <alignment vertical="center"/>
    </xf>
    <xf numFmtId="0" fontId="13" fillId="4" borderId="0" applyAlignment="1" pivotButton="0" quotePrefix="0" xfId="0">
      <alignment horizontal="left" vertical="center"/>
    </xf>
    <xf numFmtId="0" fontId="13" fillId="4" borderId="0" applyAlignment="1" pivotButton="0" quotePrefix="0" xfId="0">
      <alignment vertical="center"/>
    </xf>
    <xf numFmtId="165" fontId="4" fillId="0" borderId="0" applyAlignment="1" pivotButton="0" quotePrefix="0" xfId="0">
      <alignment vertical="center"/>
    </xf>
    <xf numFmtId="165" fontId="8" fillId="0" borderId="0" applyAlignment="1" pivotButton="0" quotePrefix="0" xfId="0">
      <alignment vertical="center"/>
    </xf>
    <xf numFmtId="0" fontId="4" fillId="0" borderId="2" applyAlignment="1" pivotButton="0" quotePrefix="0" xfId="0">
      <alignment vertical="center"/>
    </xf>
    <xf numFmtId="164" fontId="4" fillId="0" borderId="0" applyAlignment="1" pivotButton="0" quotePrefix="0" xfId="0">
      <alignment horizontal="left" vertical="center"/>
    </xf>
    <xf numFmtId="0" fontId="4" fillId="7" borderId="3" applyAlignment="1" pivotButton="0" quotePrefix="0" xfId="0">
      <alignment vertical="center"/>
    </xf>
    <xf numFmtId="0" fontId="10" fillId="0" borderId="0" applyAlignment="1" pivotButton="0" quotePrefix="0" xfId="0">
      <alignment vertical="center"/>
    </xf>
    <xf numFmtId="165" fontId="3" fillId="6" borderId="0" applyAlignment="1" pivotButton="0" quotePrefix="0" xfId="0">
      <alignment vertical="center"/>
    </xf>
    <xf numFmtId="2" fontId="3" fillId="0" borderId="0" applyAlignment="1" pivotButton="0" quotePrefix="0" xfId="0">
      <alignment vertical="center"/>
    </xf>
    <xf numFmtId="10" fontId="3" fillId="0" borderId="0" applyAlignment="1" pivotButton="0" quotePrefix="1" xfId="0">
      <alignment vertical="center"/>
    </xf>
    <xf numFmtId="165" fontId="3" fillId="5" borderId="0" applyAlignment="1" pivotButton="0" quotePrefix="0" xfId="0">
      <alignment vertical="center"/>
    </xf>
    <xf numFmtId="168" fontId="3" fillId="0" borderId="0" applyAlignment="1" pivotButton="0" quotePrefix="0" xfId="0">
      <alignment vertical="center"/>
    </xf>
    <xf numFmtId="169" fontId="3" fillId="0" borderId="0" applyAlignment="1" pivotButton="0" quotePrefix="0" xfId="1">
      <alignment vertical="center"/>
    </xf>
    <xf numFmtId="43" fontId="3" fillId="0" borderId="0" applyAlignment="1" pivotButton="0" quotePrefix="0" xfId="75">
      <alignment vertical="center"/>
    </xf>
    <xf numFmtId="165" fontId="3" fillId="2" borderId="0" applyAlignment="1" pivotButton="0" quotePrefix="0" xfId="0">
      <alignment vertical="center"/>
    </xf>
    <xf numFmtId="14" fontId="3" fillId="0" borderId="0" applyAlignment="1" pivotButton="0" quotePrefix="0" xfId="0">
      <alignment vertical="center"/>
    </xf>
    <xf numFmtId="165" fontId="14" fillId="2" borderId="0" applyAlignment="1" pivotButton="0" quotePrefix="0" xfId="0">
      <alignment vertical="center"/>
    </xf>
    <xf numFmtId="0" fontId="4" fillId="0" borderId="0" applyAlignment="1" pivotButton="0" quotePrefix="0" xfId="0">
      <alignment vertical="center" wrapText="1"/>
    </xf>
    <xf numFmtId="170" fontId="3" fillId="0" borderId="0" applyAlignment="1" pivotButton="0" quotePrefix="0" xfId="75">
      <alignment vertical="center"/>
    </xf>
    <xf numFmtId="171" fontId="3" fillId="0" borderId="0" applyAlignment="1" pivotButton="0" quotePrefix="0" xfId="75">
      <alignment vertical="center"/>
    </xf>
    <xf numFmtId="165" fontId="3" fillId="0" borderId="0" applyAlignment="1" pivotButton="0" quotePrefix="0" xfId="0">
      <alignment vertical="center" wrapText="1"/>
    </xf>
    <xf numFmtId="0" fontId="3" fillId="0" borderId="0" applyAlignment="1" pivotButton="0" quotePrefix="0" xfId="0">
      <alignment vertical="center" wrapText="1"/>
    </xf>
    <xf numFmtId="167" fontId="3" fillId="3" borderId="0" applyAlignment="1" pivotButton="0" quotePrefix="0" xfId="0">
      <alignment vertical="center"/>
    </xf>
    <xf numFmtId="172" fontId="3" fillId="0" borderId="0" applyAlignment="1" pivotButton="0" quotePrefix="0" xfId="75">
      <alignment vertical="center"/>
    </xf>
    <xf numFmtId="14" fontId="3" fillId="3" borderId="0" applyAlignment="1" pivotButton="0" quotePrefix="0" xfId="0">
      <alignment vertical="center"/>
    </xf>
    <xf numFmtId="173" fontId="3" fillId="3" borderId="0" applyAlignment="1" pivotButton="0" quotePrefix="0" xfId="0">
      <alignment vertical="center"/>
    </xf>
    <xf numFmtId="174" fontId="3" fillId="4" borderId="0" applyAlignment="1" pivotButton="0" quotePrefix="0" xfId="0">
      <alignment vertical="center"/>
    </xf>
    <xf numFmtId="4" fontId="3" fillId="3" borderId="0" applyAlignment="1" pivotButton="0" quotePrefix="0" xfId="0">
      <alignment vertical="center"/>
    </xf>
    <xf numFmtId="175" fontId="10" fillId="0" borderId="0" applyAlignment="1" pivotButton="0" quotePrefix="0" xfId="0">
      <alignment vertical="center"/>
    </xf>
    <xf numFmtId="176" fontId="3" fillId="0" borderId="0" applyAlignment="1" pivotButton="0" quotePrefix="0" xfId="75">
      <alignment vertical="center"/>
    </xf>
    <xf numFmtId="14" fontId="3" fillId="0" borderId="0" applyAlignment="1" pivotButton="0" quotePrefix="0" xfId="0">
      <alignment horizontal="center" vertical="center"/>
    </xf>
    <xf numFmtId="43" fontId="3" fillId="0" borderId="0" applyAlignment="1" pivotButton="0" quotePrefix="0" xfId="75">
      <alignment horizontal="right" vertical="center"/>
    </xf>
    <xf numFmtId="165" fontId="3" fillId="3" borderId="0" applyAlignment="1" pivotButton="0" quotePrefix="0" xfId="0">
      <alignment vertical="center"/>
    </xf>
    <xf numFmtId="165" fontId="3" fillId="3" borderId="2" applyAlignment="1" pivotButton="0" quotePrefix="0" xfId="0">
      <alignment vertical="center"/>
    </xf>
    <xf numFmtId="165" fontId="3" fillId="70" borderId="0" applyAlignment="1" pivotButton="0" quotePrefix="0" xfId="0">
      <alignment vertical="center"/>
    </xf>
    <xf numFmtId="165" fontId="3" fillId="4" borderId="0" applyAlignment="1" pivotButton="0" quotePrefix="0" xfId="0">
      <alignment horizontal="center" vertical="center"/>
    </xf>
    <xf numFmtId="14" fontId="3" fillId="4" borderId="0" applyAlignment="1" pivotButton="0" quotePrefix="0" xfId="0">
      <alignment vertical="center"/>
    </xf>
    <xf numFmtId="0" fontId="14" fillId="0" borderId="0" applyAlignment="1" pivotButton="0" quotePrefix="0" xfId="0">
      <alignment vertical="center"/>
    </xf>
    <xf numFmtId="176" fontId="3" fillId="0" borderId="0" applyAlignment="1" pivotButton="0" quotePrefix="0" xfId="0">
      <alignment vertical="center"/>
    </xf>
    <xf numFmtId="177" fontId="3" fillId="0" borderId="0" applyAlignment="1" pivotButton="0" quotePrefix="0" xfId="0">
      <alignment vertical="center"/>
    </xf>
    <xf numFmtId="176" fontId="3" fillId="0" borderId="4" applyAlignment="1" pivotButton="0" quotePrefix="0" xfId="75">
      <alignment vertical="center"/>
    </xf>
    <xf numFmtId="178" fontId="3" fillId="0" borderId="0" applyAlignment="1" pivotButton="0" quotePrefix="0" xfId="0">
      <alignment vertical="center"/>
    </xf>
    <xf numFmtId="179" fontId="3" fillId="0" borderId="0" applyAlignment="1" pivotButton="0" quotePrefix="0" xfId="0">
      <alignment vertical="center"/>
    </xf>
    <xf numFmtId="10" fontId="3" fillId="0" borderId="0" applyAlignment="1" pivotButton="0" quotePrefix="0" xfId="1">
      <alignment vertical="center"/>
    </xf>
    <xf numFmtId="169" fontId="3" fillId="0" borderId="0" applyAlignment="1" pivotButton="0" quotePrefix="0" xfId="0">
      <alignment vertical="center"/>
    </xf>
    <xf numFmtId="0" fontId="3" fillId="0" borderId="0" applyAlignment="1" pivotButton="0" quotePrefix="0" xfId="0">
      <alignment horizontal="right" vertical="center"/>
    </xf>
    <xf numFmtId="165" fontId="14" fillId="0" borderId="0" applyAlignment="1" pivotButton="0" quotePrefix="0" xfId="0">
      <alignment vertical="center"/>
    </xf>
    <xf numFmtId="169" fontId="3" fillId="3" borderId="0" applyAlignment="1" pivotButton="0" quotePrefix="0" xfId="0">
      <alignment vertical="center"/>
    </xf>
    <xf numFmtId="180" fontId="3" fillId="0" borderId="0" applyAlignment="1" pivotButton="0" quotePrefix="0" xfId="75">
      <alignment vertical="center"/>
    </xf>
    <xf numFmtId="165" fontId="65" fillId="5" borderId="0" applyAlignment="1" pivotButton="0" quotePrefix="0" xfId="0">
      <alignment vertical="center"/>
    </xf>
    <xf numFmtId="165" fontId="6" fillId="0" borderId="0" applyAlignment="1" pivotButton="0" quotePrefix="0" xfId="0">
      <alignment vertical="center"/>
    </xf>
    <xf numFmtId="165" fontId="66" fillId="0" borderId="0" applyAlignment="1" pivotButton="0" quotePrefix="0" xfId="0">
      <alignment vertical="center"/>
    </xf>
    <xf numFmtId="169" fontId="3" fillId="71" borderId="0" applyAlignment="1" pivotButton="0" quotePrefix="0" xfId="0">
      <alignment vertical="center"/>
    </xf>
    <xf numFmtId="169" fontId="3" fillId="72" borderId="0" applyAlignment="1" pivotButton="0" quotePrefix="0" xfId="0">
      <alignment vertical="center"/>
    </xf>
    <xf numFmtId="0" fontId="67" fillId="73" borderId="3" applyAlignment="1" pivotButton="0" quotePrefix="0" xfId="0">
      <alignment vertical="center"/>
    </xf>
    <xf numFmtId="0" fontId="4" fillId="3" borderId="27" applyAlignment="1" pivotButton="0" quotePrefix="0" xfId="0">
      <alignment vertical="center"/>
    </xf>
    <xf numFmtId="0" fontId="4" fillId="74" borderId="3" applyAlignment="1" pivotButton="0" quotePrefix="0" xfId="0">
      <alignment vertical="center"/>
    </xf>
    <xf numFmtId="164" fontId="64" fillId="0" borderId="0" applyAlignment="1" pivotButton="0" quotePrefix="0" xfId="2113">
      <alignment vertical="center"/>
    </xf>
    <xf numFmtId="168" fontId="6" fillId="0" borderId="0" applyAlignment="1" pivotButton="0" quotePrefix="0" xfId="0">
      <alignment vertical="center"/>
    </xf>
    <xf numFmtId="177" fontId="3" fillId="0" borderId="0" applyAlignment="1" pivotButton="0" quotePrefix="0" xfId="75">
      <alignment vertical="center"/>
    </xf>
    <xf numFmtId="0" fontId="5" fillId="0" borderId="0" applyAlignment="1" pivotButton="0" quotePrefix="0" xfId="0">
      <alignment vertical="center"/>
    </xf>
    <xf numFmtId="10" fontId="6" fillId="0" borderId="0" applyAlignment="1" pivotButton="0" quotePrefix="0" xfId="1">
      <alignment vertical="center"/>
    </xf>
    <xf numFmtId="181" fontId="3" fillId="0" borderId="0" applyAlignment="1" pivotButton="0" quotePrefix="0" xfId="0">
      <alignment vertical="center"/>
    </xf>
    <xf numFmtId="181" fontId="3" fillId="0" borderId="0" applyAlignment="1" pivotButton="0" quotePrefix="0" xfId="75">
      <alignment vertical="center"/>
    </xf>
    <xf numFmtId="173" fontId="3" fillId="0" borderId="4" applyAlignment="1" pivotButton="0" quotePrefix="0" xfId="0">
      <alignment vertical="center"/>
    </xf>
    <xf numFmtId="173" fontId="3" fillId="0" borderId="0" applyAlignment="1" pivotButton="0" quotePrefix="0" xfId="0">
      <alignment vertical="center"/>
    </xf>
    <xf numFmtId="171" fontId="3" fillId="6" borderId="0" applyAlignment="1" pivotButton="0" quotePrefix="0" xfId="0">
      <alignment vertical="center"/>
    </xf>
    <xf numFmtId="168" fontId="3" fillId="6" borderId="0" applyAlignment="1" pivotButton="0" quotePrefix="0" xfId="0">
      <alignment vertical="center"/>
    </xf>
    <xf numFmtId="168" fontId="3" fillId="2" borderId="0" applyAlignment="1" pivotButton="0" quotePrefix="0" xfId="0">
      <alignment vertical="center"/>
    </xf>
    <xf numFmtId="168" fontId="4" fillId="0" borderId="0" applyAlignment="1" pivotButton="0" quotePrefix="0" xfId="0">
      <alignment vertical="center"/>
    </xf>
    <xf numFmtId="182" fontId="6" fillId="0" borderId="0" applyAlignment="1" pivotButton="0" quotePrefix="0" xfId="0">
      <alignment vertical="center"/>
    </xf>
    <xf numFmtId="178" fontId="6" fillId="0" borderId="0" applyAlignment="1" pivotButton="0" quotePrefix="0" xfId="0">
      <alignment vertical="center"/>
    </xf>
    <xf numFmtId="166" fontId="6" fillId="0" borderId="0" applyAlignment="1" pivotButton="0" quotePrefix="0" xfId="0">
      <alignment vertical="center"/>
    </xf>
    <xf numFmtId="171" fontId="6" fillId="0" borderId="0" applyAlignment="1" pivotButton="0" quotePrefix="0" xfId="75">
      <alignment vertical="center"/>
    </xf>
    <xf numFmtId="183" fontId="3" fillId="0" borderId="0" applyAlignment="1" pivotButton="0" quotePrefix="0" xfId="75">
      <alignment vertical="center"/>
    </xf>
    <xf numFmtId="173" fontId="66" fillId="3" borderId="0" applyAlignment="1" pivotButton="0" quotePrefix="0" xfId="0">
      <alignment vertical="center"/>
    </xf>
    <xf numFmtId="173" fontId="66" fillId="0" borderId="0" applyAlignment="1" pivotButton="0" quotePrefix="0" xfId="0">
      <alignment vertical="center"/>
    </xf>
    <xf numFmtId="0" fontId="67" fillId="73" borderId="0" applyAlignment="1" pivotButton="0" quotePrefix="0" xfId="0">
      <alignment vertical="center"/>
    </xf>
    <xf numFmtId="0" fontId="4" fillId="0" borderId="8" applyAlignment="1" pivotButton="0" quotePrefix="0" xfId="2115">
      <alignment horizontal="center" vertical="center" wrapText="1"/>
    </xf>
    <xf numFmtId="0" fontId="3" fillId="0" borderId="8" applyAlignment="1" pivotButton="0" quotePrefix="0" xfId="2115">
      <alignment horizontal="center" vertical="center" wrapText="1"/>
    </xf>
    <xf numFmtId="14" fontId="4" fillId="0" borderId="8" applyAlignment="1" pivotButton="0" quotePrefix="0" xfId="2115">
      <alignment horizontal="center" vertical="center" wrapText="1"/>
    </xf>
    <xf numFmtId="0" fontId="66" fillId="0" borderId="8" applyAlignment="1" pivotButton="0" quotePrefix="0" xfId="2115">
      <alignment horizontal="center" vertical="center" wrapText="1"/>
    </xf>
    <xf numFmtId="0" fontId="4" fillId="0" borderId="8" applyAlignment="1" pivotButton="0" quotePrefix="0" xfId="2115">
      <alignment horizontal="center" vertical="center"/>
    </xf>
    <xf numFmtId="0" fontId="26" fillId="0" borderId="8" applyAlignment="1" pivotButton="0" quotePrefix="0" xfId="0">
      <alignment horizontal="center" vertical="center"/>
    </xf>
    <xf numFmtId="0" fontId="4" fillId="4" borderId="0" applyAlignment="1" pivotButton="0" quotePrefix="0" xfId="0">
      <alignment horizontal="center" vertical="center" wrapText="1"/>
    </xf>
    <xf numFmtId="0" fontId="26" fillId="0" borderId="0" applyAlignment="1" pivotButton="0" quotePrefix="0" xfId="0">
      <alignment horizontal="center" vertical="center" wrapText="1"/>
    </xf>
    <xf numFmtId="0" fontId="4" fillId="0" borderId="0" applyAlignment="1" pivotButton="0" quotePrefix="0" xfId="2115">
      <alignment horizontal="center" vertical="center" wrapText="1"/>
    </xf>
    <xf numFmtId="0" fontId="4" fillId="0" borderId="0" applyAlignment="1" pivotButton="0" quotePrefix="0" xfId="2115">
      <alignment horizontal="center" vertical="center"/>
    </xf>
    <xf numFmtId="0" fontId="26" fillId="0" borderId="0" applyAlignment="1" pivotButton="0" quotePrefix="0" xfId="0">
      <alignment horizontal="center" vertical="center"/>
    </xf>
    <xf numFmtId="0" fontId="70" fillId="0" borderId="0" applyAlignment="1" pivotButton="0" quotePrefix="0" xfId="2114">
      <alignment horizontal="center" vertical="center" wrapText="1"/>
    </xf>
    <xf numFmtId="43" fontId="6" fillId="0" borderId="0" applyAlignment="1" pivotButton="0" quotePrefix="0" xfId="75">
      <alignment vertical="center"/>
    </xf>
    <xf numFmtId="0" fontId="4" fillId="0" borderId="8" applyAlignment="1" pivotButton="0" quotePrefix="0" xfId="2115">
      <alignment horizontal="left" vertical="center" wrapText="1"/>
    </xf>
    <xf numFmtId="0" fontId="3" fillId="0" borderId="8" applyAlignment="1" pivotButton="0" quotePrefix="0" xfId="2115">
      <alignment horizontal="left" vertical="center" wrapText="1"/>
    </xf>
    <xf numFmtId="165" fontId="4" fillId="4" borderId="0" applyAlignment="1" pivotButton="0" quotePrefix="0" xfId="0">
      <alignment horizontal="left" vertical="center"/>
    </xf>
    <xf numFmtId="165" fontId="5" fillId="4" borderId="0" applyAlignment="1" pivotButton="0" quotePrefix="0" xfId="0">
      <alignment horizontal="left" vertical="center"/>
    </xf>
    <xf numFmtId="49" fontId="5" fillId="4" borderId="0" applyAlignment="1" pivotButton="0" quotePrefix="0" xfId="0">
      <alignment vertical="center"/>
    </xf>
    <xf numFmtId="49" fontId="3" fillId="4" borderId="0" applyAlignment="1" pivotButton="0" quotePrefix="0" xfId="0">
      <alignment horizontal="center" vertical="center"/>
    </xf>
    <xf numFmtId="49" fontId="3" fillId="0" borderId="0" applyAlignment="1" pivotButton="0" quotePrefix="0" xfId="0">
      <alignment vertical="center"/>
    </xf>
    <xf numFmtId="49" fontId="0" fillId="0" borderId="0" pivotButton="0" quotePrefix="0" xfId="0"/>
    <xf numFmtId="49" fontId="0" fillId="3" borderId="0" pivotButton="0" quotePrefix="0" xfId="0"/>
    <xf numFmtId="165" fontId="71" fillId="4" borderId="0" applyAlignment="1" pivotButton="0" quotePrefix="0" xfId="0">
      <alignment vertical="center"/>
    </xf>
    <xf numFmtId="0" fontId="26" fillId="0" borderId="0" applyAlignment="1" pivotButton="0" quotePrefix="0" xfId="0">
      <alignment horizontal="left" vertical="center"/>
    </xf>
    <xf numFmtId="0" fontId="4" fillId="0" borderId="0" applyAlignment="1" pivotButton="0" quotePrefix="0" xfId="2115">
      <alignment horizontal="left" vertical="center"/>
    </xf>
    <xf numFmtId="0" fontId="72" fillId="4" borderId="0" applyAlignment="1" pivotButton="0" quotePrefix="0" xfId="0">
      <alignment horizontal="left" vertical="center"/>
    </xf>
    <xf numFmtId="165" fontId="73" fillId="0" borderId="0" applyAlignment="1" pivotButton="0" quotePrefix="0" xfId="0">
      <alignment vertical="center"/>
    </xf>
    <xf numFmtId="165" fontId="66" fillId="3" borderId="0" applyAlignment="1" pivotButton="0" quotePrefix="0" xfId="0">
      <alignment horizontal="right" vertical="center"/>
    </xf>
    <xf numFmtId="14" fontId="66" fillId="3" borderId="0" applyAlignment="1" pivotButton="0" quotePrefix="0" xfId="0">
      <alignment vertical="center"/>
    </xf>
    <xf numFmtId="0" fontId="66" fillId="3" borderId="0" applyAlignment="1" pivotButton="0" quotePrefix="0" xfId="0">
      <alignment vertical="center"/>
    </xf>
    <xf numFmtId="172" fontId="66" fillId="3" borderId="0" applyAlignment="1" pivotButton="0" quotePrefix="0" xfId="75">
      <alignment vertical="center"/>
    </xf>
    <xf numFmtId="10" fontId="66" fillId="3" borderId="0" applyAlignment="1" pivotButton="0" quotePrefix="0" xfId="0">
      <alignment vertical="center"/>
    </xf>
    <xf numFmtId="10" fontId="66" fillId="0" borderId="0" applyAlignment="1" pivotButton="0" quotePrefix="0" xfId="0">
      <alignment vertical="center"/>
    </xf>
    <xf numFmtId="0" fontId="66" fillId="0" borderId="0" applyAlignment="1" pivotButton="0" quotePrefix="0" xfId="0">
      <alignment vertical="center"/>
    </xf>
    <xf numFmtId="43" fontId="66" fillId="0" borderId="0" applyAlignment="1" pivotButton="0" quotePrefix="0" xfId="75">
      <alignment vertical="center"/>
    </xf>
    <xf numFmtId="184" fontId="66" fillId="3" borderId="0" applyAlignment="1" pivotButton="0" quotePrefix="0" xfId="75">
      <alignment vertical="center"/>
    </xf>
    <xf numFmtId="184" fontId="66" fillId="0" borderId="0" applyAlignment="1" pivotButton="0" quotePrefix="0" xfId="75">
      <alignment vertical="center"/>
    </xf>
    <xf numFmtId="167" fontId="66" fillId="0" borderId="4" applyAlignment="1" pivotButton="0" quotePrefix="0" xfId="0">
      <alignment vertical="center"/>
    </xf>
    <xf numFmtId="167" fontId="66" fillId="3" borderId="0" applyAlignment="1" pivotButton="0" quotePrefix="0" xfId="0">
      <alignment vertical="center"/>
    </xf>
    <xf numFmtId="14" fontId="66" fillId="3" borderId="0" applyAlignment="1" pivotButton="0" quotePrefix="0" xfId="0">
      <alignment horizontal="center" vertical="center"/>
    </xf>
    <xf numFmtId="171" fontId="66" fillId="0" borderId="0" applyAlignment="1" pivotButton="0" quotePrefix="0" xfId="75">
      <alignment vertical="center"/>
    </xf>
    <xf numFmtId="176" fontId="66" fillId="0" borderId="0" applyAlignment="1" pivotButton="0" quotePrefix="0" xfId="75">
      <alignment vertical="center"/>
    </xf>
    <xf numFmtId="171" fontId="66" fillId="3" borderId="0" applyAlignment="1" pivotButton="0" quotePrefix="0" xfId="0">
      <alignment vertical="center"/>
    </xf>
    <xf numFmtId="168" fontId="66" fillId="0" borderId="0" applyAlignment="1" pivotButton="0" quotePrefix="0" xfId="75">
      <alignment vertical="center"/>
    </xf>
    <xf numFmtId="168" fontId="66" fillId="3" borderId="0" applyAlignment="1" pivotButton="0" quotePrefix="0" xfId="0">
      <alignment vertical="center"/>
    </xf>
    <xf numFmtId="176" fontId="73" fillId="0" borderId="0" applyAlignment="1" pivotButton="0" quotePrefix="0" xfId="75">
      <alignment vertical="center"/>
    </xf>
    <xf numFmtId="168" fontId="73" fillId="0" borderId="0" applyAlignment="1" pivotButton="0" quotePrefix="0" xfId="0">
      <alignment vertical="center"/>
    </xf>
    <xf numFmtId="168" fontId="66" fillId="0" borderId="0" applyAlignment="1" pivotButton="0" quotePrefix="0" xfId="0">
      <alignment vertical="center"/>
    </xf>
    <xf numFmtId="0" fontId="14" fillId="4" borderId="0" applyAlignment="1" pivotButton="0" quotePrefix="0" xfId="0">
      <alignment horizontal="left" vertical="top" wrapText="1"/>
    </xf>
    <xf numFmtId="0" fontId="14" fillId="4" borderId="0" applyAlignment="1" pivotButton="0" quotePrefix="0" xfId="0">
      <alignment horizontal="left" vertical="top"/>
    </xf>
    <xf numFmtId="165" fontId="7" fillId="0" borderId="0" applyAlignment="1" pivotButton="0" quotePrefix="0" xfId="0">
      <alignment vertical="center"/>
    </xf>
    <xf numFmtId="165" fontId="10" fillId="0" borderId="0" applyAlignment="1" pivotButton="0" quotePrefix="0" xfId="0">
      <alignment horizontal="left" vertical="center"/>
    </xf>
    <xf numFmtId="179" fontId="4" fillId="0" borderId="8" applyAlignment="1" pivotButton="0" quotePrefix="0" xfId="2115">
      <alignment horizontal="center" vertical="center" wrapText="1"/>
    </xf>
    <xf numFmtId="179" fontId="26" fillId="0" borderId="8" applyAlignment="1" pivotButton="0" quotePrefix="0" xfId="0">
      <alignment horizontal="center" vertical="center"/>
    </xf>
    <xf numFmtId="0" fontId="4" fillId="0" borderId="8" applyAlignment="1" pivotButton="0" quotePrefix="0" xfId="2115">
      <alignment horizontal="left" vertical="center"/>
    </xf>
    <xf numFmtId="0" fontId="9" fillId="4" borderId="0" applyAlignment="1" pivotButton="0" quotePrefix="0" xfId="0">
      <alignment horizontal="center" vertical="center" wrapText="1"/>
    </xf>
    <xf numFmtId="0" fontId="3" fillId="3" borderId="0" applyAlignment="1" pivotButton="0" quotePrefix="0" xfId="0">
      <alignment vertical="center" wrapText="1"/>
    </xf>
    <xf numFmtId="0" fontId="3" fillId="3" borderId="0" applyAlignment="1" pivotButton="0" quotePrefix="0" xfId="0">
      <alignment vertical="center"/>
    </xf>
    <xf numFmtId="175" fontId="74" fillId="0" borderId="0" applyAlignment="1" pivotButton="0" quotePrefix="0" xfId="0">
      <alignment vertical="center"/>
    </xf>
    <xf numFmtId="0" fontId="75" fillId="0" borderId="0" pivotButton="0" quotePrefix="0" xfId="0"/>
    <xf numFmtId="14" fontId="66" fillId="4" borderId="2" applyAlignment="1" pivotButton="0" quotePrefix="0" xfId="0">
      <alignment vertical="center"/>
    </xf>
    <xf numFmtId="14" fontId="66" fillId="4" borderId="0" applyAlignment="1" pivotButton="0" quotePrefix="0" xfId="0">
      <alignment vertical="center"/>
    </xf>
    <xf numFmtId="1" fontId="66" fillId="4" borderId="0" applyAlignment="1" pivotButton="0" quotePrefix="0" xfId="0">
      <alignment vertical="center"/>
    </xf>
    <xf numFmtId="165" fontId="10" fillId="0" borderId="0" applyAlignment="1" pivotButton="0" quotePrefix="0" xfId="0">
      <alignment vertical="center"/>
    </xf>
    <xf numFmtId="165" fontId="74" fillId="0" borderId="0" applyAlignment="1" pivotButton="0" quotePrefix="0" xfId="0">
      <alignment vertical="center"/>
    </xf>
    <xf numFmtId="165" fontId="10" fillId="0" borderId="0" applyAlignment="1" pivotButton="0" quotePrefix="0" xfId="0">
      <alignment horizontal="center" vertical="center"/>
    </xf>
    <xf numFmtId="0" fontId="0" fillId="0" borderId="8" pivotButton="0" quotePrefix="0" xfId="0"/>
    <xf numFmtId="0" fontId="3" fillId="75" borderId="0" applyAlignment="1" pivotButton="0" quotePrefix="0" xfId="0">
      <alignment vertical="center"/>
    </xf>
    <xf numFmtId="0" fontId="0" fillId="75" borderId="0" pivotButton="0" quotePrefix="0" xfId="0"/>
    <xf numFmtId="0" fontId="76" fillId="75" borderId="0" applyAlignment="1" pivotButton="0" quotePrefix="0" xfId="0">
      <alignment vertical="center"/>
    </xf>
    <xf numFmtId="0" fontId="76" fillId="0" borderId="0" applyAlignment="1" pivotButton="0" quotePrefix="0" xfId="0">
      <alignment vertical="center"/>
    </xf>
    <xf numFmtId="165" fontId="76" fillId="0" borderId="0" applyAlignment="1" pivotButton="0" quotePrefix="0" xfId="0">
      <alignment vertical="center"/>
    </xf>
    <xf numFmtId="2" fontId="76" fillId="0" borderId="0" applyAlignment="1" pivotButton="0" quotePrefix="0" xfId="0">
      <alignment vertical="center"/>
    </xf>
    <xf numFmtId="0" fontId="77" fillId="0" borderId="0" applyAlignment="1" pivotButton="0" quotePrefix="0" xfId="0">
      <alignment vertical="center"/>
    </xf>
    <xf numFmtId="0" fontId="3" fillId="71" borderId="0" applyAlignment="1" pivotButton="0" quotePrefix="0" xfId="0">
      <alignment vertical="center"/>
    </xf>
    <xf numFmtId="0" fontId="3" fillId="71" borderId="0" applyAlignment="1" pivotButton="0" quotePrefix="0" xfId="0">
      <alignment vertical="center" wrapText="1"/>
    </xf>
    <xf numFmtId="173" fontId="3" fillId="71" borderId="0" applyAlignment="1" pivotButton="0" quotePrefix="0" xfId="0">
      <alignment vertical="center"/>
    </xf>
    <xf numFmtId="165" fontId="3" fillId="71" borderId="0" applyAlignment="1" pivotButton="0" quotePrefix="0" xfId="0">
      <alignment vertical="center"/>
    </xf>
    <xf numFmtId="185" fontId="66" fillId="3" borderId="0" applyAlignment="1" pivotButton="0" quotePrefix="0" xfId="0">
      <alignment vertical="center"/>
    </xf>
    <xf numFmtId="165" fontId="3" fillId="76" borderId="0" applyAlignment="1" pivotButton="0" quotePrefix="0" xfId="0">
      <alignment vertical="center"/>
    </xf>
    <xf numFmtId="168" fontId="6" fillId="71" borderId="0" applyAlignment="1" pivotButton="0" quotePrefix="0" xfId="0">
      <alignment vertical="center"/>
    </xf>
    <xf numFmtId="0" fontId="14" fillId="4" borderId="0" applyAlignment="1" pivotButton="0" quotePrefix="0" xfId="0">
      <alignment horizontal="left" vertical="top" wrapText="1"/>
    </xf>
    <xf numFmtId="0" fontId="4" fillId="4" borderId="0" applyAlignment="1" pivotButton="0" quotePrefix="0" xfId="0">
      <alignment vertical="center"/>
    </xf>
  </cellXfs>
  <cellStyles count="2149">
    <cellStyle name="Normal" xfId="0" builtinId="0"/>
    <cellStyle name="Per cent" xfId="1" builtinId="5"/>
    <cellStyle name="Hyperlink" xfId="2" builtinId="8" hidden="1"/>
    <cellStyle name="=C:\WINNT\SYSTEM32\COMMAND.COM" xfId="3"/>
    <cellStyle name="Normal 12" xfId="4"/>
    <cellStyle name="%" xfId="5"/>
    <cellStyle name="% 2" xfId="6"/>
    <cellStyle name="=C:\WINNT\SYSTEM32\COMMAND.COM 2" xfId="7"/>
    <cellStyle name="=C:\WINNT\SYSTEM32\COMMAND.COM 2 2" xfId="8"/>
    <cellStyle name="=C:\WINNT\SYSTEM32\COMMAND.COM 2 2 10" xfId="9"/>
    <cellStyle name="=C:\WINNT\SYSTEM32\COMMAND.COM 2 2 2" xfId="10"/>
    <cellStyle name="=C:\WINNT\SYSTEM32\COMMAND.COM 3" xfId="11"/>
    <cellStyle name="=C:\WINNT\SYSTEM32\COMMAND.COM 4" xfId="12"/>
    <cellStyle name="=C:\WINNT\SYSTEM32\COMMAND.COM_Gas_Run_060918" xfId="13"/>
    <cellStyle name="Comma 11" xfId="14"/>
    <cellStyle name="Comma 10" xfId="15"/>
    <cellStyle name="Comma 12" xfId="16"/>
    <cellStyle name="Comma 13" xfId="17"/>
    <cellStyle name="Comma 14" xfId="18"/>
    <cellStyle name="Comma 17" xfId="19"/>
    <cellStyle name="Comma 18" xfId="20"/>
    <cellStyle name="Comma 2" xfId="21"/>
    <cellStyle name="Comma 2 2" xfId="22"/>
    <cellStyle name="Comma 2_InputSA" xfId="23"/>
    <cellStyle name="Comma 20" xfId="24"/>
    <cellStyle name="Comma 21" xfId="25"/>
    <cellStyle name="Comma 25" xfId="26"/>
    <cellStyle name="Comma 26" xfId="27"/>
    <cellStyle name="Comma 3" xfId="28"/>
    <cellStyle name="Comma 4" xfId="29"/>
    <cellStyle name="Comma 4 2" xfId="30"/>
    <cellStyle name="Comma 5" xfId="31"/>
    <cellStyle name="Comma 6" xfId="32"/>
    <cellStyle name="Comma 7" xfId="33"/>
    <cellStyle name="Comma 8" xfId="34"/>
    <cellStyle name="Comma 9" xfId="35"/>
    <cellStyle name="DateLong" xfId="36"/>
    <cellStyle name="Euro" xfId="37"/>
    <cellStyle name="EYNormal" xfId="38"/>
    <cellStyle name="Factor" xfId="39"/>
    <cellStyle name="InputData" xfId="40"/>
    <cellStyle name="Normal 10" xfId="41"/>
    <cellStyle name="Normal 11" xfId="42"/>
    <cellStyle name="Normal 13 2" xfId="43"/>
    <cellStyle name="Normal 13 2 2" xfId="44"/>
    <cellStyle name="Normal 13 2_SHETL" xfId="45"/>
    <cellStyle name="Normal 2" xfId="46"/>
    <cellStyle name="Normal 2 2" xfId="47"/>
    <cellStyle name="Normal 2_InputSA" xfId="48"/>
    <cellStyle name="Normal 3" xfId="49"/>
    <cellStyle name="Normal 3 2" xfId="50"/>
    <cellStyle name="Normal 3 3 2" xfId="51"/>
    <cellStyle name="Normal 3_Financial Analysis template" xfId="52"/>
    <cellStyle name="Normal 4" xfId="53"/>
    <cellStyle name="Normal 4 2" xfId="54"/>
    <cellStyle name="Normal 4_InputSA" xfId="55"/>
    <cellStyle name="Normal 5" xfId="56"/>
    <cellStyle name="Normal 5 2" xfId="57"/>
    <cellStyle name="Normal 54" xfId="58"/>
    <cellStyle name="Normal 58" xfId="59"/>
    <cellStyle name="Normal 6" xfId="60"/>
    <cellStyle name="Normal 7" xfId="61"/>
    <cellStyle name="Normal 8" xfId="62"/>
    <cellStyle name="Normal 9" xfId="63"/>
    <cellStyle name="Percent 6" xfId="64"/>
    <cellStyle name="Percent 15" xfId="65"/>
    <cellStyle name="Percent 2" xfId="66"/>
    <cellStyle name="Percent 2 2" xfId="67"/>
    <cellStyle name="Percent 3" xfId="68"/>
    <cellStyle name="Percent 4" xfId="69"/>
    <cellStyle name="Percent 5" xfId="70"/>
    <cellStyle name="Percent 9 2 2" xfId="71"/>
    <cellStyle name="Percent 9 3" xfId="72"/>
    <cellStyle name="RangeName" xfId="73"/>
    <cellStyle name="Style 1" xfId="74"/>
    <cellStyle name="Comma" xfId="75" builtinId="3"/>
    <cellStyle name="Percent 7" xfId="76"/>
    <cellStyle name="=C:\WINNT\SYSTEM32\COMMAND.COM 3 2" xfId="77"/>
    <cellStyle name="Comma 11 2" xfId="78"/>
    <cellStyle name="DateLong 2" xfId="79"/>
    <cellStyle name="Factor 2" xfId="80"/>
    <cellStyle name="Normal 11 2" xfId="81"/>
    <cellStyle name="Percent 6 2" xfId="82"/>
    <cellStyle name="Percent 5 2" xfId="83"/>
    <cellStyle name="Normal 13" xfId="84"/>
    <cellStyle name="Normal 2 3" xfId="85"/>
    <cellStyle name="Comma 2 3" xfId="86"/>
    <cellStyle name="% 3" xfId="87"/>
    <cellStyle name="%_NRA_model_for_NEMO" xfId="88"/>
    <cellStyle name="%_NRA_model_for_NEMO_NRA_model_for_NEMO2 (EMC Update) v0 30 1" xfId="89"/>
    <cellStyle name="%_NRA_model_for_NEMO_NRA_model_for_NEMO2 (EMC Update) v0.29.3" xfId="90"/>
    <cellStyle name="%_NRA_model_for_NEMO_NRA_model_for_NEMO2 (EMC Update) v0.29.3_NRA_model_for_NEMO2 (EMC Update) v0 30 1" xfId="91"/>
    <cellStyle name="%_NRA_model_for_NEMO_NRA_model_for_NEMO2 (EMC Update) v0.29.3_NRA_model_for_NEMO2 (EMC Update) v0.29.5" xfId="92"/>
    <cellStyle name="%_NRA_model_for_NEMO_NRA_model_for_NEMO2 (EMC Update) v0.29.3_NRA_model_for_NEMO2 (EMC Update) v0.29.5_NRA_model_for_NEMO2 (EMC Update) v0 30 1" xfId="93"/>
    <cellStyle name="%_NRA_model_for_NEMO_NRA_model_for_NEMO2 (EMC Update) v0.29.4" xfId="94"/>
    <cellStyle name="%_NRA_model_for_NEMO_NRA_model_for_NEMO2 (EMC Update) v0.29.4_NRA_model_for_NEMO2 (EMC Update) v0 30 1" xfId="95"/>
    <cellStyle name="%_NRA_model_for_NEMO_NRA_model_for_NEMO2 (EMC Update) v0.29.4_NRA_model_for_NEMO2 (EMC Update) v0.29.5" xfId="96"/>
    <cellStyle name="%_NRA_model_for_NEMO_NRA_model_for_NEMO2 (EMC Update) v0.29.4_NRA_model_for_NEMO2 (EMC Update) v0.29.5_NRA_model_for_NEMO2 (EMC Update) v0 30 1" xfId="97"/>
    <cellStyle name="%_NRA_model_for_NEMO_NRA_model_for_NEMO2 (EMC Update) v0.29.5" xfId="98"/>
    <cellStyle name="%_NRA_model_for_NEMO_NRA_model_for_NEMO2 (EMC Update) v0.29.5_NRA_model_for_NEMO2 (EMC Update) v0 30 1" xfId="99"/>
    <cellStyle name="%_NRA_model_for_NEMO2 " xfId="100"/>
    <cellStyle name="%_NRA_model_for_NEMO2 (E" xfId="101"/>
    <cellStyle name="%_NRA_model_for_NEMO2 (E_NRA_model_for_NEMO2 (EMC Update) v0 30 1" xfId="102"/>
    <cellStyle name="%_NRA_model_for_NEMO2 (EMC" xfId="103"/>
    <cellStyle name="%_NRA_model_for_NEMO2 (EMC Update) v0 30 1" xfId="104"/>
    <cellStyle name="%_NRA_model_for_NEMO2 (EMC Update) v0.19" xfId="105"/>
    <cellStyle name="%_NRA_model_for_NEMO2 (EMC Update) v0.19_NRA_model_for_NEMO2 (EMC Update) v0 30 1" xfId="106"/>
    <cellStyle name="%_NRA_model_for_NEMO2 (EMC Update) v0.19_NRA_model_for_NEMO2 (EMC Update) v0.21" xfId="107"/>
    <cellStyle name="%_NRA_model_for_NEMO2 (EMC Update) v0.19_NRA_model_for_NEMO2 (EMC Update) v0.21_NRA_model_for_NEMO2 (EMC Update) v0 30 1" xfId="108"/>
    <cellStyle name="%_NRA_model_for_NEMO2 (EMC Update) v0.19_NRA_model_for_NEMO2 (EMC Update) v0.21_NRA_model_for_NEMO2 (EMC Update) v0.22" xfId="109"/>
    <cellStyle name="%_NRA_model_for_NEMO2 (EMC Update) v0.19_NRA_model_for_NEMO2 (EMC Update) v0.21_NRA_model_for_NEMO2 (EMC Update) v0.22_NRA_model_for_NEMO2 (EMC Update) v0 30 1" xfId="110"/>
    <cellStyle name="%_NRA_model_for_NEMO2 (EMC Update) v0.19_NRA_model_for_NEMO2 (EMC Update) v0.21_NRA_model_for_NEMO2 (EMC Update) v0.22_NRA_model_for_NEMO2 (EMC Update) v0.25" xfId="111"/>
    <cellStyle name="%_NRA_model_for_NEMO2 (EMC Update) v0.19_NRA_model_for_NEMO2 (EMC Update) v0.21_NRA_model_for_NEMO2 (EMC Update) v0.22_NRA_model_for_NEMO2 (EMC Update) v0.25_NRA_model_for_NEMO2 (EMC Update) v0 30 1" xfId="112"/>
    <cellStyle name="%_NRA_model_for_NEMO2 (EMC Update) v0.19_NRA_model_for_NEMO2 (EMC Update) v0.21_NRA_model_for_NEMO2 (EMC Update) v0.22_NRA_model_for_NEMO2 (EMC Update) v0.25_NRA_model_for_NEMO2 (EMC Update) v0.26" xfId="113"/>
    <cellStyle name="%_NRA_model_for_NEMO2 (EMC Update) v0.19_NRA_model_for_NEMO2 (EMC Update) v0.21_NRA_model_for_NEMO2 (EMC Update) v0.22_NRA_model_for_NEMO2 (EMC Update) v0.25_NRA_model_for_NEMO2 (EMC Update) v0.26_NRA_model_for_NEMO2 (EMC Update) v0 30 1" xfId="114"/>
    <cellStyle name="%_NRA_model_for_NEMO2 (EMC Update) v0.19_NRA_model_for_NEMO2 (EMC Update) v0.21_NRA_model_for_NEMO2 (EMC Update) v0.22_NRA_model_for_NEMO2 (EMC Update) v0.25_NRA_model_for_NEMO2 (EMC Update) v0.26_NRA_model_for_NEMO2 (EMC Update) v0.29" xfId="115"/>
    <cellStyle name="%_NRA_model_for_NEMO2 (EMC Update) v0.19_NRA_model_for_NEMO2 (EMC Update) v0.21_NRA_model_for_NEMO2 (EMC Update) v0.22_NRA_model_for_NEMO2 (EMC Update) v0.25_NRA_model_for_NEMO2 (EMC Update) v0.26_NRA_model_for_NEMO2 (EMC Update) v0.29.2" xfId="116"/>
    <cellStyle name="%_NRA_model_for_NEMO2 (EMC Update) v0.19_NRA_model_for_NEMO2 (EMC Update) v0.21_NRA_model_for_NEMO2 (EMC Update) v0.22_NRA_model_for_NEMO2 (EMC Update) v0.25_NRA_model_for_NEMO2 (EMC Update) v0.26_NRA_model_for_NEMO2 (EMC Update) v0.29.3" xfId="117"/>
    <cellStyle name="%_NRA_model_for_NEMO2 (EMC Update) v0.19_NRA_model_for_NEMO2 (EMC Update) v0.21_NRA_model_for_NEMO2 (EMC Update) v0.22_NRA_model_for_NEMO2 (EMC Update) v0.25_NRA_model_for_NEMO2 (EMC Update) v0.26_NRA_model_for_NEMO2 (EMC Update) v0.29.4" xfId="118"/>
    <cellStyle name="%_NRA_model_for_NEMO2 (EMC Update) v0.19_NRA_model_for_NEMO2 (EMC Update) v0.21_NRA_model_for_NEMO2 (EMC Update) v0.22_NRA_model_for_NEMO2 (EMC Update) v0.25_NRA_model_for_NEMO2 (EMC Update) v0.26_NRA_model_for_NEMO2 (EMC Update) v0.29.5" xfId="119"/>
    <cellStyle name="%_NRA_model_for_NEMO2 (EMC Update) v0.19_NRA_model_for_NEMO2 (EMC Update) v0.21_NRA_model_for_NEMO2 (EMC Update) v0.22_NRA_model_for_NEMO2 (EMC Update) v0.25_NRA_model_for_NEMO2 (EMC Update) v0.29" xfId="120"/>
    <cellStyle name="%_NRA_model_for_NEMO2 (EMC Update) v0.19_NRA_model_for_NEMO2 (EMC Update) v0.21_NRA_model_for_NEMO2 (EMC Update) v0.22_NRA_model_for_NEMO2 (EMC Update) v0.25_NRA_model_for_NEMO2 (EMC Update) v0.29.2" xfId="121"/>
    <cellStyle name="%_NRA_model_for_NEMO2 (EMC Update) v0.19_NRA_model_for_NEMO2 (EMC Update) v0.21_NRA_model_for_NEMO2 (EMC Update) v0.22_NRA_model_for_NEMO2 (EMC Update) v0.25_NRA_model_for_NEMO2 (EMC Update) v0.29.2_NRA_model_for_NEMO2 (EMC Update) v0 30 1" xfId="122"/>
    <cellStyle name="%_NRA_model_for_NEMO2 (EMC Update) v0.19_NRA_model_for_NEMO2 (EMC Update) v0.21_NRA_model_for_NEMO2 (EMC Update) v0.22_NRA_model_for_NEMO2 (EMC Update) v0.25_NRA_model_for_NEMO2 (EMC Update) v0.29.2_NRA_model_for_NEMO2 (EMC Update) v0.29.3" xfId="123"/>
    <cellStyle name="%_NRA_model_for_NEMO2 (EMC Update) v0.19_NRA_model_for_NEMO2 (EMC Update) v0.21_NRA_model_for_NEMO2 (EMC Update) v0.22_NRA_model_for_NEMO2 (EMC Update) v0.25_NRA_model_for_NEMO2 (EMC Update) v0.29.2_NRA_model_for_NEMO2 (EMC Update) v0.29.4" xfId="124"/>
    <cellStyle name="%_NRA_model_for_NEMO2 (EMC Update) v0.19_NRA_model_for_NEMO2 (EMC Update) v0.21_NRA_model_for_NEMO2 (EMC Update) v0.22_NRA_model_for_NEMO2 (EMC Update) v0.25_NRA_model_for_NEMO2 (EMC Update) v0.29.2_NRA_model_for_NEMO2 (EMC Update) v0.29.5" xfId="125"/>
    <cellStyle name="%_NRA_model_for_NEMO2 (EMC Update) v0.19_NRA_model_for_NEMO2 (EMC Update) v0.21_NRA_model_for_NEMO2 (EMC Update) v0.22_NRA_model_for_NEMO2 (EMC Update) v0.25_NRA_model_for_NEMO2 (EMC Update) v0.29.3" xfId="126"/>
    <cellStyle name="%_NRA_model_for_NEMO2 (EMC Update) v0.19_NRA_model_for_NEMO2 (EMC Update) v0.21_NRA_model_for_NEMO2 (EMC Update) v0.22_NRA_model_for_NEMO2 (EMC Update) v0.25_NRA_model_for_NEMO2 (EMC Update) v0.29.3_NRA_model_for_NEMO2 (EMC Update) v0 30 1" xfId="127"/>
    <cellStyle name="%_NRA_model_for_NEMO2 (EMC Update) v0.19_NRA_model_for_NEMO2 (EMC Update) v0.21_NRA_model_for_NEMO2 (EMC Update) v0.22_NRA_model_for_NEMO2 (EMC Update) v0.25_NRA_model_for_NEMO2 (EMC Update) v0.29.3_NRA_model_for_NEMO2 (EMC Update) v0.29.5" xfId="128"/>
    <cellStyle name="%_NRA_model_for_NEMO2 (EMC Update) v0.19_NRA_model_for_NEMO2 (EMC Update) v0.21_NRA_model_for_NEMO2 (EMC Update) v0.22_NRA_model_for_NEMO2 (EMC Update) v0.25_NRA_model_for_NEMO2 (EMC Update) v0.29.4" xfId="129"/>
    <cellStyle name="%_NRA_model_for_NEMO2 (EMC Update) v0.19_NRA_model_for_NEMO2 (EMC Update) v0.21_NRA_model_for_NEMO2 (EMC Update) v0.22_NRA_model_for_NEMO2 (EMC Update) v0.25_NRA_model_for_NEMO2 (EMC Update) v0.29.4_NRA_model_for_NEMO2 (EMC Update) v0 30 1" xfId="130"/>
    <cellStyle name="%_NRA_model_for_NEMO2 (EMC Update) v0.19_NRA_model_for_NEMO2 (EMC Update) v0.21_NRA_model_for_NEMO2 (EMC Update) v0.22_NRA_model_for_NEMO2 (EMC Update) v0.25_NRA_model_for_NEMO2 (EMC Update) v0.29.4_NRA_model_for_NEMO2 (EMC Update) v0.29.5" xfId="131"/>
    <cellStyle name="%_NRA_model_for_NEMO2 (EMC Update) v0.19_NRA_model_for_NEMO2 (EMC Update) v0.21_NRA_model_for_NEMO2 (EMC Update) v0.22_NRA_model_for_NEMO2 (EMC Update) v0.25_NRA_model_for_NEMO2 (EMC Update) v0.29.5" xfId="132"/>
    <cellStyle name="%_NRA_model_for_NEMO2 (EMC Update) v0.19_NRA_model_for_NEMO2 (EMC Update) v0.21_NRA_model_for_NEMO2 (EMC Update) v0.22_NRA_model_for_NEMO2 (EMC Update) v0.25_NRA_model_for_NEMO2 (EMC Update) v0.29.5_NRA_model_for_NEMO2 (EMC Update) v0 30 1" xfId="133"/>
    <cellStyle name="%_NRA_model_for_NEMO2 (EMC Update) v0.19_NRA_model_for_NEMO2 (EMC Update) v0.21_NRA_model_for_NEMO2 (EMC Update) v0.22_NRA_model_for_NEMO2 (EMC Update) v0.25_NRA_model_for_NEMO2 (EMC Update) v0.29_NRA_model_for_NEMO2 (EMC Update) v0 30 1" xfId="134"/>
    <cellStyle name="%_NRA_model_for_NEMO2 (EMC Update) v0.19_NRA_model_for_NEMO2 (EMC Update) v0.21_NRA_model_for_NEMO2 (EMC Update) v0.22_NRA_model_for_NEMO2 (EMC Update) v0.25_NRA_model_for_NEMO2 (EMC Update) v0.29_NRA_model_for_NEMO2 (EMC Update) v0.29.2" xfId="135"/>
    <cellStyle name="%_NRA_model_for_NEMO2 (EMC Update) v0.19_NRA_model_for_NEMO2 (EMC Update) v0.21_NRA_model_for_NEMO2 (EMC Update) v0.22_NRA_model_for_NEMO2 (EMC Update) v0.25_NRA_model_for_NEMO2 (EMC Update) v0.29_NRA_model_for_NEMO2 (EMC Update) v0.29.3" xfId="136"/>
    <cellStyle name="%_NRA_model_for_NEMO2 (EMC Update) v0.19_NRA_model_for_NEMO2 (EMC Update) v0.21_NRA_model_for_NEMO2 (EMC Update) v0.22_NRA_model_for_NEMO2 (EMC Update) v0.25_NRA_model_for_NEMO2 (EMC Update) v0.29_NRA_model_for_NEMO2 (EMC Update) v0.29.4" xfId="137"/>
    <cellStyle name="%_NRA_model_for_NEMO2 (EMC Update) v0.19_NRA_model_for_NEMO2 (EMC Update) v0.21_NRA_model_for_NEMO2 (EMC Update) v0.22_NRA_model_for_NEMO2 (EMC Update) v0.25_NRA_model_for_NEMO2 (EMC Update) v0.29_NRA_model_for_NEMO2 (EMC Update) v0.29.5" xfId="138"/>
    <cellStyle name="%_NRA_model_for_NEMO2 (EMC Update) v0.19_NRA_model_for_NEMO2 (EMC Update) v0.21_NRA_model_for_NEMO2 (EMC Update) v0.22_NRA_model_for_NEMO2 (EMC Update) v0.26" xfId="139"/>
    <cellStyle name="%_NRA_model_for_NEMO2 (EMC Update) v0.19_NRA_model_for_NEMO2 (EMC Update) v0.21_NRA_model_for_NEMO2 (EMC Update) v0.22_NRA_model_for_NEMO2 (EMC Update) v0.26_NRA_model_for_NEMO2 (EMC Update) v0 30 1" xfId="140"/>
    <cellStyle name="%_NRA_model_for_NEMO2 (EMC Update) v0.19_NRA_model_for_NEMO2 (EMC Update) v0.21_NRA_model_for_NEMO2 (EMC Update) v0.22_NRA_model_for_NEMO2 (EMC Update) v0.26_NRA_model_for_NEMO2 (EMC Update) v0.29" xfId="141"/>
    <cellStyle name="%_NRA_model_for_NEMO2 (EMC Update) v0.19_NRA_model_for_NEMO2 (EMC Update) v0.21_NRA_model_for_NEMO2 (EMC Update) v0.22_NRA_model_for_NEMO2 (EMC Update) v0.26_NRA_model_for_NEMO2 (EMC Update) v0.29.2" xfId="142"/>
    <cellStyle name="%_NRA_model_for_NEMO2 (EMC Update) v0.19_NRA_model_for_NEMO2 (EMC Update) v0.21_NRA_model_for_NEMO2 (EMC Update) v0.22_NRA_model_for_NEMO2 (EMC Update) v0.26_NRA_model_for_NEMO2 (EMC Update) v0.29.2_NRA_model_for_NEMO2 (EMC Update) v0 30 1" xfId="143"/>
    <cellStyle name="%_NRA_model_for_NEMO2 (EMC Update) v0.19_NRA_model_for_NEMO2 (EMC Update) v0.21_NRA_model_for_NEMO2 (EMC Update) v0.22_NRA_model_for_NEMO2 (EMC Update) v0.26_NRA_model_for_NEMO2 (EMC Update) v0.29.2_NRA_model_for_NEMO2 (EMC Update) v0.29.3" xfId="144"/>
    <cellStyle name="%_NRA_model_for_NEMO2 (EMC Update) v0.19_NRA_model_for_NEMO2 (EMC Update) v0.21_NRA_model_for_NEMO2 (EMC Update) v0.22_NRA_model_for_NEMO2 (EMC Update) v0.26_NRA_model_for_NEMO2 (EMC Update) v0.29.2_NRA_model_for_NEMO2 (EMC Update) v0.29.4" xfId="145"/>
    <cellStyle name="%_NRA_model_for_NEMO2 (EMC Update) v0.19_NRA_model_for_NEMO2 (EMC Update) v0.21_NRA_model_for_NEMO2 (EMC Update) v0.22_NRA_model_for_NEMO2 (EMC Update) v0.26_NRA_model_for_NEMO2 (EMC Update) v0.29.2_NRA_model_for_NEMO2 (EMC Update) v0.29.5" xfId="146"/>
    <cellStyle name="%_NRA_model_for_NEMO2 (EMC Update) v0.19_NRA_model_for_NEMO2 (EMC Update) v0.21_NRA_model_for_NEMO2 (EMC Update) v0.22_NRA_model_for_NEMO2 (EMC Update) v0.26_NRA_model_for_NEMO2 (EMC Update) v0.29.3" xfId="147"/>
    <cellStyle name="%_NRA_model_for_NEMO2 (EMC Update) v0.19_NRA_model_for_NEMO2 (EMC Update) v0.21_NRA_model_for_NEMO2 (EMC Update) v0.22_NRA_model_for_NEMO2 (EMC Update) v0.26_NRA_model_for_NEMO2 (EMC Update) v0.29.3_NRA_model_for_NEMO2 (EMC Update) v0 30 1" xfId="148"/>
    <cellStyle name="%_NRA_model_for_NEMO2 (EMC Update) v0.19_NRA_model_for_NEMO2 (EMC Update) v0.21_NRA_model_for_NEMO2 (EMC Update) v0.22_NRA_model_for_NEMO2 (EMC Update) v0.26_NRA_model_for_NEMO2 (EMC Update) v0.29.3_NRA_model_for_NEMO2 (EMC Update) v0.29.5" xfId="149"/>
    <cellStyle name="%_NRA_model_for_NEMO2 (EMC Update) v0.19_NRA_model_for_NEMO2 (EMC Update) v0.21_NRA_model_for_NEMO2 (EMC Update) v0.22_NRA_model_for_NEMO2 (EMC Update) v0.26_NRA_model_for_NEMO2 (EMC Update) v0.29.4" xfId="150"/>
    <cellStyle name="%_NRA_model_for_NEMO2 (EMC Update) v0.19_NRA_model_for_NEMO2 (EMC Update) v0.21_NRA_model_for_NEMO2 (EMC Update) v0.22_NRA_model_for_NEMO2 (EMC Update) v0.26_NRA_model_for_NEMO2 (EMC Update) v0.29.4_NRA_model_for_NEMO2 (EMC Update) v0 30 1" xfId="151"/>
    <cellStyle name="%_NRA_model_for_NEMO2 (EMC Update) v0.19_NRA_model_for_NEMO2 (EMC Update) v0.21_NRA_model_for_NEMO2 (EMC Update) v0.22_NRA_model_for_NEMO2 (EMC Update) v0.26_NRA_model_for_NEMO2 (EMC Update) v0.29.4_NRA_model_for_NEMO2 (EMC Update) v0.29.5" xfId="152"/>
    <cellStyle name="%_NRA_model_for_NEMO2 (EMC Update) v0.19_NRA_model_for_NEMO2 (EMC Update) v0.21_NRA_model_for_NEMO2 (EMC Update) v0.22_NRA_model_for_NEMO2 (EMC Update) v0.26_NRA_model_for_NEMO2 (EMC Update) v0.29.5" xfId="153"/>
    <cellStyle name="%_NRA_model_for_NEMO2 (EMC Update) v0.19_NRA_model_for_NEMO2 (EMC Update) v0.21_NRA_model_for_NEMO2 (EMC Update) v0.22_NRA_model_for_NEMO2 (EMC Update) v0.26_NRA_model_for_NEMO2 (EMC Update) v0.29.5_NRA_model_for_NEMO2 (EMC Update) v0 30 1" xfId="154"/>
    <cellStyle name="%_NRA_model_for_NEMO2 (EMC Update) v0.19_NRA_model_for_NEMO2 (EMC Update) v0.21_NRA_model_for_NEMO2 (EMC Update) v0.22_NRA_model_for_NEMO2 (EMC Update) v0.26_NRA_model_for_NEMO2 (EMC Update) v0.29_NRA_model_for_NEMO2 (EMC Update) v0 30 1" xfId="155"/>
    <cellStyle name="%_NRA_model_for_NEMO2 (EMC Update) v0.19_NRA_model_for_NEMO2 (EMC Update) v0.21_NRA_model_for_NEMO2 (EMC Update) v0.22_NRA_model_for_NEMO2 (EMC Update) v0.26_NRA_model_for_NEMO2 (EMC Update) v0.29_NRA_model_for_NEMO2 (EMC Update) v0.29.2" xfId="156"/>
    <cellStyle name="%_NRA_model_for_NEMO2 (EMC Update) v0.19_NRA_model_for_NEMO2 (EMC Update) v0.21_NRA_model_for_NEMO2 (EMC Update) v0.22_NRA_model_for_NEMO2 (EMC Update) v0.26_NRA_model_for_NEMO2 (EMC Update) v0.29_NRA_model_for_NEMO2 (EMC Update) v0.29.3" xfId="157"/>
    <cellStyle name="%_NRA_model_for_NEMO2 (EMC Update) v0.19_NRA_model_for_NEMO2 (EMC Update) v0.21_NRA_model_for_NEMO2 (EMC Update) v0.22_NRA_model_for_NEMO2 (EMC Update) v0.26_NRA_model_for_NEMO2 (EMC Update) v0.29_NRA_model_for_NEMO2 (EMC Update) v0.29.4" xfId="158"/>
    <cellStyle name="%_NRA_model_for_NEMO2 (EMC Update) v0.19_NRA_model_for_NEMO2 (EMC Update) v0.21_NRA_model_for_NEMO2 (EMC Update) v0.22_NRA_model_for_NEMO2 (EMC Update) v0.26_NRA_model_for_NEMO2 (EMC Update) v0.29_NRA_model_for_NEMO2 (EMC Update) v0.29.5" xfId="159"/>
    <cellStyle name="%_NRA_model_for_NEMO2 (EMC Update) v0.19_NRA_model_for_NEMO2 (EMC Update) v0.21_NRA_model_for_NEMO2 (EMC Update) v0.22_NRA_model_for_NEMO2 (EMC Update) v0.29" xfId="160"/>
    <cellStyle name="%_NRA_model_for_NEMO2 (EMC Update) v0.19_NRA_model_for_NEMO2 (EMC Update) v0.21_NRA_model_for_NEMO2 (EMC Update) v0.22_NRA_model_for_NEMO2 (EMC Update) v0.29.2" xfId="161"/>
    <cellStyle name="%_NRA_model_for_NEMO2 (EMC Update) v0.19_NRA_model_for_NEMO2 (EMC Update) v0.21_NRA_model_for_NEMO2 (EMC Update) v0.22_NRA_model_for_NEMO2 (EMC Update) v0.29.2_NRA_model_for_NEMO2 (EMC Update) v0 30 1" xfId="162"/>
    <cellStyle name="%_NRA_model_for_NEMO2 (EMC Update) v0.19_NRA_model_for_NEMO2 (EMC Update) v0.21_NRA_model_for_NEMO2 (EMC Update) v0.22_NRA_model_for_NEMO2 (EMC Update) v0.29.2_NRA_model_for_NEMO2 (EMC Update) v0.29.3" xfId="163"/>
    <cellStyle name="%_NRA_model_for_NEMO2 (EMC Update) v0.19_NRA_model_for_NEMO2 (EMC Update) v0.21_NRA_model_for_NEMO2 (EMC Update) v0.22_NRA_model_for_NEMO2 (EMC Update) v0.29.2_NRA_model_for_NEMO2 (EMC Update) v0.29.3_NRA_model_for_NEMO2 (EMC Update) v0 30 1" xfId="164"/>
    <cellStyle name="%_NRA_model_for_NEMO2 (EMC Update) v0.19_NRA_model_for_NEMO2 (EMC Update) v0.21_NRA_model_for_NEMO2 (EMC Update) v0.22_NRA_model_for_NEMO2 (EMC Update) v0.29.2_NRA_model_for_NEMO2 (EMC Update) v0.29.3_NRA_model_for_NEMO2 (EMC Update) v0.29.5" xfId="165"/>
    <cellStyle name="%_NRA_model_for_NEMO2 (EMC Update) v0.19_NRA_model_for_NEMO2 (EMC Update) v0.21_NRA_model_for_NEMO2 (EMC Update) v0.22_NRA_model_for_NEMO2 (EMC Update) v0.29.2_NRA_model_for_NEMO2 (EMC Update) v0.29.4" xfId="166"/>
    <cellStyle name="%_NRA_model_for_NEMO2 (EMC Update) v0.19_NRA_model_for_NEMO2 (EMC Update) v0.21_NRA_model_for_NEMO2 (EMC Update) v0.22_NRA_model_for_NEMO2 (EMC Update) v0.29.2_NRA_model_for_NEMO2 (EMC Update) v0.29.4_NRA_model_for_NEMO2 (EMC Update) v0 30 1" xfId="167"/>
    <cellStyle name="%_NRA_model_for_NEMO2 (EMC Update) v0.19_NRA_model_for_NEMO2 (EMC Update) v0.21_NRA_model_for_NEMO2 (EMC Update) v0.22_NRA_model_for_NEMO2 (EMC Update) v0.29.2_NRA_model_for_NEMO2 (EMC Update) v0.29.4_NRA_model_for_NEMO2 (EMC Update) v0.29.5" xfId="168"/>
    <cellStyle name="%_NRA_model_for_NEMO2 (EMC Update) v0.19_NRA_model_for_NEMO2 (EMC Update) v0.21_NRA_model_for_NEMO2 (EMC Update) v0.22_NRA_model_for_NEMO2 (EMC Update) v0.29.2_NRA_model_for_NEMO2 (EMC Update) v0.29.5" xfId="169"/>
    <cellStyle name="%_NRA_model_for_NEMO2 (EMC Update) v0.19_NRA_model_for_NEMO2 (EMC Update) v0.21_NRA_model_for_NEMO2 (EMC Update) v0.22_NRA_model_for_NEMO2 (EMC Update) v0.29.2_NRA_model_for_NEMO2 (EMC Update) v0.29.5_NRA_model_for_NEMO2 (EMC Update) v0 30 1" xfId="170"/>
    <cellStyle name="%_NRA_model_for_NEMO2 (EMC Update) v0.19_NRA_model_for_NEMO2 (EMC Update) v0.21_NRA_model_for_NEMO2 (EMC Update) v0.22_NRA_model_for_NEMO2 (EMC Update) v0.29.3" xfId="171"/>
    <cellStyle name="%_NRA_model_for_NEMO2 (EMC Update) v0.19_NRA_model_for_NEMO2 (EMC Update) v0.21_NRA_model_for_NEMO2 (EMC Update) v0.22_NRA_model_for_NEMO2 (EMC Update) v0.29.3_NRA_model_for_NEMO2 (EMC Update) v0 30 1" xfId="172"/>
    <cellStyle name="%_NRA_model_for_NEMO2 (EMC Update) v0.19_NRA_model_for_NEMO2 (EMC Update) v0.21_NRA_model_for_NEMO2 (EMC Update) v0.22_NRA_model_for_NEMO2 (EMC Update) v0.29.3_NRA_model_for_NEMO2 (EMC Update) v0.29.5" xfId="173"/>
    <cellStyle name="%_NRA_model_for_NEMO2 (EMC Update) v0.19_NRA_model_for_NEMO2 (EMC Update) v0.21_NRA_model_for_NEMO2 (EMC Update) v0.22_NRA_model_for_NEMO2 (EMC Update) v0.29.3_NRA_model_for_NEMO2 (EMC Update) v0.29.5_NRA_model_for_NEMO2 (EMC Update) v0 30 1" xfId="174"/>
    <cellStyle name="%_NRA_model_for_NEMO2 (EMC Update) v0.19_NRA_model_for_NEMO2 (EMC Update) v0.21_NRA_model_for_NEMO2 (EMC Update) v0.22_NRA_model_for_NEMO2 (EMC Update) v0.29.4" xfId="175"/>
    <cellStyle name="%_NRA_model_for_NEMO2 (EMC Update) v0.19_NRA_model_for_NEMO2 (EMC Update) v0.21_NRA_model_for_NEMO2 (EMC Update) v0.22_NRA_model_for_NEMO2 (EMC Update) v0.29.4_NRA_model_for_NEMO2 (EMC Update) v0 30 1" xfId="176"/>
    <cellStyle name="%_NRA_model_for_NEMO2 (EMC Update) v0.19_NRA_model_for_NEMO2 (EMC Update) v0.21_NRA_model_for_NEMO2 (EMC Update) v0.22_NRA_model_for_NEMO2 (EMC Update) v0.29.4_NRA_model_for_NEMO2 (EMC Update) v0.29.5" xfId="177"/>
    <cellStyle name="%_NRA_model_for_NEMO2 (EMC Update) v0.19_NRA_model_for_NEMO2 (EMC Update) v0.21_NRA_model_for_NEMO2 (EMC Update) v0.22_NRA_model_for_NEMO2 (EMC Update) v0.29.4_NRA_model_for_NEMO2 (EMC Update) v0.29.5_NRA_model_for_NEMO2 (EMC Update) v0 30 1" xfId="178"/>
    <cellStyle name="%_NRA_model_for_NEMO2 (EMC Update) v0.19_NRA_model_for_NEMO2 (EMC Update) v0.21_NRA_model_for_NEMO2 (EMC Update) v0.22_NRA_model_for_NEMO2 (EMC Update) v0.29.5" xfId="179"/>
    <cellStyle name="%_NRA_model_for_NEMO2 (EMC Update) v0.19_NRA_model_for_NEMO2 (EMC Update) v0.21_NRA_model_for_NEMO2 (EMC Update) v0.22_NRA_model_for_NEMO2 (EMC Update) v0.29.5_NRA_model_for_NEMO2 (EMC Update) v0 30 1" xfId="180"/>
    <cellStyle name="%_NRA_model_for_NEMO2 (EMC Update) v0.19_NRA_model_for_NEMO2 (EMC Update) v0.21_NRA_model_for_NEMO2 (EMC Update) v0.22_NRA_model_for_NEMO2 (EMC Update) v0.29_NRA_model_for_NEMO2 (EMC Update) v0 30 1" xfId="181"/>
    <cellStyle name="%_NRA_model_for_NEMO2 (EMC Update) v0.19_NRA_model_for_NEMO2 (EMC Update) v0.21_NRA_model_for_NEMO2 (EMC Update) v0.22_NRA_model_for_NEMO2 (EMC Update) v0.29_NRA_model_for_NEMO2 (EMC Update) v0.29.2" xfId="182"/>
    <cellStyle name="%_NRA_model_for_NEMO2 (EMC Update) v0.19_NRA_model_for_NEMO2 (EMC Update) v0.21_NRA_model_for_NEMO2 (EMC Update) v0.22_NRA_model_for_NEMO2 (EMC Update) v0.29_NRA_model_for_NEMO2 (EMC Update) v0.29.2_NRA_model_for_NEMO2 (EMC Update) v0 30 1" xfId="183"/>
    <cellStyle name="%_NRA_model_for_NEMO2 (EMC Update) v0.19_NRA_model_for_NEMO2 (EMC Update) v0.21_NRA_model_for_NEMO2 (EMC Update) v0.22_NRA_model_for_NEMO2 (EMC Update) v0.29_NRA_model_for_NEMO2 (EMC Update) v0.29.2_NRA_model_for_NEMO2 (EMC Update) v0.29.3" xfId="184"/>
    <cellStyle name="%_NRA_model_for_NEMO2 (EMC Update) v0.19_NRA_model_for_NEMO2 (EMC Update) v0.21_NRA_model_for_NEMO2 (EMC Update) v0.22_NRA_model_for_NEMO2 (EMC Update) v0.29_NRA_model_for_NEMO2 (EMC Update) v0.29.2_NRA_model_for_NEMO2 (EMC Update) v0.29.4" xfId="185"/>
    <cellStyle name="%_NRA_model_for_NEMO2 (EMC Update) v0.19_NRA_model_for_NEMO2 (EMC Update) v0.21_NRA_model_for_NEMO2 (EMC Update) v0.22_NRA_model_for_NEMO2 (EMC Update) v0.29_NRA_model_for_NEMO2 (EMC Update) v0.29.2_NRA_model_for_NEMO2 (EMC Update) v0.29.5" xfId="186"/>
    <cellStyle name="%_NRA_model_for_NEMO2 (EMC Update) v0.19_NRA_model_for_NEMO2 (EMC Update) v0.21_NRA_model_for_NEMO2 (EMC Update) v0.22_NRA_model_for_NEMO2 (EMC Update) v0.29_NRA_model_for_NEMO2 (EMC Update) v0.29.3" xfId="187"/>
    <cellStyle name="%_NRA_model_for_NEMO2 (EMC Update) v0.19_NRA_model_for_NEMO2 (EMC Update) v0.21_NRA_model_for_NEMO2 (EMC Update) v0.22_NRA_model_for_NEMO2 (EMC Update) v0.29_NRA_model_for_NEMO2 (EMC Update) v0.29.3_NRA_model_for_NEMO2 (EMC Update) v0 30 1" xfId="188"/>
    <cellStyle name="%_NRA_model_for_NEMO2 (EMC Update) v0.19_NRA_model_for_NEMO2 (EMC Update) v0.21_NRA_model_for_NEMO2 (EMC Update) v0.22_NRA_model_for_NEMO2 (EMC Update) v0.29_NRA_model_for_NEMO2 (EMC Update) v0.29.3_NRA_model_for_NEMO2 (EMC Update) v0.29.5" xfId="189"/>
    <cellStyle name="%_NRA_model_for_NEMO2 (EMC Update) v0.19_NRA_model_for_NEMO2 (EMC Update) v0.21_NRA_model_for_NEMO2 (EMC Update) v0.22_NRA_model_for_NEMO2 (EMC Update) v0.29_NRA_model_for_NEMO2 (EMC Update) v0.29.4" xfId="190"/>
    <cellStyle name="%_NRA_model_for_NEMO2 (EMC Update) v0.19_NRA_model_for_NEMO2 (EMC Update) v0.21_NRA_model_for_NEMO2 (EMC Update) v0.22_NRA_model_for_NEMO2 (EMC Update) v0.29_NRA_model_for_NEMO2 (EMC Update) v0.29.4_NRA_model_for_NEMO2 (EMC Update) v0 30 1" xfId="191"/>
    <cellStyle name="%_NRA_model_for_NEMO2 (EMC Update) v0.19_NRA_model_for_NEMO2 (EMC Update) v0.21_NRA_model_for_NEMO2 (EMC Update) v0.22_NRA_model_for_NEMO2 (EMC Update) v0.29_NRA_model_for_NEMO2 (EMC Update) v0.29.4_NRA_model_for_NEMO2 (EMC Update) v0.29.5" xfId="192"/>
    <cellStyle name="%_NRA_model_for_NEMO2 (EMC Update) v0.19_NRA_model_for_NEMO2 (EMC Update) v0.21_NRA_model_for_NEMO2 (EMC Update) v0.22_NRA_model_for_NEMO2 (EMC Update) v0.29_NRA_model_for_NEMO2 (EMC Update) v0.29.5" xfId="193"/>
    <cellStyle name="%_NRA_model_for_NEMO2 (EMC Update) v0.19_NRA_model_for_NEMO2 (EMC Update) v0.21_NRA_model_for_NEMO2 (EMC Update) v0.22_NRA_model_for_NEMO2 (EMC Update) v0.29_NRA_model_for_NEMO2 (EMC Update) v0.29.5_NRA_model_for_NEMO2 (EMC Update) v0 30 1" xfId="194"/>
    <cellStyle name="%_NRA_model_for_NEMO2 (EMC Update) v0.19_NRA_model_for_NEMO2 (EMC Update) v0.21_NRA_model_for_NEMO2 (EMC Update) v0.25" xfId="195"/>
    <cellStyle name="%_NRA_model_for_NEMO2 (EMC Update) v0.19_NRA_model_for_NEMO2 (EMC Update) v0.21_NRA_model_for_NEMO2 (EMC Update) v0.25_NRA_model_for_NEMO2 (EMC Update) v0 30 1" xfId="196"/>
    <cellStyle name="%_NRA_model_for_NEMO2 (EMC Update) v0.19_NRA_model_for_NEMO2 (EMC Update) v0.21_NRA_model_for_NEMO2 (EMC Update) v0.25_NRA_model_for_NEMO2 (EMC Update) v0.26" xfId="197"/>
    <cellStyle name="%_NRA_model_for_NEMO2 (EMC Update) v0.19_NRA_model_for_NEMO2 (EMC Update) v0.21_NRA_model_for_NEMO2 (EMC Update) v0.25_NRA_model_for_NEMO2 (EMC Update) v0.26_NRA_model_for_NEMO2 (EMC Update) v0 30 1" xfId="198"/>
    <cellStyle name="%_NRA_model_for_NEMO2 (EMC Update) v0.19_NRA_model_for_NEMO2 (EMC Update) v0.21_NRA_model_for_NEMO2 (EMC Update) v0.25_NRA_model_for_NEMO2 (EMC Update) v0.26_NRA_model_for_NEMO2 (EMC Update) v0.29" xfId="199"/>
    <cellStyle name="%_NRA_model_for_NEMO2 (EMC Update) v0.19_NRA_model_for_NEMO2 (EMC Update) v0.21_NRA_model_for_NEMO2 (EMC Update) v0.25_NRA_model_for_NEMO2 (EMC Update) v0.26_NRA_model_for_NEMO2 (EMC Update) v0.29.2" xfId="200"/>
    <cellStyle name="%_NRA_model_for_NEMO2 (EMC Update) v0.19_NRA_model_for_NEMO2 (EMC Update) v0.21_NRA_model_for_NEMO2 (EMC Update) v0.25_NRA_model_for_NEMO2 (EMC Update) v0.26_NRA_model_for_NEMO2 (EMC Update) v0.29.2_NRA_model_for_NEMO2 (EMC Update) v0 30 1" xfId="201"/>
    <cellStyle name="%_NRA_model_for_NEMO2 (EMC Update) v0.19_NRA_model_for_NEMO2 (EMC Update) v0.21_NRA_model_for_NEMO2 (EMC Update) v0.25_NRA_model_for_NEMO2 (EMC Update) v0.26_NRA_model_for_NEMO2 (EMC Update) v0.29.2_NRA_model_for_NEMO2 (EMC Update) v0.29.3" xfId="202"/>
    <cellStyle name="%_NRA_model_for_NEMO2 (EMC Update) v0.19_NRA_model_for_NEMO2 (EMC Update) v0.21_NRA_model_for_NEMO2 (EMC Update) v0.25_NRA_model_for_NEMO2 (EMC Update) v0.26_NRA_model_for_NEMO2 (EMC Update) v0.29.2_NRA_model_for_NEMO2 (EMC Update) v0.29.4" xfId="203"/>
    <cellStyle name="%_NRA_model_for_NEMO2 (EMC Update) v0.19_NRA_model_for_NEMO2 (EMC Update) v0.21_NRA_model_for_NEMO2 (EMC Update) v0.25_NRA_model_for_NEMO2 (EMC Update) v0.26_NRA_model_for_NEMO2 (EMC Update) v0.29.2_NRA_model_for_NEMO2 (EMC Update) v0.29.5" xfId="204"/>
    <cellStyle name="%_NRA_model_for_NEMO2 (EMC Update) v0.19_NRA_model_for_NEMO2 (EMC Update) v0.21_NRA_model_for_NEMO2 (EMC Update) v0.25_NRA_model_for_NEMO2 (EMC Update) v0.26_NRA_model_for_NEMO2 (EMC Update) v0.29.3" xfId="205"/>
    <cellStyle name="%_NRA_model_for_NEMO2 (EMC Update) v0.19_NRA_model_for_NEMO2 (EMC Update) v0.21_NRA_model_for_NEMO2 (EMC Update) v0.25_NRA_model_for_NEMO2 (EMC Update) v0.26_NRA_model_for_NEMO2 (EMC Update) v0.29.3_NRA_model_for_NEMO2 (EMC Update) v0 30 1" xfId="206"/>
    <cellStyle name="%_NRA_model_for_NEMO2 (EMC Update) v0.19_NRA_model_for_NEMO2 (EMC Update) v0.21_NRA_model_for_NEMO2 (EMC Update) v0.25_NRA_model_for_NEMO2 (EMC Update) v0.26_NRA_model_for_NEMO2 (EMC Update) v0.29.3_NRA_model_for_NEMO2 (EMC Update) v0.29.5" xfId="207"/>
    <cellStyle name="%_NRA_model_for_NEMO2 (EMC Update) v0.19_NRA_model_for_NEMO2 (EMC Update) v0.21_NRA_model_for_NEMO2 (EMC Update) v0.25_NRA_model_for_NEMO2 (EMC Update) v0.26_NRA_model_for_NEMO2 (EMC Update) v0.29.4" xfId="208"/>
    <cellStyle name="%_NRA_model_for_NEMO2 (EMC Update) v0.19_NRA_model_for_NEMO2 (EMC Update) v0.21_NRA_model_for_NEMO2 (EMC Update) v0.25_NRA_model_for_NEMO2 (EMC Update) v0.26_NRA_model_for_NEMO2 (EMC Update) v0.29.4_NRA_model_for_NEMO2 (EMC Update) v0 30 1" xfId="209"/>
    <cellStyle name="%_NRA_model_for_NEMO2 (EMC Update) v0.19_NRA_model_for_NEMO2 (EMC Update) v0.21_NRA_model_for_NEMO2 (EMC Update) v0.25_NRA_model_for_NEMO2 (EMC Update) v0.26_NRA_model_for_NEMO2 (EMC Update) v0.29.4_NRA_model_for_NEMO2 (EMC Update) v0.29.5" xfId="210"/>
    <cellStyle name="%_NRA_model_for_NEMO2 (EMC Update) v0.19_NRA_model_for_NEMO2 (EMC Update) v0.21_NRA_model_for_NEMO2 (EMC Update) v0.25_NRA_model_for_NEMO2 (EMC Update) v0.26_NRA_model_for_NEMO2 (EMC Update) v0.29.5" xfId="211"/>
    <cellStyle name="%_NRA_model_for_NEMO2 (EMC Update) v0.19_NRA_model_for_NEMO2 (EMC Update) v0.21_NRA_model_for_NEMO2 (EMC Update) v0.25_NRA_model_for_NEMO2 (EMC Update) v0.26_NRA_model_for_NEMO2 (EMC Update) v0.29.5_NRA_model_for_NEMO2 (EMC Update) v0 30 1" xfId="212"/>
    <cellStyle name="%_NRA_model_for_NEMO2 (EMC Update) v0.19_NRA_model_for_NEMO2 (EMC Update) v0.21_NRA_model_for_NEMO2 (EMC Update) v0.25_NRA_model_for_NEMO2 (EMC Update) v0.26_NRA_model_for_NEMO2 (EMC Update) v0.29_NRA_model_for_NEMO2 (EMC Update) v0 30 1" xfId="213"/>
    <cellStyle name="%_NRA_model_for_NEMO2 (EMC Update) v0.19_NRA_model_for_NEMO2 (EMC Update) v0.21_NRA_model_for_NEMO2 (EMC Update) v0.25_NRA_model_for_NEMO2 (EMC Update) v0.26_NRA_model_for_NEMO2 (EMC Update) v0.29_NRA_model_for_NEMO2 (EMC Update) v0.29.2" xfId="214"/>
    <cellStyle name="%_NRA_model_for_NEMO2 (EMC Update) v0.19_NRA_model_for_NEMO2 (EMC Update) v0.21_NRA_model_for_NEMO2 (EMC Update) v0.25_NRA_model_for_NEMO2 (EMC Update) v0.26_NRA_model_for_NEMO2 (EMC Update) v0.29_NRA_model_for_NEMO2 (EMC Update) v0.29.3" xfId="215"/>
    <cellStyle name="%_NRA_model_for_NEMO2 (EMC Update) v0.19_NRA_model_for_NEMO2 (EMC Update) v0.21_NRA_model_for_NEMO2 (EMC Update) v0.25_NRA_model_for_NEMO2 (EMC Update) v0.26_NRA_model_for_NEMO2 (EMC Update) v0.29_NRA_model_for_NEMO2 (EMC Update) v0.29.4" xfId="216"/>
    <cellStyle name="%_NRA_model_for_NEMO2 (EMC Update) v0.19_NRA_model_for_NEMO2 (EMC Update) v0.21_NRA_model_for_NEMO2 (EMC Update) v0.25_NRA_model_for_NEMO2 (EMC Update) v0.26_NRA_model_for_NEMO2 (EMC Update) v0.29_NRA_model_for_NEMO2 (EMC Update) v0.29.5" xfId="217"/>
    <cellStyle name="%_NRA_model_for_NEMO2 (EMC Update) v0.19_NRA_model_for_NEMO2 (EMC Update) v0.21_NRA_model_for_NEMO2 (EMC Update) v0.25_NRA_model_for_NEMO2 (EMC Update) v0.29" xfId="218"/>
    <cellStyle name="%_NRA_model_for_NEMO2 (EMC Update) v0.19_NRA_model_for_NEMO2 (EMC Update) v0.21_NRA_model_for_NEMO2 (EMC Update) v0.25_NRA_model_for_NEMO2 (EMC Update) v0.29.2" xfId="219"/>
    <cellStyle name="%_NRA_model_for_NEMO2 (EMC Update) v0.19_NRA_model_for_NEMO2 (EMC Update) v0.21_NRA_model_for_NEMO2 (EMC Update) v0.25_NRA_model_for_NEMO2 (EMC Update) v0.29.2_NRA_model_for_NEMO2 (EMC Update) v0 30 1" xfId="220"/>
    <cellStyle name="%_NRA_model_for_NEMO2 (EMC Update) v0.19_NRA_model_for_NEMO2 (EMC Update) v0.21_NRA_model_for_NEMO2 (EMC Update) v0.25_NRA_model_for_NEMO2 (EMC Update) v0.29.2_NRA_model_for_NEMO2 (EMC Update) v0.29.3" xfId="221"/>
    <cellStyle name="%_NRA_model_for_NEMO2 (EMC Update) v0.19_NRA_model_for_NEMO2 (EMC Update) v0.21_NRA_model_for_NEMO2 (EMC Update) v0.25_NRA_model_for_NEMO2 (EMC Update) v0.29.2_NRA_model_for_NEMO2 (EMC Update) v0.29.3_NRA_model_for_NEMO2 (EMC Update) v0 30 1" xfId="222"/>
    <cellStyle name="%_NRA_model_for_NEMO2 (EMC Update) v0.19_NRA_model_for_NEMO2 (EMC Update) v0.21_NRA_model_for_NEMO2 (EMC Update) v0.25_NRA_model_for_NEMO2 (EMC Update) v0.29.2_NRA_model_for_NEMO2 (EMC Update) v0.29.3_NRA_model_for_NEMO2 (EMC Update) v0.29.5" xfId="223"/>
    <cellStyle name="%_NRA_model_for_NEMO2 (EMC Update) v0.19_NRA_model_for_NEMO2 (EMC Update) v0.21_NRA_model_for_NEMO2 (EMC Update) v0.25_NRA_model_for_NEMO2 (EMC Update) v0.29.2_NRA_model_for_NEMO2 (EMC Update) v0.29.4" xfId="224"/>
    <cellStyle name="%_NRA_model_for_NEMO2 (EMC Update) v0.19_NRA_model_for_NEMO2 (EMC Update) v0.21_NRA_model_for_NEMO2 (EMC Update) v0.25_NRA_model_for_NEMO2 (EMC Update) v0.29.2_NRA_model_for_NEMO2 (EMC Update) v0.29.4_NRA_model_for_NEMO2 (EMC Update) v0 30 1" xfId="225"/>
    <cellStyle name="%_NRA_model_for_NEMO2 (EMC Update) v0.19_NRA_model_for_NEMO2 (EMC Update) v0.21_NRA_model_for_NEMO2 (EMC Update) v0.25_NRA_model_for_NEMO2 (EMC Update) v0.29.2_NRA_model_for_NEMO2 (EMC Update) v0.29.4_NRA_model_for_NEMO2 (EMC Update) v0.29.5" xfId="226"/>
    <cellStyle name="%_NRA_model_for_NEMO2 (EMC Update) v0.19_NRA_model_for_NEMO2 (EMC Update) v0.21_NRA_model_for_NEMO2 (EMC Update) v0.25_NRA_model_for_NEMO2 (EMC Update) v0.29.2_NRA_model_for_NEMO2 (EMC Update) v0.29.5" xfId="227"/>
    <cellStyle name="%_NRA_model_for_NEMO2 (EMC Update) v0.19_NRA_model_for_NEMO2 (EMC Update) v0.21_NRA_model_for_NEMO2 (EMC Update) v0.25_NRA_model_for_NEMO2 (EMC Update) v0.29.2_NRA_model_for_NEMO2 (EMC Update) v0.29.5_NRA_model_for_NEMO2 (EMC Update) v0 30 1" xfId="228"/>
    <cellStyle name="%_NRA_model_for_NEMO2 (EMC Update) v0.19_NRA_model_for_NEMO2 (EMC Update) v0.21_NRA_model_for_NEMO2 (EMC Update) v0.25_NRA_model_for_NEMO2 (EMC Update) v0.29.3" xfId="229"/>
    <cellStyle name="%_NRA_model_for_NEMO2 (EMC Update) v0.19_NRA_model_for_NEMO2 (EMC Update) v0.21_NRA_model_for_NEMO2 (EMC Update) v0.25_NRA_model_for_NEMO2 (EMC Update) v0.29.3_NRA_model_for_NEMO2 (EMC Update) v0 30 1" xfId="230"/>
    <cellStyle name="%_NRA_model_for_NEMO2 (EMC Update) v0.19_NRA_model_for_NEMO2 (EMC Update) v0.21_NRA_model_for_NEMO2 (EMC Update) v0.25_NRA_model_for_NEMO2 (EMC Update) v0.29.3_NRA_model_for_NEMO2 (EMC Update) v0.29.5" xfId="231"/>
    <cellStyle name="%_NRA_model_for_NEMO2 (EMC Update) v0.19_NRA_model_for_NEMO2 (EMC Update) v0.21_NRA_model_for_NEMO2 (EMC Update) v0.25_NRA_model_for_NEMO2 (EMC Update) v0.29.3_NRA_model_for_NEMO2 (EMC Update) v0.29.5_NRA_model_for_NEMO2 (EMC Update) v0 30 1" xfId="232"/>
    <cellStyle name="%_NRA_model_for_NEMO2 (EMC Update) v0.19_NRA_model_for_NEMO2 (EMC Update) v0.21_NRA_model_for_NEMO2 (EMC Update) v0.25_NRA_model_for_NEMO2 (EMC Update) v0.29.4" xfId="233"/>
    <cellStyle name="%_NRA_model_for_NEMO2 (EMC Update) v0.19_NRA_model_for_NEMO2 (EMC Update) v0.21_NRA_model_for_NEMO2 (EMC Update) v0.25_NRA_model_for_NEMO2 (EMC Update) v0.29.4_NRA_model_for_NEMO2 (EMC Update) v0 30 1" xfId="234"/>
    <cellStyle name="%_NRA_model_for_NEMO2 (EMC Update) v0.19_NRA_model_for_NEMO2 (EMC Update) v0.21_NRA_model_for_NEMO2 (EMC Update) v0.25_NRA_model_for_NEMO2 (EMC Update) v0.29.4_NRA_model_for_NEMO2 (EMC Update) v0.29.5" xfId="235"/>
    <cellStyle name="%_NRA_model_for_NEMO2 (EMC Update) v0.19_NRA_model_for_NEMO2 (EMC Update) v0.21_NRA_model_for_NEMO2 (EMC Update) v0.25_NRA_model_for_NEMO2 (EMC Update) v0.29.4_NRA_model_for_NEMO2 (EMC Update) v0.29.5_NRA_model_for_NEMO2 (EMC Update) v0 30 1" xfId="236"/>
    <cellStyle name="%_NRA_model_for_NEMO2 (EMC Update) v0.19_NRA_model_for_NEMO2 (EMC Update) v0.21_NRA_model_for_NEMO2 (EMC Update) v0.25_NRA_model_for_NEMO2 (EMC Update) v0.29.5" xfId="237"/>
    <cellStyle name="%_NRA_model_for_NEMO2 (EMC Update) v0.19_NRA_model_for_NEMO2 (EMC Update) v0.21_NRA_model_for_NEMO2 (EMC Update) v0.25_NRA_model_for_NEMO2 (EMC Update) v0.29.5_NRA_model_for_NEMO2 (EMC Update) v0 30 1" xfId="238"/>
    <cellStyle name="%_NRA_model_for_NEMO2 (EMC Update) v0.19_NRA_model_for_NEMO2 (EMC Update) v0.21_NRA_model_for_NEMO2 (EMC Update) v0.25_NRA_model_for_NEMO2 (EMC Update) v0.29_NRA_model_for_NEMO2 (EMC Update) v0 30 1" xfId="239"/>
    <cellStyle name="%_NRA_model_for_NEMO2 (EMC Update) v0.19_NRA_model_for_NEMO2 (EMC Update) v0.21_NRA_model_for_NEMO2 (EMC Update) v0.25_NRA_model_for_NEMO2 (EMC Update) v0.29_NRA_model_for_NEMO2 (EMC Update) v0.29.2" xfId="240"/>
    <cellStyle name="%_NRA_model_for_NEMO2 (EMC Update) v0.19_NRA_model_for_NEMO2 (EMC Update) v0.21_NRA_model_for_NEMO2 (EMC Update) v0.25_NRA_model_for_NEMO2 (EMC Update) v0.29_NRA_model_for_NEMO2 (EMC Update) v0.29.2_NRA_model_for_NEMO2 (EMC Update) v0 30 1" xfId="241"/>
    <cellStyle name="%_NRA_model_for_NEMO2 (EMC Update) v0.19_NRA_model_for_NEMO2 (EMC Update) v0.21_NRA_model_for_NEMO2 (EMC Update) v0.25_NRA_model_for_NEMO2 (EMC Update) v0.29_NRA_model_for_NEMO2 (EMC Update) v0.29.2_NRA_model_for_NEMO2 (EMC Update) v0.29.3" xfId="242"/>
    <cellStyle name="%_NRA_model_for_NEMO2 (EMC Update) v0.19_NRA_model_for_NEMO2 (EMC Update) v0.21_NRA_model_for_NEMO2 (EMC Update) v0.25_NRA_model_for_NEMO2 (EMC Update) v0.29_NRA_model_for_NEMO2 (EMC Update) v0.29.2_NRA_model_for_NEMO2 (EMC Update) v0.29.4" xfId="243"/>
    <cellStyle name="%_NRA_model_for_NEMO2 (EMC Update) v0.19_NRA_model_for_NEMO2 (EMC Update) v0.21_NRA_model_for_NEMO2 (EMC Update) v0.25_NRA_model_for_NEMO2 (EMC Update) v0.29_NRA_model_for_NEMO2 (EMC Update) v0.29.2_NRA_model_for_NEMO2 (EMC Update) v0.29.5" xfId="244"/>
    <cellStyle name="%_NRA_model_for_NEMO2 (EMC Update) v0.19_NRA_model_for_NEMO2 (EMC Update) v0.21_NRA_model_for_NEMO2 (EMC Update) v0.25_NRA_model_for_NEMO2 (EMC Update) v0.29_NRA_model_for_NEMO2 (EMC Update) v0.29.3" xfId="245"/>
    <cellStyle name="%_NRA_model_for_NEMO2 (EMC Update) v0.19_NRA_model_for_NEMO2 (EMC Update) v0.21_NRA_model_for_NEMO2 (EMC Update) v0.25_NRA_model_for_NEMO2 (EMC Update) v0.29_NRA_model_for_NEMO2 (EMC Update) v0.29.3_NRA_model_for_NEMO2 (EMC Update) v0 30 1" xfId="246"/>
    <cellStyle name="%_NRA_model_for_NEMO2 (EMC Update) v0.19_NRA_model_for_NEMO2 (EMC Update) v0.21_NRA_model_for_NEMO2 (EMC Update) v0.25_NRA_model_for_NEMO2 (EMC Update) v0.29_NRA_model_for_NEMO2 (EMC Update) v0.29.3_NRA_model_for_NEMO2 (EMC Update) v0.29.5" xfId="247"/>
    <cellStyle name="%_NRA_model_for_NEMO2 (EMC Update) v0.19_NRA_model_for_NEMO2 (EMC Update) v0.21_NRA_model_for_NEMO2 (EMC Update) v0.25_NRA_model_for_NEMO2 (EMC Update) v0.29_NRA_model_for_NEMO2 (EMC Update) v0.29.4" xfId="248"/>
    <cellStyle name="%_NRA_model_for_NEMO2 (EMC Update) v0.19_NRA_model_for_NEMO2 (EMC Update) v0.21_NRA_model_for_NEMO2 (EMC Update) v0.25_NRA_model_for_NEMO2 (EMC Update) v0.29_NRA_model_for_NEMO2 (EMC Update) v0.29.4_NRA_model_for_NEMO2 (EMC Update) v0 30 1" xfId="249"/>
    <cellStyle name="%_NRA_model_for_NEMO2 (EMC Update) v0.19_NRA_model_for_NEMO2 (EMC Update) v0.21_NRA_model_for_NEMO2 (EMC Update) v0.25_NRA_model_for_NEMO2 (EMC Update) v0.29_NRA_model_for_NEMO2 (EMC Update) v0.29.4_NRA_model_for_NEMO2 (EMC Update) v0.29.5" xfId="250"/>
    <cellStyle name="%_NRA_model_for_NEMO2 (EMC Update) v0.19_NRA_model_for_NEMO2 (EMC Update) v0.21_NRA_model_for_NEMO2 (EMC Update) v0.25_NRA_model_for_NEMO2 (EMC Update) v0.29_NRA_model_for_NEMO2 (EMC Update) v0.29.5" xfId="251"/>
    <cellStyle name="%_NRA_model_for_NEMO2 (EMC Update) v0.19_NRA_model_for_NEMO2 (EMC Update) v0.21_NRA_model_for_NEMO2 (EMC Update) v0.25_NRA_model_for_NEMO2 (EMC Update) v0.29_NRA_model_for_NEMO2 (EMC Update) v0.29.5_NRA_model_for_NEMO2 (EMC Update) v0 30 1" xfId="252"/>
    <cellStyle name="%_NRA_model_for_NEMO2 (EMC Update) v0.19_NRA_model_for_NEMO2 (EMC Update) v0.21_NRA_model_for_NEMO2 (EMC Update) v0.26" xfId="253"/>
    <cellStyle name="%_NRA_model_for_NEMO2 (EMC Update) v0.19_NRA_model_for_NEMO2 (EMC Update) v0.21_NRA_model_for_NEMO2 (EMC Update) v0.26_NRA_model_for_NEMO2 (EMC Update) v0 30 1" xfId="254"/>
    <cellStyle name="%_NRA_model_for_NEMO2 (EMC Update) v0.19_NRA_model_for_NEMO2 (EMC Update) v0.21_NRA_model_for_NEMO2 (EMC Update) v0.26_NRA_model_for_NEMO2 (EMC Update) v0.29" xfId="255"/>
    <cellStyle name="%_NRA_model_for_NEMO2 (EMC Update) v0.19_NRA_model_for_NEMO2 (EMC Update) v0.21_NRA_model_for_NEMO2 (EMC Update) v0.26_NRA_model_for_NEMO2 (EMC Update) v0.29.2" xfId="256"/>
    <cellStyle name="%_NRA_model_for_NEMO2 (EMC Update) v0.19_NRA_model_for_NEMO2 (EMC Update) v0.21_NRA_model_for_NEMO2 (EMC Update) v0.26_NRA_model_for_NEMO2 (EMC Update) v0.29.2_NRA_model_for_NEMO2 (EMC Update) v0 30 1" xfId="257"/>
    <cellStyle name="%_NRA_model_for_NEMO2 (EMC Update) v0.19_NRA_model_for_NEMO2 (EMC Update) v0.21_NRA_model_for_NEMO2 (EMC Update) v0.26_NRA_model_for_NEMO2 (EMC Update) v0.29.2_NRA_model_for_NEMO2 (EMC Update) v0.29.3" xfId="258"/>
    <cellStyle name="%_NRA_model_for_NEMO2 (EMC Update) v0.19_NRA_model_for_NEMO2 (EMC Update) v0.21_NRA_model_for_NEMO2 (EMC Update) v0.26_NRA_model_for_NEMO2 (EMC Update) v0.29.2_NRA_model_for_NEMO2 (EMC Update) v0.29.3_NRA_model_for_NEMO2 (EMC Update) v0 30 1" xfId="259"/>
    <cellStyle name="%_NRA_model_for_NEMO2 (EMC Update) v0.19_NRA_model_for_NEMO2 (EMC Update) v0.21_NRA_model_for_NEMO2 (EMC Update) v0.26_NRA_model_for_NEMO2 (EMC Update) v0.29.2_NRA_model_for_NEMO2 (EMC Update) v0.29.3_NRA_model_for_NEMO2 (EMC Update) v0.29.5" xfId="260"/>
    <cellStyle name="%_NRA_model_for_NEMO2 (EMC Update) v0.19_NRA_model_for_NEMO2 (EMC Update) v0.21_NRA_model_for_NEMO2 (EMC Update) v0.26_NRA_model_for_NEMO2 (EMC Update) v0.29.2_NRA_model_for_NEMO2 (EMC Update) v0.29.4" xfId="261"/>
    <cellStyle name="%_NRA_model_for_NEMO2 (EMC Update) v0.19_NRA_model_for_NEMO2 (EMC Update) v0.21_NRA_model_for_NEMO2 (EMC Update) v0.26_NRA_model_for_NEMO2 (EMC Update) v0.29.2_NRA_model_for_NEMO2 (EMC Update) v0.29.4_NRA_model_for_NEMO2 (EMC Update) v0 30 1" xfId="262"/>
    <cellStyle name="%_NRA_model_for_NEMO2 (EMC Update) v0.19_NRA_model_for_NEMO2 (EMC Update) v0.21_NRA_model_for_NEMO2 (EMC Update) v0.26_NRA_model_for_NEMO2 (EMC Update) v0.29.2_NRA_model_for_NEMO2 (EMC Update) v0.29.4_NRA_model_for_NEMO2 (EMC Update) v0.29.5" xfId="263"/>
    <cellStyle name="%_NRA_model_for_NEMO2 (EMC Update) v0.19_NRA_model_for_NEMO2 (EMC Update) v0.21_NRA_model_for_NEMO2 (EMC Update) v0.26_NRA_model_for_NEMO2 (EMC Update) v0.29.2_NRA_model_for_NEMO2 (EMC Update) v0.29.5" xfId="264"/>
    <cellStyle name="%_NRA_model_for_NEMO2 (EMC Update) v0.19_NRA_model_for_NEMO2 (EMC Update) v0.21_NRA_model_for_NEMO2 (EMC Update) v0.26_NRA_model_for_NEMO2 (EMC Update) v0.29.2_NRA_model_for_NEMO2 (EMC Update) v0.29.5_NRA_model_for_NEMO2 (EMC Update) v0 30 1" xfId="265"/>
    <cellStyle name="%_NRA_model_for_NEMO2 (EMC Update) v0.19_NRA_model_for_NEMO2 (EMC Update) v0.21_NRA_model_for_NEMO2 (EMC Update) v0.26_NRA_model_for_NEMO2 (EMC Update) v0.29.3" xfId="266"/>
    <cellStyle name="%_NRA_model_for_NEMO2 (EMC Update) v0.19_NRA_model_for_NEMO2 (EMC Update) v0.21_NRA_model_for_NEMO2 (EMC Update) v0.26_NRA_model_for_NEMO2 (EMC Update) v0.29.3_NRA_model_for_NEMO2 (EMC Update) v0 30 1" xfId="267"/>
    <cellStyle name="%_NRA_model_for_NEMO2 (EMC Update) v0.19_NRA_model_for_NEMO2 (EMC Update) v0.21_NRA_model_for_NEMO2 (EMC Update) v0.26_NRA_model_for_NEMO2 (EMC Update) v0.29.3_NRA_model_for_NEMO2 (EMC Update) v0.29.5" xfId="268"/>
    <cellStyle name="%_NRA_model_for_NEMO2 (EMC Update) v0.19_NRA_model_for_NEMO2 (EMC Update) v0.21_NRA_model_for_NEMO2 (EMC Update) v0.26_NRA_model_for_NEMO2 (EMC Update) v0.29.3_NRA_model_for_NEMO2 (EMC Update) v0.29.5_NRA_model_for_NEMO2 (EMC Update) v0 30 1" xfId="269"/>
    <cellStyle name="%_NRA_model_for_NEMO2 (EMC Update) v0.19_NRA_model_for_NEMO2 (EMC Update) v0.21_NRA_model_for_NEMO2 (EMC Update) v0.26_NRA_model_for_NEMO2 (EMC Update) v0.29.4" xfId="270"/>
    <cellStyle name="%_NRA_model_for_NEMO2 (EMC Update) v0.19_NRA_model_for_NEMO2 (EMC Update) v0.21_NRA_model_for_NEMO2 (EMC Update) v0.26_NRA_model_for_NEMO2 (EMC Update) v0.29.4_NRA_model_for_NEMO2 (EMC Update) v0 30 1" xfId="271"/>
    <cellStyle name="%_NRA_model_for_NEMO2 (EMC Update) v0.19_NRA_model_for_NEMO2 (EMC Update) v0.21_NRA_model_for_NEMO2 (EMC Update) v0.26_NRA_model_for_NEMO2 (EMC Update) v0.29.4_NRA_model_for_NEMO2 (EMC Update) v0.29.5" xfId="272"/>
    <cellStyle name="%_NRA_model_for_NEMO2 (EMC Update) v0.19_NRA_model_for_NEMO2 (EMC Update) v0.21_NRA_model_for_NEMO2 (EMC Update) v0.26_NRA_model_for_NEMO2 (EMC Update) v0.29.4_NRA_model_for_NEMO2 (EMC Update) v0.29.5_NRA_model_for_NEMO2 (EMC Update) v0 30 1" xfId="273"/>
    <cellStyle name="%_NRA_model_for_NEMO2 (EMC Update) v0.19_NRA_model_for_NEMO2 (EMC Update) v0.21_NRA_model_for_NEMO2 (EMC Update) v0.26_NRA_model_for_NEMO2 (EMC Update) v0.29.5" xfId="274"/>
    <cellStyle name="%_NRA_model_for_NEMO2 (EMC Update) v0.19_NRA_model_for_NEMO2 (EMC Update) v0.21_NRA_model_for_NEMO2 (EMC Update) v0.26_NRA_model_for_NEMO2 (EMC Update) v0.29.5_NRA_model_for_NEMO2 (EMC Update) v0 30 1" xfId="275"/>
    <cellStyle name="%_NRA_model_for_NEMO2 (EMC Update) v0.19_NRA_model_for_NEMO2 (EMC Update) v0.21_NRA_model_for_NEMO2 (EMC Update) v0.26_NRA_model_for_NEMO2 (EMC Update) v0.29_NRA_model_for_NEMO2 (EMC Update) v0 30 1" xfId="276"/>
    <cellStyle name="%_NRA_model_for_NEMO2 (EMC Update) v0.19_NRA_model_for_NEMO2 (EMC Update) v0.21_NRA_model_for_NEMO2 (EMC Update) v0.26_NRA_model_for_NEMO2 (EMC Update) v0.29_NRA_model_for_NEMO2 (EMC Update) v0.29.2" xfId="277"/>
    <cellStyle name="%_NRA_model_for_NEMO2 (EMC Update) v0.19_NRA_model_for_NEMO2 (EMC Update) v0.21_NRA_model_for_NEMO2 (EMC Update) v0.26_NRA_model_for_NEMO2 (EMC Update) v0.29_NRA_model_for_NEMO2 (EMC Update) v0.29.2_NRA_model_for_NEMO2 (EMC Update) v0 30 1" xfId="278"/>
    <cellStyle name="%_NRA_model_for_NEMO2 (EMC Update) v0.19_NRA_model_for_NEMO2 (EMC Update) v0.21_NRA_model_for_NEMO2 (EMC Update) v0.26_NRA_model_for_NEMO2 (EMC Update) v0.29_NRA_model_for_NEMO2 (EMC Update) v0.29.2_NRA_model_for_NEMO2 (EMC Update) v0.29.3" xfId="279"/>
    <cellStyle name="%_NRA_model_for_NEMO2 (EMC Update) v0.19_NRA_model_for_NEMO2 (EMC Update) v0.21_NRA_model_for_NEMO2 (EMC Update) v0.26_NRA_model_for_NEMO2 (EMC Update) v0.29_NRA_model_for_NEMO2 (EMC Update) v0.29.2_NRA_model_for_NEMO2 (EMC Update) v0.29.4" xfId="280"/>
    <cellStyle name="%_NRA_model_for_NEMO2 (EMC Update) v0.19_NRA_model_for_NEMO2 (EMC Update) v0.21_NRA_model_for_NEMO2 (EMC Update) v0.26_NRA_model_for_NEMO2 (EMC Update) v0.29_NRA_model_for_NEMO2 (EMC Update) v0.29.2_NRA_model_for_NEMO2 (EMC Update) v0.29.5" xfId="281"/>
    <cellStyle name="%_NRA_model_for_NEMO2 (EMC Update) v0.19_NRA_model_for_NEMO2 (EMC Update) v0.21_NRA_model_for_NEMO2 (EMC Update) v0.26_NRA_model_for_NEMO2 (EMC Update) v0.29_NRA_model_for_NEMO2 (EMC Update) v0.29.3" xfId="282"/>
    <cellStyle name="%_NRA_model_for_NEMO2 (EMC Update) v0.19_NRA_model_for_NEMO2 (EMC Update) v0.21_NRA_model_for_NEMO2 (EMC Update) v0.26_NRA_model_for_NEMO2 (EMC Update) v0.29_NRA_model_for_NEMO2 (EMC Update) v0.29.3_NRA_model_for_NEMO2 (EMC Update) v0 30 1" xfId="283"/>
    <cellStyle name="%_NRA_model_for_NEMO2 (EMC Update) v0.19_NRA_model_for_NEMO2 (EMC Update) v0.21_NRA_model_for_NEMO2 (EMC Update) v0.26_NRA_model_for_NEMO2 (EMC Update) v0.29_NRA_model_for_NEMO2 (EMC Update) v0.29.3_NRA_model_for_NEMO2 (EMC Update) v0.29.5" xfId="284"/>
    <cellStyle name="%_NRA_model_for_NEMO2 (EMC Update) v0.19_NRA_model_for_NEMO2 (EMC Update) v0.21_NRA_model_for_NEMO2 (EMC Update) v0.26_NRA_model_for_NEMO2 (EMC Update) v0.29_NRA_model_for_NEMO2 (EMC Update) v0.29.4" xfId="285"/>
    <cellStyle name="%_NRA_model_for_NEMO2 (EMC Update) v0.19_NRA_model_for_NEMO2 (EMC Update) v0.21_NRA_model_for_NEMO2 (EMC Update) v0.26_NRA_model_for_NEMO2 (EMC Update) v0.29_NRA_model_for_NEMO2 (EMC Update) v0.29.4_NRA_model_for_NEMO2 (EMC Update) v0 30 1" xfId="286"/>
    <cellStyle name="%_NRA_model_for_NEMO2 (EMC Update) v0.19_NRA_model_for_NEMO2 (EMC Update) v0.21_NRA_model_for_NEMO2 (EMC Update) v0.26_NRA_model_for_NEMO2 (EMC Update) v0.29_NRA_model_for_NEMO2 (EMC Update) v0.29.4_NRA_model_for_NEMO2 (EMC Update) v0.29.5" xfId="287"/>
    <cellStyle name="%_NRA_model_for_NEMO2 (EMC Update) v0.19_NRA_model_for_NEMO2 (EMC Update) v0.21_NRA_model_for_NEMO2 (EMC Update) v0.26_NRA_model_for_NEMO2 (EMC Update) v0.29_NRA_model_for_NEMO2 (EMC Update) v0.29.5" xfId="288"/>
    <cellStyle name="%_NRA_model_for_NEMO2 (EMC Update) v0.19_NRA_model_for_NEMO2 (EMC Update) v0.21_NRA_model_for_NEMO2 (EMC Update) v0.26_NRA_model_for_NEMO2 (EMC Update) v0.29_NRA_model_for_NEMO2 (EMC Update) v0.29.5_NRA_model_for_NEMO2 (EMC Update) v0 30 1" xfId="289"/>
    <cellStyle name="%_NRA_model_for_NEMO2 (EMC Update) v0.19_NRA_model_for_NEMO2 (EMC Update) v0.21_NRA_model_for_NEMO2 (EMC Update) v0.29" xfId="290"/>
    <cellStyle name="%_NRA_model_for_NEMO2 (EMC Update) v0.19_NRA_model_for_NEMO2 (EMC Update) v0.21_NRA_model_for_NEMO2 (EMC Update) v0.29.2" xfId="291"/>
    <cellStyle name="%_NRA_model_for_NEMO2 (EMC Update) v0.19_NRA_model_for_NEMO2 (EMC Update) v0.21_NRA_model_for_NEMO2 (EMC Update) v0.29.2_NRA_model_for_NEMO2 (EMC Update) v0 30 1" xfId="292"/>
    <cellStyle name="%_NRA_model_for_NEMO2 (EMC Update) v0.19_NRA_model_for_NEMO2 (EMC Update) v0.21_NRA_model_for_NEMO2 (EMC Update) v0.29.2_NRA_model_for_NEMO2 (EMC Update) v0.29.3" xfId="293"/>
    <cellStyle name="%_NRA_model_for_NEMO2 (EMC Update) v0.19_NRA_model_for_NEMO2 (EMC Update) v0.21_NRA_model_for_NEMO2 (EMC Update) v0.29.2_NRA_model_for_NEMO2 (EMC Update) v0.29.3_NRA_model_for_NEMO2 (EMC Update) v0 30 1" xfId="294"/>
    <cellStyle name="%_NRA_model_for_NEMO2 (EMC Update) v0.19_NRA_model_for_NEMO2 (EMC Update) v0.21_NRA_model_for_NEMO2 (EMC Update) v0.29.2_NRA_model_for_NEMO2 (EMC Update) v0.29.3_NRA_model_for_NEMO2 (EMC Update) v0.29.5" xfId="295"/>
    <cellStyle name="%_NRA_model_for_NEMO2 (EMC Update) v0.19_NRA_model_for_NEMO2 (EMC Update) v0.21_NRA_model_for_NEMO2 (EMC Update) v0.29.2_NRA_model_for_NEMO2 (EMC Update) v0.29.3_NRA_model_for_NEMO2 (EMC Update) v0.29.5_NRA_model_for_NEMO2 (EMC Update) v0 30 1" xfId="296"/>
    <cellStyle name="%_NRA_model_for_NEMO2 (EMC Update) v0.19_NRA_model_for_NEMO2 (EMC Update) v0.21_NRA_model_for_NEMO2 (EMC Update) v0.29.2_NRA_model_for_NEMO2 (EMC Update) v0.29.4" xfId="297"/>
    <cellStyle name="%_NRA_model_for_NEMO2 (EMC Update) v0.19_NRA_model_for_NEMO2 (EMC Update) v0.21_NRA_model_for_NEMO2 (EMC Update) v0.29.2_NRA_model_for_NEMO2 (EMC Update) v0.29.4_NRA_model_for_NEMO2 (EMC Update) v0 30 1" xfId="298"/>
    <cellStyle name="%_NRA_model_for_NEMO2 (EMC Update) v0.19_NRA_model_for_NEMO2 (EMC Update) v0.21_NRA_model_for_NEMO2 (EMC Update) v0.29.2_NRA_model_for_NEMO2 (EMC Update) v0.29.4_NRA_model_for_NEMO2 (EMC Update) v0.29.5" xfId="299"/>
    <cellStyle name="%_NRA_model_for_NEMO2 (EMC Update) v0.19_NRA_model_for_NEMO2 (EMC Update) v0.21_NRA_model_for_NEMO2 (EMC Update) v0.29.2_NRA_model_for_NEMO2 (EMC Update) v0.29.4_NRA_model_for_NEMO2 (EMC Update) v0.29.5_NRA_model_for_NEMO2 (EMC Update) v0 30 1" xfId="300"/>
    <cellStyle name="%_NRA_model_for_NEMO2 (EMC Update) v0.19_NRA_model_for_NEMO2 (EMC Update) v0.21_NRA_model_for_NEMO2 (EMC Update) v0.29.2_NRA_model_for_NEMO2 (EMC Update) v0.29.5" xfId="301"/>
    <cellStyle name="%_NRA_model_for_NEMO2 (EMC Update) v0.19_NRA_model_for_NEMO2 (EMC Update) v0.21_NRA_model_for_NEMO2 (EMC Update) v0.29.2_NRA_model_for_NEMO2 (EMC Update) v0.29.5_NRA_model_for_NEMO2 (EMC Update) v0 30 1" xfId="302"/>
    <cellStyle name="%_NRA_model_for_NEMO2 (EMC Update) v0.19_NRA_model_for_NEMO2 (EMC Update) v0.21_NRA_model_for_NEMO2 (EMC Update) v0.29.3" xfId="303"/>
    <cellStyle name="%_NRA_model_for_NEMO2 (EMC Update) v0.19_NRA_model_for_NEMO2 (EMC Update) v0.21_NRA_model_for_NEMO2 (EMC Update) v0.29.3_NRA_model_for_NEMO2 (EMC Update) v0 30 1" xfId="304"/>
    <cellStyle name="%_NRA_model_for_NEMO2 (EMC Update) v0.19_NRA_model_for_NEMO2 (EMC Update) v0.21_NRA_model_for_NEMO2 (EMC Update) v0.29.3_NRA_model_for_NEMO2 (EMC Update) v0.29.5" xfId="305"/>
    <cellStyle name="%_NRA_model_for_NEMO2 (EMC Update) v0.19_NRA_model_for_NEMO2 (EMC Update) v0.21_NRA_model_for_NEMO2 (EMC Update) v0.29.3_NRA_model_for_NEMO2 (EMC Update) v0.29.5_NRA_model_for_NEMO2 (EMC Update) v0 30 1" xfId="306"/>
    <cellStyle name="%_NRA_model_for_NEMO2 (EMC Update) v0.19_NRA_model_for_NEMO2 (EMC Update) v0.21_NRA_model_for_NEMO2 (EMC Update) v0.29.4" xfId="307"/>
    <cellStyle name="%_NRA_model_for_NEMO2 (EMC Update) v0.19_NRA_model_for_NEMO2 (EMC Update) v0.21_NRA_model_for_NEMO2 (EMC Update) v0.29.4_NRA_model_for_NEMO2 (EMC Update) v0 30 1" xfId="308"/>
    <cellStyle name="%_NRA_model_for_NEMO2 (EMC Update) v0.19_NRA_model_for_NEMO2 (EMC Update) v0.21_NRA_model_for_NEMO2 (EMC Update) v0.29.4_NRA_model_for_NEMO2 (EMC Update) v0.29.5" xfId="309"/>
    <cellStyle name="%_NRA_model_for_NEMO2 (EMC Update) v0.19_NRA_model_for_NEMO2 (EMC Update) v0.21_NRA_model_for_NEMO2 (EMC Update) v0.29.4_NRA_model_for_NEMO2 (EMC Update) v0.29.5_NRA_model_for_NEMO2 (EMC Update) v0 30 1" xfId="310"/>
    <cellStyle name="%_NRA_model_for_NEMO2 (EMC Update) v0.19_NRA_model_for_NEMO2 (EMC Update) v0.21_NRA_model_for_NEMO2 (EMC Update) v0.29.5" xfId="311"/>
    <cellStyle name="%_NRA_model_for_NEMO2 (EMC Update) v0.19_NRA_model_for_NEMO2 (EMC Update) v0.21_NRA_model_for_NEMO2 (EMC Update) v0.29.5_NRA_model_for_NEMO2 (EMC Update) v0 30 1" xfId="312"/>
    <cellStyle name="%_NRA_model_for_NEMO2 (EMC Update) v0.19_NRA_model_for_NEMO2 (EMC Update) v0.21_NRA_model_for_NEMO2 (EMC Update) v0.29_NRA_model_for_NEMO2 (EMC Update) v0 30 1" xfId="313"/>
    <cellStyle name="%_NRA_model_for_NEMO2 (EMC Update) v0.19_NRA_model_for_NEMO2 (EMC Update) v0.21_NRA_model_for_NEMO2 (EMC Update) v0.29_NRA_model_for_NEMO2 (EMC Update) v0.29.2" xfId="314"/>
    <cellStyle name="%_NRA_model_for_NEMO2 (EMC Update) v0.19_NRA_model_for_NEMO2 (EMC Update) v0.21_NRA_model_for_NEMO2 (EMC Update) v0.29_NRA_model_for_NEMO2 (EMC Update) v0.29.2_NRA_model_for_NEMO2 (EMC Update) v0 30 1" xfId="315"/>
    <cellStyle name="%_NRA_model_for_NEMO2 (EMC Update) v0.19_NRA_model_for_NEMO2 (EMC Update) v0.21_NRA_model_for_NEMO2 (EMC Update) v0.29_NRA_model_for_NEMO2 (EMC Update) v0.29.2_NRA_model_for_NEMO2 (EMC Update) v0.29.3" xfId="316"/>
    <cellStyle name="%_NRA_model_for_NEMO2 (EMC Update) v0.19_NRA_model_for_NEMO2 (EMC Update) v0.21_NRA_model_for_NEMO2 (EMC Update) v0.29_NRA_model_for_NEMO2 (EMC Update) v0.29.2_NRA_model_for_NEMO2 (EMC Update) v0.29.3_NRA_model_for_NEMO2 (EMC Update) v0 30 1" xfId="317"/>
    <cellStyle name="%_NRA_model_for_NEMO2 (EMC Update) v0.19_NRA_model_for_NEMO2 (EMC Update) v0.21_NRA_model_for_NEMO2 (EMC Update) v0.29_NRA_model_for_NEMO2 (EMC Update) v0.29.2_NRA_model_for_NEMO2 (EMC Update) v0.29.3_NRA_model_for_NEMO2 (EMC Update) v0.29.5" xfId="318"/>
    <cellStyle name="%_NRA_model_for_NEMO2 (EMC Update) v0.19_NRA_model_for_NEMO2 (EMC Update) v0.21_NRA_model_for_NEMO2 (EMC Update) v0.29_NRA_model_for_NEMO2 (EMC Update) v0.29.2_NRA_model_for_NEMO2 (EMC Update) v0.29.4" xfId="319"/>
    <cellStyle name="%_NRA_model_for_NEMO2 (EMC Update) v0.19_NRA_model_for_NEMO2 (EMC Update) v0.21_NRA_model_for_NEMO2 (EMC Update) v0.29_NRA_model_for_NEMO2 (EMC Update) v0.29.2_NRA_model_for_NEMO2 (EMC Update) v0.29.4_NRA_model_for_NEMO2 (EMC Update) v0 30 1" xfId="320"/>
    <cellStyle name="%_NRA_model_for_NEMO2 (EMC Update) v0.19_NRA_model_for_NEMO2 (EMC Update) v0.21_NRA_model_for_NEMO2 (EMC Update) v0.29_NRA_model_for_NEMO2 (EMC Update) v0.29.2_NRA_model_for_NEMO2 (EMC Update) v0.29.4_NRA_model_for_NEMO2 (EMC Update) v0.29.5" xfId="321"/>
    <cellStyle name="%_NRA_model_for_NEMO2 (EMC Update) v0.19_NRA_model_for_NEMO2 (EMC Update) v0.21_NRA_model_for_NEMO2 (EMC Update) v0.29_NRA_model_for_NEMO2 (EMC Update) v0.29.2_NRA_model_for_NEMO2 (EMC Update) v0.29.5" xfId="322"/>
    <cellStyle name="%_NRA_model_for_NEMO2 (EMC Update) v0.19_NRA_model_for_NEMO2 (EMC Update) v0.21_NRA_model_for_NEMO2 (EMC Update) v0.29_NRA_model_for_NEMO2 (EMC Update) v0.29.2_NRA_model_for_NEMO2 (EMC Update) v0.29.5_NRA_model_for_NEMO2 (EMC Update) v0 30 1" xfId="323"/>
    <cellStyle name="%_NRA_model_for_NEMO2 (EMC Update) v0.19_NRA_model_for_NEMO2 (EMC Update) v0.21_NRA_model_for_NEMO2 (EMC Update) v0.29_NRA_model_for_NEMO2 (EMC Update) v0.29.3" xfId="324"/>
    <cellStyle name="%_NRA_model_for_NEMO2 (EMC Update) v0.19_NRA_model_for_NEMO2 (EMC Update) v0.21_NRA_model_for_NEMO2 (EMC Update) v0.29_NRA_model_for_NEMO2 (EMC Update) v0.29.3_NRA_model_for_NEMO2 (EMC Update) v0 30 1" xfId="325"/>
    <cellStyle name="%_NRA_model_for_NEMO2 (EMC Update) v0.19_NRA_model_for_NEMO2 (EMC Update) v0.21_NRA_model_for_NEMO2 (EMC Update) v0.29_NRA_model_for_NEMO2 (EMC Update) v0.29.3_NRA_model_for_NEMO2 (EMC Update) v0.29.5" xfId="326"/>
    <cellStyle name="%_NRA_model_for_NEMO2 (EMC Update) v0.19_NRA_model_for_NEMO2 (EMC Update) v0.21_NRA_model_for_NEMO2 (EMC Update) v0.29_NRA_model_for_NEMO2 (EMC Update) v0.29.3_NRA_model_for_NEMO2 (EMC Update) v0.29.5_NRA_model_for_NEMO2 (EMC Update) v0 30 1" xfId="327"/>
    <cellStyle name="%_NRA_model_for_NEMO2 (EMC Update) v0.19_NRA_model_for_NEMO2 (EMC Update) v0.21_NRA_model_for_NEMO2 (EMC Update) v0.29_NRA_model_for_NEMO2 (EMC Update) v0.29.4" xfId="328"/>
    <cellStyle name="%_NRA_model_for_NEMO2 (EMC Update) v0.19_NRA_model_for_NEMO2 (EMC Update) v0.21_NRA_model_for_NEMO2 (EMC Update) v0.29_NRA_model_for_NEMO2 (EMC Update) v0.29.4_NRA_model_for_NEMO2 (EMC Update) v0 30 1" xfId="329"/>
    <cellStyle name="%_NRA_model_for_NEMO2 (EMC Update) v0.19_NRA_model_for_NEMO2 (EMC Update) v0.21_NRA_model_for_NEMO2 (EMC Update) v0.29_NRA_model_for_NEMO2 (EMC Update) v0.29.4_NRA_model_for_NEMO2 (EMC Update) v0.29.5" xfId="330"/>
    <cellStyle name="%_NRA_model_for_NEMO2 (EMC Update) v0.19_NRA_model_for_NEMO2 (EMC Update) v0.21_NRA_model_for_NEMO2 (EMC Update) v0.29_NRA_model_for_NEMO2 (EMC Update) v0.29.4_NRA_model_for_NEMO2 (EMC Update) v0.29.5_NRA_model_for_NEMO2 (EMC Update) v0 30 1" xfId="331"/>
    <cellStyle name="%_NRA_model_for_NEMO2 (EMC Update) v0.19_NRA_model_for_NEMO2 (EMC Update) v0.21_NRA_model_for_NEMO2 (EMC Update) v0.29_NRA_model_for_NEMO2 (EMC Update) v0.29.5" xfId="332"/>
    <cellStyle name="%_NRA_model_for_NEMO2 (EMC Update) v0.19_NRA_model_for_NEMO2 (EMC Update) v0.21_NRA_model_for_NEMO2 (EMC Update) v0.29_NRA_model_for_NEMO2 (EMC Update) v0.29.5_NRA_model_for_NEMO2 (EMC Update) v0 30 1" xfId="333"/>
    <cellStyle name="%_NRA_model_for_NEMO2 (EMC Update) v0.19_NRA_model_for_NEMO2 (EMC Update) v0.22" xfId="334"/>
    <cellStyle name="%_NRA_model_for_NEMO2 (EMC Update) v0.19_NRA_model_for_NEMO2 (EMC Update) v0.22_NRA_model_for_NEMO2 (EMC Update) v0 30 1" xfId="335"/>
    <cellStyle name="%_NRA_model_for_NEMO2 (EMC Update) v0.19_NRA_model_for_NEMO2 (EMC Update) v0.22_NRA_model_for_NEMO2 (EMC Update) v0.25" xfId="336"/>
    <cellStyle name="%_NRA_model_for_NEMO2 (EMC Update) v0.19_NRA_model_for_NEMO2 (EMC Update) v0.22_NRA_model_for_NEMO2 (EMC Update) v0.25_NRA_model_for_NEMO2 (EMC Update) v0 30 1" xfId="337"/>
    <cellStyle name="%_NRA_model_for_NEMO2 (EMC Update) v0.19_NRA_model_for_NEMO2 (EMC Update) v0.22_NRA_model_for_NEMO2 (EMC Update) v0.25_NRA_model_for_NEMO2 (EMC Update) v0.26" xfId="338"/>
    <cellStyle name="%_NRA_model_for_NEMO2 (EMC Update) v0.19_NRA_model_for_NEMO2 (EMC Update) v0.22_NRA_model_for_NEMO2 (EMC Update) v0.25_NRA_model_for_NEMO2 (EMC Update) v0.26_NRA_model_for_NEMO2 (EMC Update) v0 30 1" xfId="339"/>
    <cellStyle name="%_NRA_model_for_NEMO2 (EMC Update) v0.19_NRA_model_for_NEMO2 (EMC Update) v0.22_NRA_model_for_NEMO2 (EMC Update) v0.25_NRA_model_for_NEMO2 (EMC Update) v0.26_NRA_model_for_NEMO2 (EMC Update) v0.29" xfId="340"/>
    <cellStyle name="%_NRA_model_for_NEMO2 (EMC Update) v0.19_NRA_model_for_NEMO2 (EMC Update) v0.22_NRA_model_for_NEMO2 (EMC Update) v0.25_NRA_model_for_NEMO2 (EMC Update) v0.26_NRA_model_for_NEMO2 (EMC Update) v0.29.2" xfId="341"/>
    <cellStyle name="%_NRA_model_for_NEMO2 (EMC Update) v0.19_NRA_model_for_NEMO2 (EMC Update) v0.22_NRA_model_for_NEMO2 (EMC Update) v0.25_NRA_model_for_NEMO2 (EMC Update) v0.26_NRA_model_for_NEMO2 (EMC Update) v0.29.2_NRA_model_for_NEMO2 (EMC Update) v0 30 1" xfId="342"/>
    <cellStyle name="%_NRA_model_for_NEMO2 (EMC Update) v0.19_NRA_model_for_NEMO2 (EMC Update) v0.22_NRA_model_for_NEMO2 (EMC Update) v0.25_NRA_model_for_NEMO2 (EMC Update) v0.26_NRA_model_for_NEMO2 (EMC Update) v0.29.2_NRA_model_for_NEMO2 (EMC Update) v0.29.3" xfId="343"/>
    <cellStyle name="%_NRA_model_for_NEMO2 (EMC Update) v0.19_NRA_model_for_NEMO2 (EMC Update) v0.22_NRA_model_for_NEMO2 (EMC Update) v0.25_NRA_model_for_NEMO2 (EMC Update) v0.26_NRA_model_for_NEMO2 (EMC Update) v0.29.2_NRA_model_for_NEMO2 (EMC Update) v0.29.4" xfId="344"/>
    <cellStyle name="%_NRA_model_for_NEMO2 (EMC Update) v0.19_NRA_model_for_NEMO2 (EMC Update) v0.22_NRA_model_for_NEMO2 (EMC Update) v0.25_NRA_model_for_NEMO2 (EMC Update) v0.26_NRA_model_for_NEMO2 (EMC Update) v0.29.2_NRA_model_for_NEMO2 (EMC Update) v0.29.5" xfId="345"/>
    <cellStyle name="%_NRA_model_for_NEMO2 (EMC Update) v0.19_NRA_model_for_NEMO2 (EMC Update) v0.22_NRA_model_for_NEMO2 (EMC Update) v0.25_NRA_model_for_NEMO2 (EMC Update) v0.26_NRA_model_for_NEMO2 (EMC Update) v0.29.3" xfId="346"/>
    <cellStyle name="%_NRA_model_for_NEMO2 (EMC Update) v0.19_NRA_model_for_NEMO2 (EMC Update) v0.22_NRA_model_for_NEMO2 (EMC Update) v0.25_NRA_model_for_NEMO2 (EMC Update) v0.26_NRA_model_for_NEMO2 (EMC Update) v0.29.3_NRA_model_for_NEMO2 (EMC Update) v0 30 1" xfId="347"/>
    <cellStyle name="%_NRA_model_for_NEMO2 (EMC Update) v0.19_NRA_model_for_NEMO2 (EMC Update) v0.22_NRA_model_for_NEMO2 (EMC Update) v0.25_NRA_model_for_NEMO2 (EMC Update) v0.26_NRA_model_for_NEMO2 (EMC Update) v0.29.3_NRA_model_for_NEMO2 (EMC Update) v0.29.5" xfId="348"/>
    <cellStyle name="%_NRA_model_for_NEMO2 (EMC Update) v0.19_NRA_model_for_NEMO2 (EMC Update) v0.22_NRA_model_for_NEMO2 (EMC Update) v0.25_NRA_model_for_NEMO2 (EMC Update) v0.26_NRA_model_for_NEMO2 (EMC Update) v0.29.4" xfId="349"/>
    <cellStyle name="%_NRA_model_for_NEMO2 (EMC Update) v0.19_NRA_model_for_NEMO2 (EMC Update) v0.22_NRA_model_for_NEMO2 (EMC Update) v0.25_NRA_model_for_NEMO2 (EMC Update) v0.26_NRA_model_for_NEMO2 (EMC Update) v0.29.4_NRA_model_for_NEMO2 (EMC Update) v0 30 1" xfId="350"/>
    <cellStyle name="%_NRA_model_for_NEMO2 (EMC Update) v0.19_NRA_model_for_NEMO2 (EMC Update) v0.22_NRA_model_for_NEMO2 (EMC Update) v0.25_NRA_model_for_NEMO2 (EMC Update) v0.26_NRA_model_for_NEMO2 (EMC Update) v0.29.4_NRA_model_for_NEMO2 (EMC Update) v0.29.5" xfId="351"/>
    <cellStyle name="%_NRA_model_for_NEMO2 (EMC Update) v0.19_NRA_model_for_NEMO2 (EMC Update) v0.22_NRA_model_for_NEMO2 (EMC Update) v0.25_NRA_model_for_NEMO2 (EMC Update) v0.26_NRA_model_for_NEMO2 (EMC Update) v0.29.5" xfId="352"/>
    <cellStyle name="%_NRA_model_for_NEMO2 (EMC Update) v0.19_NRA_model_for_NEMO2 (EMC Update) v0.22_NRA_model_for_NEMO2 (EMC Update) v0.25_NRA_model_for_NEMO2 (EMC Update) v0.26_NRA_model_for_NEMO2 (EMC Update) v0.29.5_NRA_model_for_NEMO2 (EMC Update) v0 30 1" xfId="353"/>
    <cellStyle name="%_NRA_model_for_NEMO2 (EMC Update) v0.19_NRA_model_for_NEMO2 (EMC Update) v0.22_NRA_model_for_NEMO2 (EMC Update) v0.25_NRA_model_for_NEMO2 (EMC Update) v0.26_NRA_model_for_NEMO2 (EMC Update) v0.29_NRA_model_for_NEMO2 (EMC Update) v0 30 1" xfId="354"/>
    <cellStyle name="%_NRA_model_for_NEMO2 (EMC Update) v0.19_NRA_model_for_NEMO2 (EMC Update) v0.22_NRA_model_for_NEMO2 (EMC Update) v0.25_NRA_model_for_NEMO2 (EMC Update) v0.26_NRA_model_for_NEMO2 (EMC Update) v0.29_NRA_model_for_NEMO2 (EMC Update) v0.29.2" xfId="355"/>
    <cellStyle name="%_NRA_model_for_NEMO2 (EMC Update) v0.19_NRA_model_for_NEMO2 (EMC Update) v0.22_NRA_model_for_NEMO2 (EMC Update) v0.25_NRA_model_for_NEMO2 (EMC Update) v0.26_NRA_model_for_NEMO2 (EMC Update) v0.29_NRA_model_for_NEMO2 (EMC Update) v0.29.3" xfId="356"/>
    <cellStyle name="%_NRA_model_for_NEMO2 (EMC Update) v0.19_NRA_model_for_NEMO2 (EMC Update) v0.22_NRA_model_for_NEMO2 (EMC Update) v0.25_NRA_model_for_NEMO2 (EMC Update) v0.26_NRA_model_for_NEMO2 (EMC Update) v0.29_NRA_model_for_NEMO2 (EMC Update) v0.29.4" xfId="357"/>
    <cellStyle name="%_NRA_model_for_NEMO2 (EMC Update) v0.19_NRA_model_for_NEMO2 (EMC Update) v0.22_NRA_model_for_NEMO2 (EMC Update) v0.25_NRA_model_for_NEMO2 (EMC Update) v0.26_NRA_model_for_NEMO2 (EMC Update) v0.29_NRA_model_for_NEMO2 (EMC Update) v0.29.5" xfId="358"/>
    <cellStyle name="%_NRA_model_for_NEMO2 (EMC Update) v0.19_NRA_model_for_NEMO2 (EMC Update) v0.22_NRA_model_for_NEMO2 (EMC Update) v0.25_NRA_model_for_NEMO2 (EMC Update) v0.29" xfId="359"/>
    <cellStyle name="%_NRA_model_for_NEMO2 (EMC Update) v0.19_NRA_model_for_NEMO2 (EMC Update) v0.22_NRA_model_for_NEMO2 (EMC Update) v0.25_NRA_model_for_NEMO2 (EMC Update) v0.29.2" xfId="360"/>
    <cellStyle name="%_NRA_model_for_NEMO2 (EMC Update) v0.19_NRA_model_for_NEMO2 (EMC Update) v0.22_NRA_model_for_NEMO2 (EMC Update) v0.25_NRA_model_for_NEMO2 (EMC Update) v0.29.2_NRA_model_for_NEMO2 (EMC Update) v0 30 1" xfId="361"/>
    <cellStyle name="%_NRA_model_for_NEMO2 (EMC Update) v0.19_NRA_model_for_NEMO2 (EMC Update) v0.22_NRA_model_for_NEMO2 (EMC Update) v0.25_NRA_model_for_NEMO2 (EMC Update) v0.29.2_NRA_model_for_NEMO2 (EMC Update) v0.29.3" xfId="362"/>
    <cellStyle name="%_NRA_model_for_NEMO2 (EMC Update) v0.19_NRA_model_for_NEMO2 (EMC Update) v0.22_NRA_model_for_NEMO2 (EMC Update) v0.25_NRA_model_for_NEMO2 (EMC Update) v0.29.2_NRA_model_for_NEMO2 (EMC Update) v0.29.3_NRA_model_for_NEMO2 (EMC Update) v0 30 1" xfId="363"/>
    <cellStyle name="%_NRA_model_for_NEMO2 (EMC Update) v0.19_NRA_model_for_NEMO2 (EMC Update) v0.22_NRA_model_for_NEMO2 (EMC Update) v0.25_NRA_model_for_NEMO2 (EMC Update) v0.29.2_NRA_model_for_NEMO2 (EMC Update) v0.29.3_NRA_model_for_NEMO2 (EMC Update) v0.29.5" xfId="364"/>
    <cellStyle name="%_NRA_model_for_NEMO2 (EMC Update) v0.19_NRA_model_for_NEMO2 (EMC Update) v0.22_NRA_model_for_NEMO2 (EMC Update) v0.25_NRA_model_for_NEMO2 (EMC Update) v0.29.2_NRA_model_for_NEMO2 (EMC Update) v0.29.4" xfId="365"/>
    <cellStyle name="%_NRA_model_for_NEMO2 (EMC Update) v0.19_NRA_model_for_NEMO2 (EMC Update) v0.22_NRA_model_for_NEMO2 (EMC Update) v0.25_NRA_model_for_NEMO2 (EMC Update) v0.29.2_NRA_model_for_NEMO2 (EMC Update) v0.29.4_NRA_model_for_NEMO2 (EMC Update) v0 30 1" xfId="366"/>
    <cellStyle name="%_NRA_model_for_NEMO2 (EMC Update) v0.19_NRA_model_for_NEMO2 (EMC Update) v0.22_NRA_model_for_NEMO2 (EMC Update) v0.25_NRA_model_for_NEMO2 (EMC Update) v0.29.2_NRA_model_for_NEMO2 (EMC Update) v0.29.4_NRA_model_for_NEMO2 (EMC Update) v0.29.5" xfId="367"/>
    <cellStyle name="%_NRA_model_for_NEMO2 (EMC Update) v0.19_NRA_model_for_NEMO2 (EMC Update) v0.22_NRA_model_for_NEMO2 (EMC Update) v0.25_NRA_model_for_NEMO2 (EMC Update) v0.29.2_NRA_model_for_NEMO2 (EMC Update) v0.29.5" xfId="368"/>
    <cellStyle name="%_NRA_model_for_NEMO2 (EMC Update) v0.19_NRA_model_for_NEMO2 (EMC Update) v0.22_NRA_model_for_NEMO2 (EMC Update) v0.25_NRA_model_for_NEMO2 (EMC Update) v0.29.2_NRA_model_for_NEMO2 (EMC Update) v0.29.5_NRA_model_for_NEMO2 (EMC Update) v0 30 1" xfId="369"/>
    <cellStyle name="%_NRA_model_for_NEMO2 (EMC Update) v0.19_NRA_model_for_NEMO2 (EMC Update) v0.22_NRA_model_for_NEMO2 (EMC Update) v0.25_NRA_model_for_NEMO2 (EMC Update) v0.29.3" xfId="370"/>
    <cellStyle name="%_NRA_model_for_NEMO2 (EMC Update) v0.19_NRA_model_for_NEMO2 (EMC Update) v0.22_NRA_model_for_NEMO2 (EMC Update) v0.25_NRA_model_for_NEMO2 (EMC Update) v0.29.3_NRA_model_for_NEMO2 (EMC Update) v0 30 1" xfId="371"/>
    <cellStyle name="%_NRA_model_for_NEMO2 (EMC Update) v0.19_NRA_model_for_NEMO2 (EMC Update) v0.22_NRA_model_for_NEMO2 (EMC Update) v0.25_NRA_model_for_NEMO2 (EMC Update) v0.29.3_NRA_model_for_NEMO2 (EMC Update) v0.29.5" xfId="372"/>
    <cellStyle name="%_NRA_model_for_NEMO2 (EMC Update) v0.19_NRA_model_for_NEMO2 (EMC Update) v0.22_NRA_model_for_NEMO2 (EMC Update) v0.25_NRA_model_for_NEMO2 (EMC Update) v0.29.3_NRA_model_for_NEMO2 (EMC Update) v0.29.5_NRA_model_for_NEMO2 (EMC Update) v0 30 1" xfId="373"/>
    <cellStyle name="%_NRA_model_for_NEMO2 (EMC Update) v0.19_NRA_model_for_NEMO2 (EMC Update) v0.22_NRA_model_for_NEMO2 (EMC Update) v0.25_NRA_model_for_NEMO2 (EMC Update) v0.29.4" xfId="374"/>
    <cellStyle name="%_NRA_model_for_NEMO2 (EMC Update) v0.19_NRA_model_for_NEMO2 (EMC Update) v0.22_NRA_model_for_NEMO2 (EMC Update) v0.25_NRA_model_for_NEMO2 (EMC Update) v0.29.4_NRA_model_for_NEMO2 (EMC Update) v0 30 1" xfId="375"/>
    <cellStyle name="%_NRA_model_for_NEMO2 (EMC Update) v0.19_NRA_model_for_NEMO2 (EMC Update) v0.22_NRA_model_for_NEMO2 (EMC Update) v0.25_NRA_model_for_NEMO2 (EMC Update) v0.29.4_NRA_model_for_NEMO2 (EMC Update) v0.29.5" xfId="376"/>
    <cellStyle name="%_NRA_model_for_NEMO2 (EMC Update) v0.19_NRA_model_for_NEMO2 (EMC Update) v0.22_NRA_model_for_NEMO2 (EMC Update) v0.25_NRA_model_for_NEMO2 (EMC Update) v0.29.4_NRA_model_for_NEMO2 (EMC Update) v0.29.5_NRA_model_for_NEMO2 (EMC Update) v0 30 1" xfId="377"/>
    <cellStyle name="%_NRA_model_for_NEMO2 (EMC Update) v0.19_NRA_model_for_NEMO2 (EMC Update) v0.22_NRA_model_for_NEMO2 (EMC Update) v0.25_NRA_model_for_NEMO2 (EMC Update) v0.29.5" xfId="378"/>
    <cellStyle name="%_NRA_model_for_NEMO2 (EMC Update) v0.19_NRA_model_for_NEMO2 (EMC Update) v0.22_NRA_model_for_NEMO2 (EMC Update) v0.25_NRA_model_for_NEMO2 (EMC Update) v0.29.5_NRA_model_for_NEMO2 (EMC Update) v0 30 1" xfId="379"/>
    <cellStyle name="%_NRA_model_for_NEMO2 (EMC Update) v0.19_NRA_model_for_NEMO2 (EMC Update) v0.22_NRA_model_for_NEMO2 (EMC Update) v0.25_NRA_model_for_NEMO2 (EMC Update) v0.29_NRA_model_for_NEMO2 (EMC Update) v0 30 1" xfId="380"/>
    <cellStyle name="%_NRA_model_for_NEMO2 (EMC Update) v0.19_NRA_model_for_NEMO2 (EMC Update) v0.22_NRA_model_for_NEMO2 (EMC Update) v0.25_NRA_model_for_NEMO2 (EMC Update) v0.29_NRA_model_for_NEMO2 (EMC Update) v0.29.2" xfId="381"/>
    <cellStyle name="%_NRA_model_for_NEMO2 (EMC Update) v0.19_NRA_model_for_NEMO2 (EMC Update) v0.22_NRA_model_for_NEMO2 (EMC Update) v0.25_NRA_model_for_NEMO2 (EMC Update) v0.29_NRA_model_for_NEMO2 (EMC Update) v0.29.2_NRA_model_for_NEMO2 (EMC Update) v0 30 1" xfId="382"/>
    <cellStyle name="%_NRA_model_for_NEMO2 (EMC Update) v0.19_NRA_model_for_NEMO2 (EMC Update) v0.22_NRA_model_for_NEMO2 (EMC Update) v0.25_NRA_model_for_NEMO2 (EMC Update) v0.29_NRA_model_for_NEMO2 (EMC Update) v0.29.2_NRA_model_for_NEMO2 (EMC Update) v0.29.3" xfId="383"/>
    <cellStyle name="%_NRA_model_for_NEMO2 (EMC Update) v0.19_NRA_model_for_NEMO2 (EMC Update) v0.22_NRA_model_for_NEMO2 (EMC Update) v0.25_NRA_model_for_NEMO2 (EMC Update) v0.29_NRA_model_for_NEMO2 (EMC Update) v0.29.2_NRA_model_for_NEMO2 (EMC Update) v0.29.4" xfId="384"/>
    <cellStyle name="%_NRA_model_for_NEMO2 (EMC Update) v0.19_NRA_model_for_NEMO2 (EMC Update) v0.22_NRA_model_for_NEMO2 (EMC Update) v0.25_NRA_model_for_NEMO2 (EMC Update) v0.29_NRA_model_for_NEMO2 (EMC Update) v0.29.2_NRA_model_for_NEMO2 (EMC Update) v0.29.5" xfId="385"/>
    <cellStyle name="%_NRA_model_for_NEMO2 (EMC Update) v0.19_NRA_model_for_NEMO2 (EMC Update) v0.22_NRA_model_for_NEMO2 (EMC Update) v0.25_NRA_model_for_NEMO2 (EMC Update) v0.29_NRA_model_for_NEMO2 (EMC Update) v0.29.3" xfId="386"/>
    <cellStyle name="%_NRA_model_for_NEMO2 (EMC Update) v0.19_NRA_model_for_NEMO2 (EMC Update) v0.22_NRA_model_for_NEMO2 (EMC Update) v0.25_NRA_model_for_NEMO2 (EMC Update) v0.29_NRA_model_for_NEMO2 (EMC Update) v0.29.3_NRA_model_for_NEMO2 (EMC Update) v0 30 1" xfId="387"/>
    <cellStyle name="%_NRA_model_for_NEMO2 (EMC Update) v0.19_NRA_model_for_NEMO2 (EMC Update) v0.22_NRA_model_for_NEMO2 (EMC Update) v0.25_NRA_model_for_NEMO2 (EMC Update) v0.29_NRA_model_for_NEMO2 (EMC Update) v0.29.3_NRA_model_for_NEMO2 (EMC Update) v0.29.5" xfId="388"/>
    <cellStyle name="%_NRA_model_for_NEMO2 (EMC Update) v0.19_NRA_model_for_NEMO2 (EMC Update) v0.22_NRA_model_for_NEMO2 (EMC Update) v0.25_NRA_model_for_NEMO2 (EMC Update) v0.29_NRA_model_for_NEMO2 (EMC Update) v0.29.4" xfId="389"/>
    <cellStyle name="%_NRA_model_for_NEMO2 (EMC Update) v0.19_NRA_model_for_NEMO2 (EMC Update) v0.22_NRA_model_for_NEMO2 (EMC Update) v0.25_NRA_model_for_NEMO2 (EMC Update) v0.29_NRA_model_for_NEMO2 (EMC Update) v0.29.4_NRA_model_for_NEMO2 (EMC Update) v0 30 1" xfId="390"/>
    <cellStyle name="%_NRA_model_for_NEMO2 (EMC Update) v0.19_NRA_model_for_NEMO2 (EMC Update) v0.22_NRA_model_for_NEMO2 (EMC Update) v0.25_NRA_model_for_NEMO2 (EMC Update) v0.29_NRA_model_for_NEMO2 (EMC Update) v0.29.4_NRA_model_for_NEMO2 (EMC Update) v0.29.5" xfId="391"/>
    <cellStyle name="%_NRA_model_for_NEMO2 (EMC Update) v0.19_NRA_model_for_NEMO2 (EMC Update) v0.22_NRA_model_for_NEMO2 (EMC Update) v0.25_NRA_model_for_NEMO2 (EMC Update) v0.29_NRA_model_for_NEMO2 (EMC Update) v0.29.5" xfId="392"/>
    <cellStyle name="%_NRA_model_for_NEMO2 (EMC Update) v0.19_NRA_model_for_NEMO2 (EMC Update) v0.22_NRA_model_for_NEMO2 (EMC Update) v0.25_NRA_model_for_NEMO2 (EMC Update) v0.29_NRA_model_for_NEMO2 (EMC Update) v0.29.5_NRA_model_for_NEMO2 (EMC Update) v0 30 1" xfId="393"/>
    <cellStyle name="%_NRA_model_for_NEMO2 (EMC Update) v0.19_NRA_model_for_NEMO2 (EMC Update) v0.22_NRA_model_for_NEMO2 (EMC Update) v0.26" xfId="394"/>
    <cellStyle name="%_NRA_model_for_NEMO2 (EMC Update) v0.19_NRA_model_for_NEMO2 (EMC Update) v0.22_NRA_model_for_NEMO2 (EMC Update) v0.26_NRA_model_for_NEMO2 (EMC Update) v0 30 1" xfId="395"/>
    <cellStyle name="%_NRA_model_for_NEMO2 (EMC Update) v0.19_NRA_model_for_NEMO2 (EMC Update) v0.22_NRA_model_for_NEMO2 (EMC Update) v0.26_NRA_model_for_NEMO2 (EMC Update) v0.29" xfId="396"/>
    <cellStyle name="%_NRA_model_for_NEMO2 (EMC Update) v0.19_NRA_model_for_NEMO2 (EMC Update) v0.22_NRA_model_for_NEMO2 (EMC Update) v0.26_NRA_model_for_NEMO2 (EMC Update) v0.29.2" xfId="397"/>
    <cellStyle name="%_NRA_model_for_NEMO2 (EMC Update) v0.19_NRA_model_for_NEMO2 (EMC Update) v0.22_NRA_model_for_NEMO2 (EMC Update) v0.26_NRA_model_for_NEMO2 (EMC Update) v0.29.2_NRA_model_for_NEMO2 (EMC Update) v0 30 1" xfId="398"/>
    <cellStyle name="%_NRA_model_for_NEMO2 (EMC Update) v0.19_NRA_model_for_NEMO2 (EMC Update) v0.22_NRA_model_for_NEMO2 (EMC Update) v0.26_NRA_model_for_NEMO2 (EMC Update) v0.29.2_NRA_model_for_NEMO2 (EMC Update) v0.29.3" xfId="399"/>
    <cellStyle name="%_NRA_model_for_NEMO2 (EMC Update) v0.19_NRA_model_for_NEMO2 (EMC Update) v0.22_NRA_model_for_NEMO2 (EMC Update) v0.26_NRA_model_for_NEMO2 (EMC Update) v0.29.2_NRA_model_for_NEMO2 (EMC Update) v0.29.3_NRA_model_for_NEMO2 (EMC Update) v0 30 1" xfId="400"/>
    <cellStyle name="%_NRA_model_for_NEMO2 (EMC Update) v0.19_NRA_model_for_NEMO2 (EMC Update) v0.22_NRA_model_for_NEMO2 (EMC Update) v0.26_NRA_model_for_NEMO2 (EMC Update) v0.29.2_NRA_model_for_NEMO2 (EMC Update) v0.29.3_NRA_model_for_NEMO2 (EMC Update) v0.29.5" xfId="401"/>
    <cellStyle name="%_NRA_model_for_NEMO2 (EMC Update) v0.19_NRA_model_for_NEMO2 (EMC Update) v0.22_NRA_model_for_NEMO2 (EMC Update) v0.26_NRA_model_for_NEMO2 (EMC Update) v0.29.2_NRA_model_for_NEMO2 (EMC Update) v0.29.4" xfId="402"/>
    <cellStyle name="%_NRA_model_for_NEMO2 (EMC Update) v0.19_NRA_model_for_NEMO2 (EMC Update) v0.22_NRA_model_for_NEMO2 (EMC Update) v0.26_NRA_model_for_NEMO2 (EMC Update) v0.29.2_NRA_model_for_NEMO2 (EMC Update) v0.29.4_NRA_model_for_NEMO2 (EMC Update) v0 30 1" xfId="403"/>
    <cellStyle name="%_NRA_model_for_NEMO2 (EMC Update) v0.19_NRA_model_for_NEMO2 (EMC Update) v0.22_NRA_model_for_NEMO2 (EMC Update) v0.26_NRA_model_for_NEMO2 (EMC Update) v0.29.2_NRA_model_for_NEMO2 (EMC Update) v0.29.4_NRA_model_for_NEMO2 (EMC Update) v0.29.5" xfId="404"/>
    <cellStyle name="%_NRA_model_for_NEMO2 (EMC Update) v0.19_NRA_model_for_NEMO2 (EMC Update) v0.22_NRA_model_for_NEMO2 (EMC Update) v0.26_NRA_model_for_NEMO2 (EMC Update) v0.29.2_NRA_model_for_NEMO2 (EMC Update) v0.29.5" xfId="405"/>
    <cellStyle name="%_NRA_model_for_NEMO2 (EMC Update) v0.19_NRA_model_for_NEMO2 (EMC Update) v0.22_NRA_model_for_NEMO2 (EMC Update) v0.26_NRA_model_for_NEMO2 (EMC Update) v0.29.2_NRA_model_for_NEMO2 (EMC Update) v0.29.5_NRA_model_for_NEMO2 (EMC Update) v0 30 1" xfId="406"/>
    <cellStyle name="%_NRA_model_for_NEMO2 (EMC Update) v0.19_NRA_model_for_NEMO2 (EMC Update) v0.22_NRA_model_for_NEMO2 (EMC Update) v0.26_NRA_model_for_NEMO2 (EMC Update) v0.29.3" xfId="407"/>
    <cellStyle name="%_NRA_model_for_NEMO2 (EMC Update) v0.19_NRA_model_for_NEMO2 (EMC Update) v0.22_NRA_model_for_NEMO2 (EMC Update) v0.26_NRA_model_for_NEMO2 (EMC Update) v0.29.3_NRA_model_for_NEMO2 (EMC Update) v0 30 1" xfId="408"/>
    <cellStyle name="%_NRA_model_for_NEMO2 (EMC Update) v0.19_NRA_model_for_NEMO2 (EMC Update) v0.22_NRA_model_for_NEMO2 (EMC Update) v0.26_NRA_model_for_NEMO2 (EMC Update) v0.29.3_NRA_model_for_NEMO2 (EMC Update) v0.29.5" xfId="409"/>
    <cellStyle name="%_NRA_model_for_NEMO2 (EMC Update) v0.19_NRA_model_for_NEMO2 (EMC Update) v0.22_NRA_model_for_NEMO2 (EMC Update) v0.26_NRA_model_for_NEMO2 (EMC Update) v0.29.3_NRA_model_for_NEMO2 (EMC Update) v0.29.5_NRA_model_for_NEMO2 (EMC Update) v0 30 1" xfId="410"/>
    <cellStyle name="%_NRA_model_for_NEMO2 (EMC Update) v0.19_NRA_model_for_NEMO2 (EMC Update) v0.22_NRA_model_for_NEMO2 (EMC Update) v0.26_NRA_model_for_NEMO2 (EMC Update) v0.29.4" xfId="411"/>
    <cellStyle name="%_NRA_model_for_NEMO2 (EMC Update) v0.19_NRA_model_for_NEMO2 (EMC Update) v0.22_NRA_model_for_NEMO2 (EMC Update) v0.26_NRA_model_for_NEMO2 (EMC Update) v0.29.4_NRA_model_for_NEMO2 (EMC Update) v0 30 1" xfId="412"/>
    <cellStyle name="%_NRA_model_for_NEMO2 (EMC Update) v0.19_NRA_model_for_NEMO2 (EMC Update) v0.22_NRA_model_for_NEMO2 (EMC Update) v0.26_NRA_model_for_NEMO2 (EMC Update) v0.29.4_NRA_model_for_NEMO2 (EMC Update) v0.29.5" xfId="413"/>
    <cellStyle name="%_NRA_model_for_NEMO2 (EMC Update) v0.19_NRA_model_for_NEMO2 (EMC Update) v0.22_NRA_model_for_NEMO2 (EMC Update) v0.26_NRA_model_for_NEMO2 (EMC Update) v0.29.4_NRA_model_for_NEMO2 (EMC Update) v0.29.5_NRA_model_for_NEMO2 (EMC Update) v0 30 1" xfId="414"/>
    <cellStyle name="%_NRA_model_for_NEMO2 (EMC Update) v0.19_NRA_model_for_NEMO2 (EMC Update) v0.22_NRA_model_for_NEMO2 (EMC Update) v0.26_NRA_model_for_NEMO2 (EMC Update) v0.29.5" xfId="415"/>
    <cellStyle name="%_NRA_model_for_NEMO2 (EMC Update) v0.19_NRA_model_for_NEMO2 (EMC Update) v0.22_NRA_model_for_NEMO2 (EMC Update) v0.26_NRA_model_for_NEMO2 (EMC Update) v0.29.5_NRA_model_for_NEMO2 (EMC Update) v0 30 1" xfId="416"/>
    <cellStyle name="%_NRA_model_for_NEMO2 (EMC Update) v0.19_NRA_model_for_NEMO2 (EMC Update) v0.22_NRA_model_for_NEMO2 (EMC Update) v0.26_NRA_model_for_NEMO2 (EMC Update) v0.29_NRA_model_for_NEMO2 (EMC Update) v0 30 1" xfId="417"/>
    <cellStyle name="%_NRA_model_for_NEMO2 (EMC Update) v0.19_NRA_model_for_NEMO2 (EMC Update) v0.22_NRA_model_for_NEMO2 (EMC Update) v0.26_NRA_model_for_NEMO2 (EMC Update) v0.29_NRA_model_for_NEMO2 (EMC Update) v0.29.2" xfId="418"/>
    <cellStyle name="%_NRA_model_for_NEMO2 (EMC Update) v0.19_NRA_model_for_NEMO2 (EMC Update) v0.22_NRA_model_for_NEMO2 (EMC Update) v0.26_NRA_model_for_NEMO2 (EMC Update) v0.29_NRA_model_for_NEMO2 (EMC Update) v0.29.2_NRA_model_for_NEMO2 (EMC Update) v0 30 1" xfId="419"/>
    <cellStyle name="%_NRA_model_for_NEMO2 (EMC Update) v0.19_NRA_model_for_NEMO2 (EMC Update) v0.22_NRA_model_for_NEMO2 (EMC Update) v0.26_NRA_model_for_NEMO2 (EMC Update) v0.29_NRA_model_for_NEMO2 (EMC Update) v0.29.2_NRA_model_for_NEMO2 (EMC Update) v0.29.3" xfId="420"/>
    <cellStyle name="%_NRA_model_for_NEMO2 (EMC Update) v0.19_NRA_model_for_NEMO2 (EMC Update) v0.22_NRA_model_for_NEMO2 (EMC Update) v0.26_NRA_model_for_NEMO2 (EMC Update) v0.29_NRA_model_for_NEMO2 (EMC Update) v0.29.2_NRA_model_for_NEMO2 (EMC Update) v0.29.4" xfId="421"/>
    <cellStyle name="%_NRA_model_for_NEMO2 (EMC Update) v0.19_NRA_model_for_NEMO2 (EMC Update) v0.22_NRA_model_for_NEMO2 (EMC Update) v0.26_NRA_model_for_NEMO2 (EMC Update) v0.29_NRA_model_for_NEMO2 (EMC Update) v0.29.2_NRA_model_for_NEMO2 (EMC Update) v0.29.5" xfId="422"/>
    <cellStyle name="%_NRA_model_for_NEMO2 (EMC Update) v0.19_NRA_model_for_NEMO2 (EMC Update) v0.22_NRA_model_for_NEMO2 (EMC Update) v0.26_NRA_model_for_NEMO2 (EMC Update) v0.29_NRA_model_for_NEMO2 (EMC Update) v0.29.3" xfId="423"/>
    <cellStyle name="%_NRA_model_for_NEMO2 (EMC Update) v0.19_NRA_model_for_NEMO2 (EMC Update) v0.22_NRA_model_for_NEMO2 (EMC Update) v0.26_NRA_model_for_NEMO2 (EMC Update) v0.29_NRA_model_for_NEMO2 (EMC Update) v0.29.3_NRA_model_for_NEMO2 (EMC Update) v0 30 1" xfId="424"/>
    <cellStyle name="%_NRA_model_for_NEMO2 (EMC Update) v0.19_NRA_model_for_NEMO2 (EMC Update) v0.22_NRA_model_for_NEMO2 (EMC Update) v0.26_NRA_model_for_NEMO2 (EMC Update) v0.29_NRA_model_for_NEMO2 (EMC Update) v0.29.3_NRA_model_for_NEMO2 (EMC Update) v0.29.5" xfId="425"/>
    <cellStyle name="%_NRA_model_for_NEMO2 (EMC Update) v0.19_NRA_model_for_NEMO2 (EMC Update) v0.22_NRA_model_for_NEMO2 (EMC Update) v0.26_NRA_model_for_NEMO2 (EMC Update) v0.29_NRA_model_for_NEMO2 (EMC Update) v0.29.4" xfId="426"/>
    <cellStyle name="%_NRA_model_for_NEMO2 (EMC Update) v0.19_NRA_model_for_NEMO2 (EMC Update) v0.22_NRA_model_for_NEMO2 (EMC Update) v0.26_NRA_model_for_NEMO2 (EMC Update) v0.29_NRA_model_for_NEMO2 (EMC Update) v0.29.4_NRA_model_for_NEMO2 (EMC Update) v0 30 1" xfId="427"/>
    <cellStyle name="%_NRA_model_for_NEMO2 (EMC Update) v0.19_NRA_model_for_NEMO2 (EMC Update) v0.22_NRA_model_for_NEMO2 (EMC Update) v0.26_NRA_model_for_NEMO2 (EMC Update) v0.29_NRA_model_for_NEMO2 (EMC Update) v0.29.4_NRA_model_for_NEMO2 (EMC Update) v0.29.5" xfId="428"/>
    <cellStyle name="%_NRA_model_for_NEMO2 (EMC Update) v0.19_NRA_model_for_NEMO2 (EMC Update) v0.22_NRA_model_for_NEMO2 (EMC Update) v0.26_NRA_model_for_NEMO2 (EMC Update) v0.29_NRA_model_for_NEMO2 (EMC Update) v0.29.5" xfId="429"/>
    <cellStyle name="%_NRA_model_for_NEMO2 (EMC Update) v0.19_NRA_model_for_NEMO2 (EMC Update) v0.22_NRA_model_for_NEMO2 (EMC Update) v0.26_NRA_model_for_NEMO2 (EMC Update) v0.29_NRA_model_for_NEMO2 (EMC Update) v0.29.5_NRA_model_for_NEMO2 (EMC Update) v0 30 1" xfId="430"/>
    <cellStyle name="%_NRA_model_for_NEMO2 (EMC Update) v0.19_NRA_model_for_NEMO2 (EMC Update) v0.22_NRA_model_for_NEMO2 (EMC Update) v0.29" xfId="431"/>
    <cellStyle name="%_NRA_model_for_NEMO2 (EMC Update) v0.19_NRA_model_for_NEMO2 (EMC Update) v0.22_NRA_model_for_NEMO2 (EMC Update) v0.29.2" xfId="432"/>
    <cellStyle name="%_NRA_model_for_NEMO2 (EMC Update) v0.19_NRA_model_for_NEMO2 (EMC Update) v0.22_NRA_model_for_NEMO2 (EMC Update) v0.29.2_NRA_model_for_NEMO2 (EMC Update) v0 30 1" xfId="433"/>
    <cellStyle name="%_NRA_model_for_NEMO2 (EMC Update) v0.19_NRA_model_for_NEMO2 (EMC Update) v0.22_NRA_model_for_NEMO2 (EMC Update) v0.29.2_NRA_model_for_NEMO2 (EMC Update) v0.29.3" xfId="434"/>
    <cellStyle name="%_NRA_model_for_NEMO2 (EMC Update) v0.19_NRA_model_for_NEMO2 (EMC Update) v0.22_NRA_model_for_NEMO2 (EMC Update) v0.29.2_NRA_model_for_NEMO2 (EMC Update) v0.29.3_NRA_model_for_NEMO2 (EMC Update) v0 30 1" xfId="435"/>
    <cellStyle name="%_NRA_model_for_NEMO2 (EMC Update) v0.19_NRA_model_for_NEMO2 (EMC Update) v0.22_NRA_model_for_NEMO2 (EMC Update) v0.29.2_NRA_model_for_NEMO2 (EMC Update) v0.29.3_NRA_model_for_NEMO2 (EMC Update) v0.29.5" xfId="436"/>
    <cellStyle name="%_NRA_model_for_NEMO2 (EMC Update) v0.19_NRA_model_for_NEMO2 (EMC Update) v0.22_NRA_model_for_NEMO2 (EMC Update) v0.29.2_NRA_model_for_NEMO2 (EMC Update) v0.29.3_NRA_model_for_NEMO2 (EMC Update) v0.29.5_NRA_model_for_NEMO2 (EMC Update) v0 30 1" xfId="437"/>
    <cellStyle name="%_NRA_model_for_NEMO2 (EMC Update) v0.19_NRA_model_for_NEMO2 (EMC Update) v0.22_NRA_model_for_NEMO2 (EMC Update) v0.29.2_NRA_model_for_NEMO2 (EMC Update) v0.29.4" xfId="438"/>
    <cellStyle name="%_NRA_model_for_NEMO2 (EMC Update) v0.19_NRA_model_for_NEMO2 (EMC Update) v0.22_NRA_model_for_NEMO2 (EMC Update) v0.29.2_NRA_model_for_NEMO2 (EMC Update) v0.29.4_NRA_model_for_NEMO2 (EMC Update) v0 30 1" xfId="439"/>
    <cellStyle name="%_NRA_model_for_NEMO2 (EMC Update) v0.19_NRA_model_for_NEMO2 (EMC Update) v0.22_NRA_model_for_NEMO2 (EMC Update) v0.29.2_NRA_model_for_NEMO2 (EMC Update) v0.29.4_NRA_model_for_NEMO2 (EMC Update) v0.29.5" xfId="440"/>
    <cellStyle name="%_NRA_model_for_NEMO2 (EMC Update) v0.19_NRA_model_for_NEMO2 (EMC Update) v0.22_NRA_model_for_NEMO2 (EMC Update) v0.29.2_NRA_model_for_NEMO2 (EMC Update) v0.29.4_NRA_model_for_NEMO2 (EMC Update) v0.29.5_NRA_model_for_NEMO2 (EMC Update) v0 30 1" xfId="441"/>
    <cellStyle name="%_NRA_model_for_NEMO2 (EMC Update) v0.19_NRA_model_for_NEMO2 (EMC Update) v0.22_NRA_model_for_NEMO2 (EMC Update) v0.29.2_NRA_model_for_NEMO2 (EMC Update) v0.29.5" xfId="442"/>
    <cellStyle name="%_NRA_model_for_NEMO2 (EMC Update) v0.19_NRA_model_for_NEMO2 (EMC Update) v0.22_NRA_model_for_NEMO2 (EMC Update) v0.29.2_NRA_model_for_NEMO2 (EMC Update) v0.29.5_NRA_model_for_NEMO2 (EMC Update) v0 30 1" xfId="443"/>
    <cellStyle name="%_NRA_model_for_NEMO2 (EMC Update) v0.19_NRA_model_for_NEMO2 (EMC Update) v0.22_NRA_model_for_NEMO2 (EMC Update) v0.29.3" xfId="444"/>
    <cellStyle name="%_NRA_model_for_NEMO2 (EMC Update) v0.19_NRA_model_for_NEMO2 (EMC Update) v0.22_NRA_model_for_NEMO2 (EMC Update) v0.29.3_NRA_model_for_NEMO2 (EMC Update) v0 30 1" xfId="445"/>
    <cellStyle name="%_NRA_model_for_NEMO2 (EMC Update) v0.19_NRA_model_for_NEMO2 (EMC Update) v0.22_NRA_model_for_NEMO2 (EMC Update) v0.29.3_NRA_model_for_NEMO2 (EMC Update) v0.29.5" xfId="446"/>
    <cellStyle name="%_NRA_model_for_NEMO2 (EMC Update) v0.19_NRA_model_for_NEMO2 (EMC Update) v0.22_NRA_model_for_NEMO2 (EMC Update) v0.29.3_NRA_model_for_NEMO2 (EMC Update) v0.29.5_NRA_model_for_NEMO2 (EMC Update) v0 30 1" xfId="447"/>
    <cellStyle name="%_NRA_model_for_NEMO2 (EMC Update) v0.19_NRA_model_for_NEMO2 (EMC Update) v0.22_NRA_model_for_NEMO2 (EMC Update) v0.29.4" xfId="448"/>
    <cellStyle name="%_NRA_model_for_NEMO2 (EMC Update) v0.19_NRA_model_for_NEMO2 (EMC Update) v0.22_NRA_model_for_NEMO2 (EMC Update) v0.29.4_NRA_model_for_NEMO2 (EMC Update) v0 30 1" xfId="449"/>
    <cellStyle name="%_NRA_model_for_NEMO2 (EMC Update) v0.19_NRA_model_for_NEMO2 (EMC Update) v0.22_NRA_model_for_NEMO2 (EMC Update) v0.29.4_NRA_model_for_NEMO2 (EMC Update) v0.29.5" xfId="450"/>
    <cellStyle name="%_NRA_model_for_NEMO2 (EMC Update) v0.19_NRA_model_for_NEMO2 (EMC Update) v0.22_NRA_model_for_NEMO2 (EMC Update) v0.29.4_NRA_model_for_NEMO2 (EMC Update) v0.29.5_NRA_model_for_NEMO2 (EMC Update) v0 30 1" xfId="451"/>
    <cellStyle name="%_NRA_model_for_NEMO2 (EMC Update) v0.19_NRA_model_for_NEMO2 (EMC Update) v0.22_NRA_model_for_NEMO2 (EMC Update) v0.29.5" xfId="452"/>
    <cellStyle name="%_NRA_model_for_NEMO2 (EMC Update) v0.19_NRA_model_for_NEMO2 (EMC Update) v0.22_NRA_model_for_NEMO2 (EMC Update) v0.29.5_NRA_model_for_NEMO2 (EMC Update) v0 30 1" xfId="453"/>
    <cellStyle name="%_NRA_model_for_NEMO2 (EMC Update) v0.19_NRA_model_for_NEMO2 (EMC Update) v0.22_NRA_model_for_NEMO2 (EMC Update) v0.29_NRA_model_for_NEMO2 (EMC Update) v0 30 1" xfId="454"/>
    <cellStyle name="%_NRA_model_for_NEMO2 (EMC Update) v0.19_NRA_model_for_NEMO2 (EMC Update) v0.22_NRA_model_for_NEMO2 (EMC Update) v0.29_NRA_model_for_NEMO2 (EMC Update) v0.29.2" xfId="455"/>
    <cellStyle name="%_NRA_model_for_NEMO2 (EMC Update) v0.19_NRA_model_for_NEMO2 (EMC Update) v0.22_NRA_model_for_NEMO2 (EMC Update) v0.29_NRA_model_for_NEMO2 (EMC Update) v0.29.2_NRA_model_for_NEMO2 (EMC Update) v0 30 1" xfId="456"/>
    <cellStyle name="%_NRA_model_for_NEMO2 (EMC Update) v0.19_NRA_model_for_NEMO2 (EMC Update) v0.22_NRA_model_for_NEMO2 (EMC Update) v0.29_NRA_model_for_NEMO2 (EMC Update) v0.29.2_NRA_model_for_NEMO2 (EMC Update) v0.29.3" xfId="457"/>
    <cellStyle name="%_NRA_model_for_NEMO2 (EMC Update) v0.19_NRA_model_for_NEMO2 (EMC Update) v0.22_NRA_model_for_NEMO2 (EMC Update) v0.29_NRA_model_for_NEMO2 (EMC Update) v0.29.2_NRA_model_for_NEMO2 (EMC Update) v0.29.3_NRA_model_for_NEMO2 (EMC Update) v0 30 1" xfId="458"/>
    <cellStyle name="%_NRA_model_for_NEMO2 (EMC Update) v0.19_NRA_model_for_NEMO2 (EMC Update) v0.22_NRA_model_for_NEMO2 (EMC Update) v0.29_NRA_model_for_NEMO2 (EMC Update) v0.29.2_NRA_model_for_NEMO2 (EMC Update) v0.29.3_NRA_model_for_NEMO2 (EMC Update) v0.29.5" xfId="459"/>
    <cellStyle name="%_NRA_model_for_NEMO2 (EMC Update) v0.19_NRA_model_for_NEMO2 (EMC Update) v0.22_NRA_model_for_NEMO2 (EMC Update) v0.29_NRA_model_for_NEMO2 (EMC Update) v0.29.2_NRA_model_for_NEMO2 (EMC Update) v0.29.4" xfId="460"/>
    <cellStyle name="%_NRA_model_for_NEMO2 (EMC Update) v0.19_NRA_model_for_NEMO2 (EMC Update) v0.22_NRA_model_for_NEMO2 (EMC Update) v0.29_NRA_model_for_NEMO2 (EMC Update) v0.29.2_NRA_model_for_NEMO2 (EMC Update) v0.29.4_NRA_model_for_NEMO2 (EMC Update) v0 30 1" xfId="461"/>
    <cellStyle name="%_NRA_model_for_NEMO2 (EMC Update) v0.19_NRA_model_for_NEMO2 (EMC Update) v0.22_NRA_model_for_NEMO2 (EMC Update) v0.29_NRA_model_for_NEMO2 (EMC Update) v0.29.2_NRA_model_for_NEMO2 (EMC Update) v0.29.4_NRA_model_for_NEMO2 (EMC Update) v0.29.5" xfId="462"/>
    <cellStyle name="%_NRA_model_for_NEMO2 (EMC Update) v0.19_NRA_model_for_NEMO2 (EMC Update) v0.22_NRA_model_for_NEMO2 (EMC Update) v0.29_NRA_model_for_NEMO2 (EMC Update) v0.29.2_NRA_model_for_NEMO2 (EMC Update) v0.29.5" xfId="463"/>
    <cellStyle name="%_NRA_model_for_NEMO2 (EMC Update) v0.19_NRA_model_for_NEMO2 (EMC Update) v0.22_NRA_model_for_NEMO2 (EMC Update) v0.29_NRA_model_for_NEMO2 (EMC Update) v0.29.2_NRA_model_for_NEMO2 (EMC Update) v0.29.5_NRA_model_for_NEMO2 (EMC Update) v0 30 1" xfId="464"/>
    <cellStyle name="%_NRA_model_for_NEMO2 (EMC Update) v0.19_NRA_model_for_NEMO2 (EMC Update) v0.22_NRA_model_for_NEMO2 (EMC Update) v0.29_NRA_model_for_NEMO2 (EMC Update) v0.29.3" xfId="465"/>
    <cellStyle name="%_NRA_model_for_NEMO2 (EMC Update) v0.19_NRA_model_for_NEMO2 (EMC Update) v0.22_NRA_model_for_NEMO2 (EMC Update) v0.29_NRA_model_for_NEMO2 (EMC Update) v0.29.3_NRA_model_for_NEMO2 (EMC Update) v0 30 1" xfId="466"/>
    <cellStyle name="%_NRA_model_for_NEMO2 (EMC Update) v0.19_NRA_model_for_NEMO2 (EMC Update) v0.22_NRA_model_for_NEMO2 (EMC Update) v0.29_NRA_model_for_NEMO2 (EMC Update) v0.29.3_NRA_model_for_NEMO2 (EMC Update) v0.29.5" xfId="467"/>
    <cellStyle name="%_NRA_model_for_NEMO2 (EMC Update) v0.19_NRA_model_for_NEMO2 (EMC Update) v0.22_NRA_model_for_NEMO2 (EMC Update) v0.29_NRA_model_for_NEMO2 (EMC Update) v0.29.3_NRA_model_for_NEMO2 (EMC Update) v0.29.5_NRA_model_for_NEMO2 (EMC Update) v0 30 1" xfId="468"/>
    <cellStyle name="%_NRA_model_for_NEMO2 (EMC Update) v0.19_NRA_model_for_NEMO2 (EMC Update) v0.22_NRA_model_for_NEMO2 (EMC Update) v0.29_NRA_model_for_NEMO2 (EMC Update) v0.29.4" xfId="469"/>
    <cellStyle name="%_NRA_model_for_NEMO2 (EMC Update) v0.19_NRA_model_for_NEMO2 (EMC Update) v0.22_NRA_model_for_NEMO2 (EMC Update) v0.29_NRA_model_for_NEMO2 (EMC Update) v0.29.4_NRA_model_for_NEMO2 (EMC Update) v0 30 1" xfId="470"/>
    <cellStyle name="%_NRA_model_for_NEMO2 (EMC Update) v0.19_NRA_model_for_NEMO2 (EMC Update) v0.22_NRA_model_for_NEMO2 (EMC Update) v0.29_NRA_model_for_NEMO2 (EMC Update) v0.29.4_NRA_model_for_NEMO2 (EMC Update) v0.29.5" xfId="471"/>
    <cellStyle name="%_NRA_model_for_NEMO2 (EMC Update) v0.19_NRA_model_for_NEMO2 (EMC Update) v0.22_NRA_model_for_NEMO2 (EMC Update) v0.29_NRA_model_for_NEMO2 (EMC Update) v0.29.4_NRA_model_for_NEMO2 (EMC Update) v0.29.5_NRA_model_for_NEMO2 (EMC Update) v0 30 1" xfId="472"/>
    <cellStyle name="%_NRA_model_for_NEMO2 (EMC Update) v0.19_NRA_model_for_NEMO2 (EMC Update) v0.22_NRA_model_for_NEMO2 (EMC Update) v0.29_NRA_model_for_NEMO2 (EMC Update) v0.29.5" xfId="473"/>
    <cellStyle name="%_NRA_model_for_NEMO2 (EMC Update) v0.19_NRA_model_for_NEMO2 (EMC Update) v0.22_NRA_model_for_NEMO2 (EMC Update) v0.29_NRA_model_for_NEMO2 (EMC Update) v0.29.5_NRA_model_for_NEMO2 (EMC Update) v0 30 1" xfId="474"/>
    <cellStyle name="%_NRA_model_for_NEMO2 (EMC Update) v0.19_NRA_model_for_NEMO2 (EMC Update) v0.25" xfId="475"/>
    <cellStyle name="%_NRA_model_for_NEMO2 (EMC Update) v0.19_NRA_model_for_NEMO2 (EMC Update) v0.25_NRA_model_for_NEMO2 (EMC Update) v0 30 1" xfId="476"/>
    <cellStyle name="%_NRA_model_for_NEMO2 (EMC Update) v0.19_NRA_model_for_NEMO2 (EMC Update) v0.25_NRA_model_for_NEMO2 (EMC Update) v0.26" xfId="477"/>
    <cellStyle name="%_NRA_model_for_NEMO2 (EMC Update) v0.19_NRA_model_for_NEMO2 (EMC Update) v0.25_NRA_model_for_NEMO2 (EMC Update) v0.26_NRA_model_for_NEMO2 (EMC Update) v0 30 1" xfId="478"/>
    <cellStyle name="%_NRA_model_for_NEMO2 (EMC Update) v0.19_NRA_model_for_NEMO2 (EMC Update) v0.25_NRA_model_for_NEMO2 (EMC Update) v0.26_NRA_model_for_NEMO2 (EMC Update) v0.29" xfId="479"/>
    <cellStyle name="%_NRA_model_for_NEMO2 (EMC Update) v0.19_NRA_model_for_NEMO2 (EMC Update) v0.25_NRA_model_for_NEMO2 (EMC Update) v0.26_NRA_model_for_NEMO2 (EMC Update) v0.29.2" xfId="480"/>
    <cellStyle name="%_NRA_model_for_NEMO2 (EMC Update) v0.19_NRA_model_for_NEMO2 (EMC Update) v0.25_NRA_model_for_NEMO2 (EMC Update) v0.26_NRA_model_for_NEMO2 (EMC Update) v0.29.2_NRA_model_for_NEMO2 (EMC Update) v0 30 1" xfId="481"/>
    <cellStyle name="%_NRA_model_for_NEMO2 (EMC Update) v0.19_NRA_model_for_NEMO2 (EMC Update) v0.25_NRA_model_for_NEMO2 (EMC Update) v0.26_NRA_model_for_NEMO2 (EMC Update) v0.29.2_NRA_model_for_NEMO2 (EMC Update) v0.29.3" xfId="482"/>
    <cellStyle name="%_NRA_model_for_NEMO2 (EMC Update) v0.19_NRA_model_for_NEMO2 (EMC Update) v0.25_NRA_model_for_NEMO2 (EMC Update) v0.26_NRA_model_for_NEMO2 (EMC Update) v0.29.2_NRA_model_for_NEMO2 (EMC Update) v0.29.3_NRA_model_for_NEMO2 (EMC Update) v0 30 1" xfId="483"/>
    <cellStyle name="%_NRA_model_for_NEMO2 (EMC Update) v0.19_NRA_model_for_NEMO2 (EMC Update) v0.25_NRA_model_for_NEMO2 (EMC Update) v0.26_NRA_model_for_NEMO2 (EMC Update) v0.29.2_NRA_model_for_NEMO2 (EMC Update) v0.29.3_NRA_model_for_NEMO2 (EMC Update) v0.29.5" xfId="484"/>
    <cellStyle name="%_NRA_model_for_NEMO2 (EMC Update) v0.19_NRA_model_for_NEMO2 (EMC Update) v0.25_NRA_model_for_NEMO2 (EMC Update) v0.26_NRA_model_for_NEMO2 (EMC Update) v0.29.2_NRA_model_for_NEMO2 (EMC Update) v0.29.4" xfId="485"/>
    <cellStyle name="%_NRA_model_for_NEMO2 (EMC Update) v0.19_NRA_model_for_NEMO2 (EMC Update) v0.25_NRA_model_for_NEMO2 (EMC Update) v0.26_NRA_model_for_NEMO2 (EMC Update) v0.29.2_NRA_model_for_NEMO2 (EMC Update) v0.29.4_NRA_model_for_NEMO2 (EMC Update) v0 30 1" xfId="486"/>
    <cellStyle name="%_NRA_model_for_NEMO2 (EMC Update) v0.19_NRA_model_for_NEMO2 (EMC Update) v0.25_NRA_model_for_NEMO2 (EMC Update) v0.26_NRA_model_for_NEMO2 (EMC Update) v0.29.2_NRA_model_for_NEMO2 (EMC Update) v0.29.4_NRA_model_for_NEMO2 (EMC Update) v0.29.5" xfId="487"/>
    <cellStyle name="%_NRA_model_for_NEMO2 (EMC Update) v0.19_NRA_model_for_NEMO2 (EMC Update) v0.25_NRA_model_for_NEMO2 (EMC Update) v0.26_NRA_model_for_NEMO2 (EMC Update) v0.29.2_NRA_model_for_NEMO2 (EMC Update) v0.29.5" xfId="488"/>
    <cellStyle name="%_NRA_model_for_NEMO2 (EMC Update) v0.19_NRA_model_for_NEMO2 (EMC Update) v0.25_NRA_model_for_NEMO2 (EMC Update) v0.26_NRA_model_for_NEMO2 (EMC Update) v0.29.2_NRA_model_for_NEMO2 (EMC Update) v0.29.5_NRA_model_for_NEMO2 (EMC Update) v0 30 1" xfId="489"/>
    <cellStyle name="%_NRA_model_for_NEMO2 (EMC Update) v0.19_NRA_model_for_NEMO2 (EMC Update) v0.25_NRA_model_for_NEMO2 (EMC Update) v0.26_NRA_model_for_NEMO2 (EMC Update) v0.29.3" xfId="490"/>
    <cellStyle name="%_NRA_model_for_NEMO2 (EMC Update) v0.19_NRA_model_for_NEMO2 (EMC Update) v0.25_NRA_model_for_NEMO2 (EMC Update) v0.26_NRA_model_for_NEMO2 (EMC Update) v0.29.3_NRA_model_for_NEMO2 (EMC Update) v0 30 1" xfId="491"/>
    <cellStyle name="%_NRA_model_for_NEMO2 (EMC Update) v0.19_NRA_model_for_NEMO2 (EMC Update) v0.25_NRA_model_for_NEMO2 (EMC Update) v0.26_NRA_model_for_NEMO2 (EMC Update) v0.29.3_NRA_model_for_NEMO2 (EMC Update) v0.29.5" xfId="492"/>
    <cellStyle name="%_NRA_model_for_NEMO2 (EMC Update) v0.19_NRA_model_for_NEMO2 (EMC Update) v0.25_NRA_model_for_NEMO2 (EMC Update) v0.26_NRA_model_for_NEMO2 (EMC Update) v0.29.3_NRA_model_for_NEMO2 (EMC Update) v0.29.5_NRA_model_for_NEMO2 (EMC Update) v0 30 1" xfId="493"/>
    <cellStyle name="%_NRA_model_for_NEMO2 (EMC Update) v0.19_NRA_model_for_NEMO2 (EMC Update) v0.25_NRA_model_for_NEMO2 (EMC Update) v0.26_NRA_model_for_NEMO2 (EMC Update) v0.29.4" xfId="494"/>
    <cellStyle name="%_NRA_model_for_NEMO2 (EMC Update) v0.19_NRA_model_for_NEMO2 (EMC Update) v0.25_NRA_model_for_NEMO2 (EMC Update) v0.26_NRA_model_for_NEMO2 (EMC Update) v0.29.4_NRA_model_for_NEMO2 (EMC Update) v0 30 1" xfId="495"/>
    <cellStyle name="%_NRA_model_for_NEMO2 (EMC Update) v0.19_NRA_model_for_NEMO2 (EMC Update) v0.25_NRA_model_for_NEMO2 (EMC Update) v0.26_NRA_model_for_NEMO2 (EMC Update) v0.29.4_NRA_model_for_NEMO2 (EMC Update) v0.29.5" xfId="496"/>
    <cellStyle name="%_NRA_model_for_NEMO2 (EMC Update) v0.19_NRA_model_for_NEMO2 (EMC Update) v0.25_NRA_model_for_NEMO2 (EMC Update) v0.26_NRA_model_for_NEMO2 (EMC Update) v0.29.4_NRA_model_for_NEMO2 (EMC Update) v0.29.5_NRA_model_for_NEMO2 (EMC Update) v0 30 1" xfId="497"/>
    <cellStyle name="%_NRA_model_for_NEMO2 (EMC Update) v0.19_NRA_model_for_NEMO2 (EMC Update) v0.25_NRA_model_for_NEMO2 (EMC Update) v0.26_NRA_model_for_NEMO2 (EMC Update) v0.29.5" xfId="498"/>
    <cellStyle name="%_NRA_model_for_NEMO2 (EMC Update) v0.19_NRA_model_for_NEMO2 (EMC Update) v0.25_NRA_model_for_NEMO2 (EMC Update) v0.26_NRA_model_for_NEMO2 (EMC Update) v0.29.5_NRA_model_for_NEMO2 (EMC Update) v0 30 1" xfId="499"/>
    <cellStyle name="%_NRA_model_for_NEMO2 (EMC Update) v0.19_NRA_model_for_NEMO2 (EMC Update) v0.25_NRA_model_for_NEMO2 (EMC Update) v0.26_NRA_model_for_NEMO2 (EMC Update) v0.29_NRA_model_for_NEMO2 (EMC Update) v0 30 1" xfId="500"/>
    <cellStyle name="%_NRA_model_for_NEMO2 (EMC Update) v0.19_NRA_model_for_NEMO2 (EMC Update) v0.25_NRA_model_for_NEMO2 (EMC Update) v0.26_NRA_model_for_NEMO2 (EMC Update) v0.29_NRA_model_for_NEMO2 (EMC Update) v0.29.2" xfId="501"/>
    <cellStyle name="%_NRA_model_for_NEMO2 (EMC Update) v0.19_NRA_model_for_NEMO2 (EMC Update) v0.25_NRA_model_for_NEMO2 (EMC Update) v0.26_NRA_model_for_NEMO2 (EMC Update) v0.29_NRA_model_for_NEMO2 (EMC Update) v0.29.2_NRA_model_for_NEMO2 (EMC Update) v0 30 1" xfId="502"/>
    <cellStyle name="%_NRA_model_for_NEMO2 (EMC Update) v0.19_NRA_model_for_NEMO2 (EMC Update) v0.25_NRA_model_for_NEMO2 (EMC Update) v0.26_NRA_model_for_NEMO2 (EMC Update) v0.29_NRA_model_for_NEMO2 (EMC Update) v0.29.2_NRA_model_for_NEMO2 (EMC Update) v0.29.3" xfId="503"/>
    <cellStyle name="%_NRA_model_for_NEMO2 (EMC Update) v0.19_NRA_model_for_NEMO2 (EMC Update) v0.25_NRA_model_for_NEMO2 (EMC Update) v0.26_NRA_model_for_NEMO2 (EMC Update) v0.29_NRA_model_for_NEMO2 (EMC Update) v0.29.2_NRA_model_for_NEMO2 (EMC Update) v0.29.4" xfId="504"/>
    <cellStyle name="%_NRA_model_for_NEMO2 (EMC Update) v0.19_NRA_model_for_NEMO2 (EMC Update) v0.25_NRA_model_for_NEMO2 (EMC Update) v0.26_NRA_model_for_NEMO2 (EMC Update) v0.29_NRA_model_for_NEMO2 (EMC Update) v0.29.2_NRA_model_for_NEMO2 (EMC Update) v0.29.5" xfId="505"/>
    <cellStyle name="%_NRA_model_for_NEMO2 (EMC Update) v0.19_NRA_model_for_NEMO2 (EMC Update) v0.25_NRA_model_for_NEMO2 (EMC Update) v0.26_NRA_model_for_NEMO2 (EMC Update) v0.29_NRA_model_for_NEMO2 (EMC Update) v0.29.3" xfId="506"/>
    <cellStyle name="%_NRA_model_for_NEMO2 (EMC Update) v0.19_NRA_model_for_NEMO2 (EMC Update) v0.25_NRA_model_for_NEMO2 (EMC Update) v0.26_NRA_model_for_NEMO2 (EMC Update) v0.29_NRA_model_for_NEMO2 (EMC Update) v0.29.3_NRA_model_for_NEMO2 (EMC Update) v0 30 1" xfId="507"/>
    <cellStyle name="%_NRA_model_for_NEMO2 (EMC Update) v0.19_NRA_model_for_NEMO2 (EMC Update) v0.25_NRA_model_for_NEMO2 (EMC Update) v0.26_NRA_model_for_NEMO2 (EMC Update) v0.29_NRA_model_for_NEMO2 (EMC Update) v0.29.3_NRA_model_for_NEMO2 (EMC Update) v0.29.5" xfId="508"/>
    <cellStyle name="%_NRA_model_for_NEMO2 (EMC Update) v0.19_NRA_model_for_NEMO2 (EMC Update) v0.25_NRA_model_for_NEMO2 (EMC Update) v0.26_NRA_model_for_NEMO2 (EMC Update) v0.29_NRA_model_for_NEMO2 (EMC Update) v0.29.4" xfId="509"/>
    <cellStyle name="%_NRA_model_for_NEMO2 (EMC Update) v0.19_NRA_model_for_NEMO2 (EMC Update) v0.25_NRA_model_for_NEMO2 (EMC Update) v0.26_NRA_model_for_NEMO2 (EMC Update) v0.29_NRA_model_for_NEMO2 (EMC Update) v0.29.4_NRA_model_for_NEMO2 (EMC Update) v0 30 1" xfId="510"/>
    <cellStyle name="%_NRA_model_for_NEMO2 (EMC Update) v0.19_NRA_model_for_NEMO2 (EMC Update) v0.25_NRA_model_for_NEMO2 (EMC Update) v0.26_NRA_model_for_NEMO2 (EMC Update) v0.29_NRA_model_for_NEMO2 (EMC Update) v0.29.4_NRA_model_for_NEMO2 (EMC Update) v0.29.5" xfId="511"/>
    <cellStyle name="%_NRA_model_for_NEMO2 (EMC Update) v0.19_NRA_model_for_NEMO2 (EMC Update) v0.25_NRA_model_for_NEMO2 (EMC Update) v0.26_NRA_model_for_NEMO2 (EMC Update) v0.29_NRA_model_for_NEMO2 (EMC Update) v0.29.5" xfId="512"/>
    <cellStyle name="%_NRA_model_for_NEMO2 (EMC Update) v0.19_NRA_model_for_NEMO2 (EMC Update) v0.25_NRA_model_for_NEMO2 (EMC Update) v0.26_NRA_model_for_NEMO2 (EMC Update) v0.29_NRA_model_for_NEMO2 (EMC Update) v0.29.5_NRA_model_for_NEMO2 (EMC Update) v0 30 1" xfId="513"/>
    <cellStyle name="%_NRA_model_for_NEMO2 (EMC Update) v0.19_NRA_model_for_NEMO2 (EMC Update) v0.25_NRA_model_for_NEMO2 (EMC Update) v0.29" xfId="514"/>
    <cellStyle name="%_NRA_model_for_NEMO2 (EMC Update) v0.19_NRA_model_for_NEMO2 (EMC Update) v0.25_NRA_model_for_NEMO2 (EMC Update) v0.29.2" xfId="515"/>
    <cellStyle name="%_NRA_model_for_NEMO2 (EMC Update) v0.19_NRA_model_for_NEMO2 (EMC Update) v0.25_NRA_model_for_NEMO2 (EMC Update) v0.29.2_NRA_model_for_NEMO2 (EMC Update) v0 30 1" xfId="516"/>
    <cellStyle name="%_NRA_model_for_NEMO2 (EMC Update) v0.19_NRA_model_for_NEMO2 (EMC Update) v0.25_NRA_model_for_NEMO2 (EMC Update) v0.29.2_NRA_model_for_NEMO2 (EMC Update) v0.29.3" xfId="517"/>
    <cellStyle name="%_NRA_model_for_NEMO2 (EMC Update) v0.19_NRA_model_for_NEMO2 (EMC Update) v0.25_NRA_model_for_NEMO2 (EMC Update) v0.29.2_NRA_model_for_NEMO2 (EMC Update) v0.29.3_NRA_model_for_NEMO2 (EMC Update) v0 30 1" xfId="518"/>
    <cellStyle name="%_NRA_model_for_NEMO2 (EMC Update) v0.19_NRA_model_for_NEMO2 (EMC Update) v0.25_NRA_model_for_NEMO2 (EMC Update) v0.29.2_NRA_model_for_NEMO2 (EMC Update) v0.29.3_NRA_model_for_NEMO2 (EMC Update) v0.29.5" xfId="519"/>
    <cellStyle name="%_NRA_model_for_NEMO2 (EMC Update) v0.19_NRA_model_for_NEMO2 (EMC Update) v0.25_NRA_model_for_NEMO2 (EMC Update) v0.29.2_NRA_model_for_NEMO2 (EMC Update) v0.29.3_NRA_model_for_NEMO2 (EMC Update) v0.29.5_NRA_model_for_NEMO2 (EMC Update) v0 30 1" xfId="520"/>
    <cellStyle name="%_NRA_model_for_NEMO2 (EMC Update) v0.19_NRA_model_for_NEMO2 (EMC Update) v0.25_NRA_model_for_NEMO2 (EMC Update) v0.29.2_NRA_model_for_NEMO2 (EMC Update) v0.29.4" xfId="521"/>
    <cellStyle name="%_NRA_model_for_NEMO2 (EMC Update) v0.19_NRA_model_for_NEMO2 (EMC Update) v0.25_NRA_model_for_NEMO2 (EMC Update) v0.29.2_NRA_model_for_NEMO2 (EMC Update) v0.29.4_NRA_model_for_NEMO2 (EMC Update) v0 30 1" xfId="522"/>
    <cellStyle name="%_NRA_model_for_NEMO2 (EMC Update) v0.19_NRA_model_for_NEMO2 (EMC Update) v0.25_NRA_model_for_NEMO2 (EMC Update) v0.29.2_NRA_model_for_NEMO2 (EMC Update) v0.29.4_NRA_model_for_NEMO2 (EMC Update) v0.29.5" xfId="523"/>
    <cellStyle name="%_NRA_model_for_NEMO2 (EMC Update) v0.19_NRA_model_for_NEMO2 (EMC Update) v0.25_NRA_model_for_NEMO2 (EMC Update) v0.29.2_NRA_model_for_NEMO2 (EMC Update) v0.29.4_NRA_model_for_NEMO2 (EMC Update) v0.29.5_NRA_model_for_NEMO2 (EMC Update) v0 30 1" xfId="524"/>
    <cellStyle name="%_NRA_model_for_NEMO2 (EMC Update) v0.19_NRA_model_for_NEMO2 (EMC Update) v0.25_NRA_model_for_NEMO2 (EMC Update) v0.29.2_NRA_model_for_NEMO2 (EMC Update) v0.29.5" xfId="525"/>
    <cellStyle name="%_NRA_model_for_NEMO2 (EMC Update) v0.19_NRA_model_for_NEMO2 (EMC Update) v0.25_NRA_model_for_NEMO2 (EMC Update) v0.29.2_NRA_model_for_NEMO2 (EMC Update) v0.29.5_NRA_model_for_NEMO2 (EMC Update) v0 30 1" xfId="526"/>
    <cellStyle name="%_NRA_model_for_NEMO2 (EMC Update) v0.19_NRA_model_for_NEMO2 (EMC Update) v0.25_NRA_model_for_NEMO2 (EMC Update) v0.29.3" xfId="527"/>
    <cellStyle name="%_NRA_model_for_NEMO2 (EMC Update) v0.19_NRA_model_for_NEMO2 (EMC Update) v0.25_NRA_model_for_NEMO2 (EMC Update) v0.29.3_NRA_model_for_NEMO2 (EMC Update) v0 30 1" xfId="528"/>
    <cellStyle name="%_NRA_model_for_NEMO2 (EMC Update) v0.19_NRA_model_for_NEMO2 (EMC Update) v0.25_NRA_model_for_NEMO2 (EMC Update) v0.29.3_NRA_model_for_NEMO2 (EMC Update) v0.29.5" xfId="529"/>
    <cellStyle name="%_NRA_model_for_NEMO2 (EMC Update) v0.19_NRA_model_for_NEMO2 (EMC Update) v0.25_NRA_model_for_NEMO2 (EMC Update) v0.29.3_NRA_model_for_NEMO2 (EMC Update) v0.29.5_NRA_model_for_NEMO2 (EMC Update) v0 30 1" xfId="530"/>
    <cellStyle name="%_NRA_model_for_NEMO2 (EMC Update) v0.19_NRA_model_for_NEMO2 (EMC Update) v0.25_NRA_model_for_NEMO2 (EMC Update) v0.29.4" xfId="531"/>
    <cellStyle name="%_NRA_model_for_NEMO2 (EMC Update) v0.19_NRA_model_for_NEMO2 (EMC Update) v0.25_NRA_model_for_NEMO2 (EMC Update) v0.29.4_NRA_model_for_NEMO2 (EMC Update) v0 30 1" xfId="532"/>
    <cellStyle name="%_NRA_model_for_NEMO2 (EMC Update) v0.19_NRA_model_for_NEMO2 (EMC Update) v0.25_NRA_model_for_NEMO2 (EMC Update) v0.29.4_NRA_model_for_NEMO2 (EMC Update) v0.29.5" xfId="533"/>
    <cellStyle name="%_NRA_model_for_NEMO2 (EMC Update) v0.19_NRA_model_for_NEMO2 (EMC Update) v0.25_NRA_model_for_NEMO2 (EMC Update) v0.29.4_NRA_model_for_NEMO2 (EMC Update) v0.29.5_NRA_model_for_NEMO2 (EMC Update) v0 30 1" xfId="534"/>
    <cellStyle name="%_NRA_model_for_NEMO2 (EMC Update) v0.19_NRA_model_for_NEMO2 (EMC Update) v0.25_NRA_model_for_NEMO2 (EMC Update) v0.29.5" xfId="535"/>
    <cellStyle name="%_NRA_model_for_NEMO2 (EMC Update) v0.19_NRA_model_for_NEMO2 (EMC Update) v0.25_NRA_model_for_NEMO2 (EMC Update) v0.29.5_NRA_model_for_NEMO2 (EMC Update) v0 30 1" xfId="536"/>
    <cellStyle name="%_NRA_model_for_NEMO2 (EMC Update) v0.19_NRA_model_for_NEMO2 (EMC Update) v0.25_NRA_model_for_NEMO2 (EMC Update) v0.29_NRA_model_for_NEMO2 (EMC Update) v0 30 1" xfId="537"/>
    <cellStyle name="%_NRA_model_for_NEMO2 (EMC Update) v0.19_NRA_model_for_NEMO2 (EMC Update) v0.25_NRA_model_for_NEMO2 (EMC Update) v0.29_NRA_model_for_NEMO2 (EMC Update) v0.29.2" xfId="538"/>
    <cellStyle name="%_NRA_model_for_NEMO2 (EMC Update) v0.19_NRA_model_for_NEMO2 (EMC Update) v0.25_NRA_model_for_NEMO2 (EMC Update) v0.29_NRA_model_for_NEMO2 (EMC Update) v0.29.2_NRA_model_for_NEMO2 (EMC Update) v0 30 1" xfId="539"/>
    <cellStyle name="%_NRA_model_for_NEMO2 (EMC Update) v0.19_NRA_model_for_NEMO2 (EMC Update) v0.25_NRA_model_for_NEMO2 (EMC Update) v0.29_NRA_model_for_NEMO2 (EMC Update) v0.29.2_NRA_model_for_NEMO2 (EMC Update) v0.29.3" xfId="540"/>
    <cellStyle name="%_NRA_model_for_NEMO2 (EMC Update) v0.19_NRA_model_for_NEMO2 (EMC Update) v0.25_NRA_model_for_NEMO2 (EMC Update) v0.29_NRA_model_for_NEMO2 (EMC Update) v0.29.2_NRA_model_for_NEMO2 (EMC Update) v0.29.3_NRA_model_for_NEMO2 (EMC Update) v0 30 1" xfId="541"/>
    <cellStyle name="%_NRA_model_for_NEMO2 (EMC Update) v0.19_NRA_model_for_NEMO2 (EMC Update) v0.25_NRA_model_for_NEMO2 (EMC Update) v0.29_NRA_model_for_NEMO2 (EMC Update) v0.29.2_NRA_model_for_NEMO2 (EMC Update) v0.29.3_NRA_model_for_NEMO2 (EMC Update) v0.29.5" xfId="542"/>
    <cellStyle name="%_NRA_model_for_NEMO2 (EMC Update) v0.19_NRA_model_for_NEMO2 (EMC Update) v0.25_NRA_model_for_NEMO2 (EMC Update) v0.29_NRA_model_for_NEMO2 (EMC Update) v0.29.2_NRA_model_for_NEMO2 (EMC Update) v0.29.4" xfId="543"/>
    <cellStyle name="%_NRA_model_for_NEMO2 (EMC Update) v0.19_NRA_model_for_NEMO2 (EMC Update) v0.25_NRA_model_for_NEMO2 (EMC Update) v0.29_NRA_model_for_NEMO2 (EMC Update) v0.29.2_NRA_model_for_NEMO2 (EMC Update) v0.29.4_NRA_model_for_NEMO2 (EMC Update) v0 30 1" xfId="544"/>
    <cellStyle name="%_NRA_model_for_NEMO2 (EMC Update) v0.19_NRA_model_for_NEMO2 (EMC Update) v0.25_NRA_model_for_NEMO2 (EMC Update) v0.29_NRA_model_for_NEMO2 (EMC Update) v0.29.2_NRA_model_for_NEMO2 (EMC Update) v0.29.4_NRA_model_for_NEMO2 (EMC Update) v0.29.5" xfId="545"/>
    <cellStyle name="%_NRA_model_for_NEMO2 (EMC Update) v0.19_NRA_model_for_NEMO2 (EMC Update) v0.25_NRA_model_for_NEMO2 (EMC Update) v0.29_NRA_model_for_NEMO2 (EMC Update) v0.29.2_NRA_model_for_NEMO2 (EMC Update) v0.29.5" xfId="546"/>
    <cellStyle name="%_NRA_model_for_NEMO2 (EMC Update) v0.19_NRA_model_for_NEMO2 (EMC Update) v0.25_NRA_model_for_NEMO2 (EMC Update) v0.29_NRA_model_for_NEMO2 (EMC Update) v0.29.2_NRA_model_for_NEMO2 (EMC Update) v0.29.5_NRA_model_for_NEMO2 (EMC Update) v0 30 1" xfId="547"/>
    <cellStyle name="%_NRA_model_for_NEMO2 (EMC Update) v0.19_NRA_model_for_NEMO2 (EMC Update) v0.25_NRA_model_for_NEMO2 (EMC Update) v0.29_NRA_model_for_NEMO2 (EMC Update) v0.29.3" xfId="548"/>
    <cellStyle name="%_NRA_model_for_NEMO2 (EMC Update) v0.19_NRA_model_for_NEMO2 (EMC Update) v0.25_NRA_model_for_NEMO2 (EMC Update) v0.29_NRA_model_for_NEMO2 (EMC Update) v0.29.3_NRA_model_for_NEMO2 (EMC Update) v0 30 1" xfId="549"/>
    <cellStyle name="%_NRA_model_for_NEMO2 (EMC Update) v0.19_NRA_model_for_NEMO2 (EMC Update) v0.25_NRA_model_for_NEMO2 (EMC Update) v0.29_NRA_model_for_NEMO2 (EMC Update) v0.29.3_NRA_model_for_NEMO2 (EMC Update) v0.29.5" xfId="550"/>
    <cellStyle name="%_NRA_model_for_NEMO2 (EMC Update) v0.19_NRA_model_for_NEMO2 (EMC Update) v0.25_NRA_model_for_NEMO2 (EMC Update) v0.29_NRA_model_for_NEMO2 (EMC Update) v0.29.3_NRA_model_for_NEMO2 (EMC Update) v0.29.5_NRA_model_for_NEMO2 (EMC Update) v0 30 1" xfId="551"/>
    <cellStyle name="%_NRA_model_for_NEMO2 (EMC Update) v0.19_NRA_model_for_NEMO2 (EMC Update) v0.25_NRA_model_for_NEMO2 (EMC Update) v0.29_NRA_model_for_NEMO2 (EMC Update) v0.29.4" xfId="552"/>
    <cellStyle name="%_NRA_model_for_NEMO2 (EMC Update) v0.19_NRA_model_for_NEMO2 (EMC Update) v0.25_NRA_model_for_NEMO2 (EMC Update) v0.29_NRA_model_for_NEMO2 (EMC Update) v0.29.4_NRA_model_for_NEMO2 (EMC Update) v0 30 1" xfId="553"/>
    <cellStyle name="%_NRA_model_for_NEMO2 (EMC Update) v0.19_NRA_model_for_NEMO2 (EMC Update) v0.25_NRA_model_for_NEMO2 (EMC Update) v0.29_NRA_model_for_NEMO2 (EMC Update) v0.29.4_NRA_model_for_NEMO2 (EMC Update) v0.29.5" xfId="554"/>
    <cellStyle name="%_NRA_model_for_NEMO2 (EMC Update) v0.19_NRA_model_for_NEMO2 (EMC Update) v0.25_NRA_model_for_NEMO2 (EMC Update) v0.29_NRA_model_for_NEMO2 (EMC Update) v0.29.4_NRA_model_for_NEMO2 (EMC Update) v0.29.5_NRA_model_for_NEMO2 (EMC Update) v0 30 1" xfId="555"/>
    <cellStyle name="%_NRA_model_for_NEMO2 (EMC Update) v0.19_NRA_model_for_NEMO2 (EMC Update) v0.25_NRA_model_for_NEMO2 (EMC Update) v0.29_NRA_model_for_NEMO2 (EMC Update) v0.29.5" xfId="556"/>
    <cellStyle name="%_NRA_model_for_NEMO2 (EMC Update) v0.19_NRA_model_for_NEMO2 (EMC Update) v0.25_NRA_model_for_NEMO2 (EMC Update) v0.29_NRA_model_for_NEMO2 (EMC Update) v0.29.5_NRA_model_for_NEMO2 (EMC Update) v0 30 1" xfId="557"/>
    <cellStyle name="%_NRA_model_for_NEMO2 (EMC Update) v0.19_NRA_model_for_NEMO2 (EMC Update) v0.26" xfId="558"/>
    <cellStyle name="%_NRA_model_for_NEMO2 (EMC Update) v0.19_NRA_model_for_NEMO2 (EMC Update) v0.26_NRA_model_for_NEMO2 (EMC Update) v0 30 1" xfId="559"/>
    <cellStyle name="%_NRA_model_for_NEMO2 (EMC Update) v0.19_NRA_model_for_NEMO2 (EMC Update) v0.26_NRA_model_for_NEMO2 (EMC Update) v0.29" xfId="560"/>
    <cellStyle name="%_NRA_model_for_NEMO2 (EMC Update) v0.19_NRA_model_for_NEMO2 (EMC Update) v0.26_NRA_model_for_NEMO2 (EMC Update) v0.29.2" xfId="561"/>
    <cellStyle name="%_NRA_model_for_NEMO2 (EMC Update) v0.19_NRA_model_for_NEMO2 (EMC Update) v0.26_NRA_model_for_NEMO2 (EMC Update) v0.29.2_NRA_model_for_NEMO2 (EMC Update) v0 30 1" xfId="562"/>
    <cellStyle name="%_NRA_model_for_NEMO2 (EMC Update) v0.19_NRA_model_for_NEMO2 (EMC Update) v0.26_NRA_model_for_NEMO2 (EMC Update) v0.29.2_NRA_model_for_NEMO2 (EMC Update) v0.29.3" xfId="563"/>
    <cellStyle name="%_NRA_model_for_NEMO2 (EMC Update) v0.19_NRA_model_for_NEMO2 (EMC Update) v0.26_NRA_model_for_NEMO2 (EMC Update) v0.29.2_NRA_model_for_NEMO2 (EMC Update) v0.29.3_NRA_model_for_NEMO2 (EMC Update) v0 30 1" xfId="564"/>
    <cellStyle name="%_NRA_model_for_NEMO2 (EMC Update) v0.19_NRA_model_for_NEMO2 (EMC Update) v0.26_NRA_model_for_NEMO2 (EMC Update) v0.29.2_NRA_model_for_NEMO2 (EMC Update) v0.29.3_NRA_model_for_NEMO2 (EMC Update) v0.29.5" xfId="565"/>
    <cellStyle name="%_NRA_model_for_NEMO2 (EMC Update) v0.19_NRA_model_for_NEMO2 (EMC Update) v0.26_NRA_model_for_NEMO2 (EMC Update) v0.29.2_NRA_model_for_NEMO2 (EMC Update) v0.29.3_NRA_model_for_NEMO2 (EMC Update) v0.29.5_NRA_model_for_NEMO2 (EMC Update) v0 30 1" xfId="566"/>
    <cellStyle name="%_NRA_model_for_NEMO2 (EMC Update) v0.19_NRA_model_for_NEMO2 (EMC Update) v0.26_NRA_model_for_NEMO2 (EMC Update) v0.29.2_NRA_model_for_NEMO2 (EMC Update) v0.29.4" xfId="567"/>
    <cellStyle name="%_NRA_model_for_NEMO2 (EMC Update) v0.19_NRA_model_for_NEMO2 (EMC Update) v0.26_NRA_model_for_NEMO2 (EMC Update) v0.29.2_NRA_model_for_NEMO2 (EMC Update) v0.29.4_NRA_model_for_NEMO2 (EMC Update) v0 30 1" xfId="568"/>
    <cellStyle name="%_NRA_model_for_NEMO2 (EMC Update) v0.19_NRA_model_for_NEMO2 (EMC Update) v0.26_NRA_model_for_NEMO2 (EMC Update) v0.29.2_NRA_model_for_NEMO2 (EMC Update) v0.29.4_NRA_model_for_NEMO2 (EMC Update) v0.29.5" xfId="569"/>
    <cellStyle name="%_NRA_model_for_NEMO2 (EMC Update) v0.19_NRA_model_for_NEMO2 (EMC Update) v0.26_NRA_model_for_NEMO2 (EMC Update) v0.29.2_NRA_model_for_NEMO2 (EMC Update) v0.29.4_NRA_model_for_NEMO2 (EMC Update) v0.29.5_NRA_model_for_NEMO2 (EMC Update) v0 30 1" xfId="570"/>
    <cellStyle name="%_NRA_model_for_NEMO2 (EMC Update) v0.19_NRA_model_for_NEMO2 (EMC Update) v0.26_NRA_model_for_NEMO2 (EMC Update) v0.29.2_NRA_model_for_NEMO2 (EMC Update) v0.29.5" xfId="571"/>
    <cellStyle name="%_NRA_model_for_NEMO2 (EMC Update) v0.19_NRA_model_for_NEMO2 (EMC Update) v0.26_NRA_model_for_NEMO2 (EMC Update) v0.29.2_NRA_model_for_NEMO2 (EMC Update) v0.29.5_NRA_model_for_NEMO2 (EMC Update) v0 30 1" xfId="572"/>
    <cellStyle name="%_NRA_model_for_NEMO2 (EMC Update) v0.19_NRA_model_for_NEMO2 (EMC Update) v0.26_NRA_model_for_NEMO2 (EMC Update) v0.29.3" xfId="573"/>
    <cellStyle name="%_NRA_model_for_NEMO2 (EMC Update) v0.19_NRA_model_for_NEMO2 (EMC Update) v0.26_NRA_model_for_NEMO2 (EMC Update) v0.29.3_NRA_model_for_NEMO2 (EMC Update) v0 30 1" xfId="574"/>
    <cellStyle name="%_NRA_model_for_NEMO2 (EMC Update) v0.19_NRA_model_for_NEMO2 (EMC Update) v0.26_NRA_model_for_NEMO2 (EMC Update) v0.29.3_NRA_model_for_NEMO2 (EMC Update) v0.29.5" xfId="575"/>
    <cellStyle name="%_NRA_model_for_NEMO2 (EMC Update) v0.19_NRA_model_for_NEMO2 (EMC Update) v0.26_NRA_model_for_NEMO2 (EMC Update) v0.29.3_NRA_model_for_NEMO2 (EMC Update) v0.29.5_NRA_model_for_NEMO2 (EMC Update) v0 30 1" xfId="576"/>
    <cellStyle name="%_NRA_model_for_NEMO2 (EMC Update) v0.19_NRA_model_for_NEMO2 (EMC Update) v0.26_NRA_model_for_NEMO2 (EMC Update) v0.29.4" xfId="577"/>
    <cellStyle name="%_NRA_model_for_NEMO2 (EMC Update) v0.19_NRA_model_for_NEMO2 (EMC Update) v0.26_NRA_model_for_NEMO2 (EMC Update) v0.29.4_NRA_model_for_NEMO2 (EMC Update) v0 30 1" xfId="578"/>
    <cellStyle name="%_NRA_model_for_NEMO2 (EMC Update) v0.19_NRA_model_for_NEMO2 (EMC Update) v0.26_NRA_model_for_NEMO2 (EMC Update) v0.29.4_NRA_model_for_NEMO2 (EMC Update) v0.29.5" xfId="579"/>
    <cellStyle name="%_NRA_model_for_NEMO2 (EMC Update) v0.19_NRA_model_for_NEMO2 (EMC Update) v0.26_NRA_model_for_NEMO2 (EMC Update) v0.29.4_NRA_model_for_NEMO2 (EMC Update) v0.29.5_NRA_model_for_NEMO2 (EMC Update) v0 30 1" xfId="580"/>
    <cellStyle name="%_NRA_model_for_NEMO2 (EMC Update) v0.19_NRA_model_for_NEMO2 (EMC Update) v0.26_NRA_model_for_NEMO2 (EMC Update) v0.29.5" xfId="581"/>
    <cellStyle name="%_NRA_model_for_NEMO2 (EMC Update) v0.19_NRA_model_for_NEMO2 (EMC Update) v0.26_NRA_model_for_NEMO2 (EMC Update) v0.29.5_NRA_model_for_NEMO2 (EMC Update) v0 30 1" xfId="582"/>
    <cellStyle name="%_NRA_model_for_NEMO2 (EMC Update) v0.19_NRA_model_for_NEMO2 (EMC Update) v0.26_NRA_model_for_NEMO2 (EMC Update) v0.29_NRA_model_for_NEMO2 (EMC Update) v0 30 1" xfId="583"/>
    <cellStyle name="%_NRA_model_for_NEMO2 (EMC Update) v0.19_NRA_model_for_NEMO2 (EMC Update) v0.26_NRA_model_for_NEMO2 (EMC Update) v0.29_NRA_model_for_NEMO2 (EMC Update) v0.29.2" xfId="584"/>
    <cellStyle name="%_NRA_model_for_NEMO2 (EMC Update) v0.19_NRA_model_for_NEMO2 (EMC Update) v0.26_NRA_model_for_NEMO2 (EMC Update) v0.29_NRA_model_for_NEMO2 (EMC Update) v0.29.2_NRA_model_for_NEMO2 (EMC Update) v0 30 1" xfId="585"/>
    <cellStyle name="%_NRA_model_for_NEMO2 (EMC Update) v0.19_NRA_model_for_NEMO2 (EMC Update) v0.26_NRA_model_for_NEMO2 (EMC Update) v0.29_NRA_model_for_NEMO2 (EMC Update) v0.29.2_NRA_model_for_NEMO2 (EMC Update) v0.29.3" xfId="586"/>
    <cellStyle name="%_NRA_model_for_NEMO2 (EMC Update) v0.19_NRA_model_for_NEMO2 (EMC Update) v0.26_NRA_model_for_NEMO2 (EMC Update) v0.29_NRA_model_for_NEMO2 (EMC Update) v0.29.2_NRA_model_for_NEMO2 (EMC Update) v0.29.3_NRA_model_for_NEMO2 (EMC Update) v0 30 1" xfId="587"/>
    <cellStyle name="%_NRA_model_for_NEMO2 (EMC Update) v0.19_NRA_model_for_NEMO2 (EMC Update) v0.26_NRA_model_for_NEMO2 (EMC Update) v0.29_NRA_model_for_NEMO2 (EMC Update) v0.29.2_NRA_model_for_NEMO2 (EMC Update) v0.29.3_NRA_model_for_NEMO2 (EMC Update) v0.29.5" xfId="588"/>
    <cellStyle name="%_NRA_model_for_NEMO2 (EMC Update) v0.19_NRA_model_for_NEMO2 (EMC Update) v0.26_NRA_model_for_NEMO2 (EMC Update) v0.29_NRA_model_for_NEMO2 (EMC Update) v0.29.2_NRA_model_for_NEMO2 (EMC Update) v0.29.4" xfId="589"/>
    <cellStyle name="%_NRA_model_for_NEMO2 (EMC Update) v0.19_NRA_model_for_NEMO2 (EMC Update) v0.26_NRA_model_for_NEMO2 (EMC Update) v0.29_NRA_model_for_NEMO2 (EMC Update) v0.29.2_NRA_model_for_NEMO2 (EMC Update) v0.29.4_NRA_model_for_NEMO2 (EMC Update) v0 30 1" xfId="590"/>
    <cellStyle name="%_NRA_model_for_NEMO2 (EMC Update) v0.19_NRA_model_for_NEMO2 (EMC Update) v0.26_NRA_model_for_NEMO2 (EMC Update) v0.29_NRA_model_for_NEMO2 (EMC Update) v0.29.2_NRA_model_for_NEMO2 (EMC Update) v0.29.4_NRA_model_for_NEMO2 (EMC Update) v0.29.5" xfId="591"/>
    <cellStyle name="%_NRA_model_for_NEMO2 (EMC Update) v0.19_NRA_model_for_NEMO2 (EMC Update) v0.26_NRA_model_for_NEMO2 (EMC Update) v0.29_NRA_model_for_NEMO2 (EMC Update) v0.29.2_NRA_model_for_NEMO2 (EMC Update) v0.29.5" xfId="592"/>
    <cellStyle name="%_NRA_model_for_NEMO2 (EMC Update) v0.19_NRA_model_for_NEMO2 (EMC Update) v0.26_NRA_model_for_NEMO2 (EMC Update) v0.29_NRA_model_for_NEMO2 (EMC Update) v0.29.2_NRA_model_for_NEMO2 (EMC Update) v0.29.5_NRA_model_for_NEMO2 (EMC Update) v0 30 1" xfId="593"/>
    <cellStyle name="%_NRA_model_for_NEMO2 (EMC Update) v0.19_NRA_model_for_NEMO2 (EMC Update) v0.26_NRA_model_for_NEMO2 (EMC Update) v0.29_NRA_model_for_NEMO2 (EMC Update) v0.29.3" xfId="594"/>
    <cellStyle name="%_NRA_model_for_NEMO2 (EMC Update) v0.19_NRA_model_for_NEMO2 (EMC Update) v0.26_NRA_model_for_NEMO2 (EMC Update) v0.29_NRA_model_for_NEMO2 (EMC Update) v0.29.3_NRA_model_for_NEMO2 (EMC Update) v0 30 1" xfId="595"/>
    <cellStyle name="%_NRA_model_for_NEMO2 (EMC Update) v0.19_NRA_model_for_NEMO2 (EMC Update) v0.26_NRA_model_for_NEMO2 (EMC Update) v0.29_NRA_model_for_NEMO2 (EMC Update) v0.29.3_NRA_model_for_NEMO2 (EMC Update) v0.29.5" xfId="596"/>
    <cellStyle name="%_NRA_model_for_NEMO2 (EMC Update) v0.19_NRA_model_for_NEMO2 (EMC Update) v0.26_NRA_model_for_NEMO2 (EMC Update) v0.29_NRA_model_for_NEMO2 (EMC Update) v0.29.3_NRA_model_for_NEMO2 (EMC Update) v0.29.5_NRA_model_for_NEMO2 (EMC Update) v0 30 1" xfId="597"/>
    <cellStyle name="%_NRA_model_for_NEMO2 (EMC Update) v0.19_NRA_model_for_NEMO2 (EMC Update) v0.26_NRA_model_for_NEMO2 (EMC Update) v0.29_NRA_model_for_NEMO2 (EMC Update) v0.29.4" xfId="598"/>
    <cellStyle name="%_NRA_model_for_NEMO2 (EMC Update) v0.19_NRA_model_for_NEMO2 (EMC Update) v0.26_NRA_model_for_NEMO2 (EMC Update) v0.29_NRA_model_for_NEMO2 (EMC Update) v0.29.4_NRA_model_for_NEMO2 (EMC Update) v0 30 1" xfId="599"/>
    <cellStyle name="%_NRA_model_for_NEMO2 (EMC Update) v0.19_NRA_model_for_NEMO2 (EMC Update) v0.26_NRA_model_for_NEMO2 (EMC Update) v0.29_NRA_model_for_NEMO2 (EMC Update) v0.29.4_NRA_model_for_NEMO2 (EMC Update) v0.29.5" xfId="600"/>
    <cellStyle name="%_NRA_model_for_NEMO2 (EMC Update) v0.19_NRA_model_for_NEMO2 (EMC Update) v0.26_NRA_model_for_NEMO2 (EMC Update) v0.29_NRA_model_for_NEMO2 (EMC Update) v0.29.4_NRA_model_for_NEMO2 (EMC Update) v0.29.5_NRA_model_for_NEMO2 (EMC Update) v0 30 1" xfId="601"/>
    <cellStyle name="%_NRA_model_for_NEMO2 (EMC Update) v0.19_NRA_model_for_NEMO2 (EMC Update) v0.26_NRA_model_for_NEMO2 (EMC Update) v0.29_NRA_model_for_NEMO2 (EMC Update) v0.29.5" xfId="602"/>
    <cellStyle name="%_NRA_model_for_NEMO2 (EMC Update) v0.19_NRA_model_for_NEMO2 (EMC Update) v0.26_NRA_model_for_NEMO2 (EMC Update) v0.29_NRA_model_for_NEMO2 (EMC Update) v0.29.5_NRA_model_for_NEMO2 (EMC Update) v0 30 1" xfId="603"/>
    <cellStyle name="%_NRA_model_for_NEMO2 (EMC Update) v0.19_NRA_model_for_NEMO2 (EMC Update) v0.29" xfId="604"/>
    <cellStyle name="%_NRA_model_for_NEMO2 (EMC Update) v0.19_NRA_model_for_NEMO2 (EMC Update) v0.29.2" xfId="605"/>
    <cellStyle name="%_NRA_model_for_NEMO2 (EMC Update) v0.19_NRA_model_for_NEMO2 (EMC Update) v0.29.2_NRA_model_for_NEMO2 (EMC Update) v0 30 1" xfId="606"/>
    <cellStyle name="%_NRA_model_for_NEMO2 (EMC Update) v0.19_NRA_model_for_NEMO2 (EMC Update) v0.29.2_NRA_model_for_NEMO2 (EMC Update) v0.29.3" xfId="607"/>
    <cellStyle name="%_NRA_model_for_NEMO2 (EMC Update) v0.19_NRA_model_for_NEMO2 (EMC Update) v0.29.2_NRA_model_for_NEMO2 (EMC Update) v0.29.3_NRA_model_for_NEMO2 (EMC Update) v0 30 1" xfId="608"/>
    <cellStyle name="%_NRA_model_for_NEMO2 (EMC Update) v0.19_NRA_model_for_NEMO2 (EMC Update) v0.29.2_NRA_model_for_NEMO2 (EMC Update) v0.29.3_NRA_model_for_NEMO2 (EMC Update) v0.29.5" xfId="609"/>
    <cellStyle name="%_NRA_model_for_NEMO2 (EMC Update) v0.19_NRA_model_for_NEMO2 (EMC Update) v0.29.2_NRA_model_for_NEMO2 (EMC Update) v0.29.3_NRA_model_for_NEMO2 (EMC Update) v0.29.5_NRA_model_for_NEMO2 (EMC Update) v0 30 1" xfId="610"/>
    <cellStyle name="%_NRA_model_for_NEMO2 (EMC Update) v0.19_NRA_model_for_NEMO2 (EMC Update) v0.29.2_NRA_model_for_NEMO2 (EMC Update) v0.29.4" xfId="611"/>
    <cellStyle name="%_NRA_model_for_NEMO2 (EMC Update) v0.19_NRA_model_for_NEMO2 (EMC Update) v0.29.2_NRA_model_for_NEMO2 (EMC Update) v0.29.4_NRA_model_for_NEMO2 (EMC Update) v0 30 1" xfId="612"/>
    <cellStyle name="%_NRA_model_for_NEMO2 (EMC Update) v0.19_NRA_model_for_NEMO2 (EMC Update) v0.29.2_NRA_model_for_NEMO2 (EMC Update) v0.29.4_NRA_model_for_NEMO2 (EMC Update) v0.29.5" xfId="613"/>
    <cellStyle name="%_NRA_model_for_NEMO2 (EMC Update) v0.19_NRA_model_for_NEMO2 (EMC Update) v0.29.2_NRA_model_for_NEMO2 (EMC Update) v0.29.4_NRA_model_for_NEMO2 (EMC Update) v0.29.5_NRA_model_for_NEMO2 (EMC Update) v0 30 1" xfId="614"/>
    <cellStyle name="%_NRA_model_for_NEMO2 (EMC Update) v0.19_NRA_model_for_NEMO2 (EMC Update) v0.29.2_NRA_model_for_NEMO2 (EMC Update) v0.29.5" xfId="615"/>
    <cellStyle name="%_NRA_model_for_NEMO2 (EMC Update) v0.19_NRA_model_for_NEMO2 (EMC Update) v0.29.2_NRA_model_for_NEMO2 (EMC Update) v0.29.5_NRA_model_for_NEMO2 (EMC Update) v0 30 1" xfId="616"/>
    <cellStyle name="%_NRA_model_for_NEMO2 (EMC Update) v0.19_NRA_model_for_NEMO2 (EMC Update) v0.29.3" xfId="617"/>
    <cellStyle name="%_NRA_model_for_NEMO2 (EMC Update) v0.19_NRA_model_for_NEMO2 (EMC Update) v0.29.3_NRA_model_for_NEMO2 (EMC Update) v0 30 1" xfId="618"/>
    <cellStyle name="%_NRA_model_for_NEMO2 (EMC Update) v0.19_NRA_model_for_NEMO2 (EMC Update) v0.29.3_NRA_model_for_NEMO2 (EMC Update) v0.29.5" xfId="619"/>
    <cellStyle name="%_NRA_model_for_NEMO2 (EMC Update) v0.19_NRA_model_for_NEMO2 (EMC Update) v0.29.3_NRA_model_for_NEMO2 (EMC Update) v0.29.5_NRA_model_for_NEMO2 (EMC Update) v0 30 1" xfId="620"/>
    <cellStyle name="%_NRA_model_for_NEMO2 (EMC Update) v0.19_NRA_model_for_NEMO2 (EMC Update) v0.29.4" xfId="621"/>
    <cellStyle name="%_NRA_model_for_NEMO2 (EMC Update) v0.19_NRA_model_for_NEMO2 (EMC Update) v0.29.4_NRA_model_for_NEMO2 (EMC Update) v0 30 1" xfId="622"/>
    <cellStyle name="%_NRA_model_for_NEMO2 (EMC Update) v0.19_NRA_model_for_NEMO2 (EMC Update) v0.29.4_NRA_model_for_NEMO2 (EMC Update) v0.29.5" xfId="623"/>
    <cellStyle name="%_NRA_model_for_NEMO2 (EMC Update) v0.19_NRA_model_for_NEMO2 (EMC Update) v0.29.4_NRA_model_for_NEMO2 (EMC Update) v0.29.5_NRA_model_for_NEMO2 (EMC Update) v0 30 1" xfId="624"/>
    <cellStyle name="%_NRA_model_for_NEMO2 (EMC Update) v0.19_NRA_model_for_NEMO2 (EMC Update) v0.29.5" xfId="625"/>
    <cellStyle name="%_NRA_model_for_NEMO2 (EMC Update) v0.19_NRA_model_for_NEMO2 (EMC Update) v0.29.5_NRA_model_for_NEMO2 (EMC Update) v0 30 1" xfId="626"/>
    <cellStyle name="%_NRA_model_for_NEMO2 (EMC Update) v0.19_NRA_model_for_NEMO2 (EMC Update) v0.29_NRA_model_for_NEMO2 (EMC Update) v0 30 1" xfId="627"/>
    <cellStyle name="%_NRA_model_for_NEMO2 (EMC Update) v0.19_NRA_model_for_NEMO2 (EMC Update) v0.29_NRA_model_for_NEMO2 (EMC Update) v0.29.2" xfId="628"/>
    <cellStyle name="%_NRA_model_for_NEMO2 (EMC Update) v0.19_NRA_model_for_NEMO2 (EMC Update) v0.29_NRA_model_for_NEMO2 (EMC Update) v0.29.2_NRA_model_for_NEMO2 (EMC Update) v0 30 1" xfId="629"/>
    <cellStyle name="%_NRA_model_for_NEMO2 (EMC Update) v0.19_NRA_model_for_NEMO2 (EMC Update) v0.29_NRA_model_for_NEMO2 (EMC Update) v0.29.2_NRA_model_for_NEMO2 (EMC Update) v0.29.3" xfId="630"/>
    <cellStyle name="%_NRA_model_for_NEMO2 (EMC Update) v0.19_NRA_model_for_NEMO2 (EMC Update) v0.29_NRA_model_for_NEMO2 (EMC Update) v0.29.2_NRA_model_for_NEMO2 (EMC Update) v0.29.3_NRA_model_for_NEMO2 (EMC Update) v0 30 1" xfId="631"/>
    <cellStyle name="%_NRA_model_for_NEMO2 (EMC Update) v0.19_NRA_model_for_NEMO2 (EMC Update) v0.29_NRA_model_for_NEMO2 (EMC Update) v0.29.2_NRA_model_for_NEMO2 (EMC Update) v0.29.3_NRA_model_for_NEMO2 (EMC Update) v0.29.5" xfId="632"/>
    <cellStyle name="%_NRA_model_for_NEMO2 (EMC Update) v0.19_NRA_model_for_NEMO2 (EMC Update) v0.29_NRA_model_for_NEMO2 (EMC Update) v0.29.2_NRA_model_for_NEMO2 (EMC Update) v0.29.3_NRA_model_for_NEMO2 (EMC Update) v0.29.5_NRA_model_for_NEMO2 (EMC Update) v0 30 1" xfId="633"/>
    <cellStyle name="%_NRA_model_for_NEMO2 (EMC Update) v0.19_NRA_model_for_NEMO2 (EMC Update) v0.29_NRA_model_for_NEMO2 (EMC Update) v0.29.2_NRA_model_for_NEMO2 (EMC Update) v0.29.4" xfId="634"/>
    <cellStyle name="%_NRA_model_for_NEMO2 (EMC Update) v0.19_NRA_model_for_NEMO2 (EMC Update) v0.29_NRA_model_for_NEMO2 (EMC Update) v0.29.2_NRA_model_for_NEMO2 (EMC Update) v0.29.4_NRA_model_for_NEMO2 (EMC Update) v0 30 1" xfId="635"/>
    <cellStyle name="%_NRA_model_for_NEMO2 (EMC Update) v0.19_NRA_model_for_NEMO2 (EMC Update) v0.29_NRA_model_for_NEMO2 (EMC Update) v0.29.2_NRA_model_for_NEMO2 (EMC Update) v0.29.4_NRA_model_for_NEMO2 (EMC Update) v0.29.5" xfId="636"/>
    <cellStyle name="%_NRA_model_for_NEMO2 (EMC Update) v0.19_NRA_model_for_NEMO2 (EMC Update) v0.29_NRA_model_for_NEMO2 (EMC Update) v0.29.2_NRA_model_for_NEMO2 (EMC Update) v0.29.4_NRA_model_for_NEMO2 (EMC Update) v0.29.5_NRA_model_for_NEMO2 (EMC Update) v0 30 1" xfId="637"/>
    <cellStyle name="%_NRA_model_for_NEMO2 (EMC Update) v0.19_NRA_model_for_NEMO2 (EMC Update) v0.29_NRA_model_for_NEMO2 (EMC Update) v0.29.2_NRA_model_for_NEMO2 (EMC Update) v0.29.5" xfId="638"/>
    <cellStyle name="%_NRA_model_for_NEMO2 (EMC Update) v0.19_NRA_model_for_NEMO2 (EMC Update) v0.29_NRA_model_for_NEMO2 (EMC Update) v0.29.2_NRA_model_for_NEMO2 (EMC Update) v0.29.5_NRA_model_for_NEMO2 (EMC Update) v0 30 1" xfId="639"/>
    <cellStyle name="%_NRA_model_for_NEMO2 (EMC Update) v0.19_NRA_model_for_NEMO2 (EMC Update) v0.29_NRA_model_for_NEMO2 (EMC Update) v0.29.3" xfId="640"/>
    <cellStyle name="%_NRA_model_for_NEMO2 (EMC Update) v0.19_NRA_model_for_NEMO2 (EMC Update) v0.29_NRA_model_for_NEMO2 (EMC Update) v0.29.3_NRA_model_for_NEMO2 (EMC Update) v0 30 1" xfId="641"/>
    <cellStyle name="%_NRA_model_for_NEMO2 (EMC Update) v0.19_NRA_model_for_NEMO2 (EMC Update) v0.29_NRA_model_for_NEMO2 (EMC Update) v0.29.3_NRA_model_for_NEMO2 (EMC Update) v0.29.5" xfId="642"/>
    <cellStyle name="%_NRA_model_for_NEMO2 (EMC Update) v0.19_NRA_model_for_NEMO2 (EMC Update) v0.29_NRA_model_for_NEMO2 (EMC Update) v0.29.3_NRA_model_for_NEMO2 (EMC Update) v0.29.5_NRA_model_for_NEMO2 (EMC Update) v0 30 1" xfId="643"/>
    <cellStyle name="%_NRA_model_for_NEMO2 (EMC Update) v0.19_NRA_model_for_NEMO2 (EMC Update) v0.29_NRA_model_for_NEMO2 (EMC Update) v0.29.4" xfId="644"/>
    <cellStyle name="%_NRA_model_for_NEMO2 (EMC Update) v0.19_NRA_model_for_NEMO2 (EMC Update) v0.29_NRA_model_for_NEMO2 (EMC Update) v0.29.4_NRA_model_for_NEMO2 (EMC Update) v0 30 1" xfId="645"/>
    <cellStyle name="%_NRA_model_for_NEMO2 (EMC Update) v0.19_NRA_model_for_NEMO2 (EMC Update) v0.29_NRA_model_for_NEMO2 (EMC Update) v0.29.4_NRA_model_for_NEMO2 (EMC Update) v0.29.5" xfId="646"/>
    <cellStyle name="%_NRA_model_for_NEMO2 (EMC Update) v0.19_NRA_model_for_NEMO2 (EMC Update) v0.29_NRA_model_for_NEMO2 (EMC Update) v0.29.4_NRA_model_for_NEMO2 (EMC Update) v0.29.5_NRA_model_for_NEMO2 (EMC Update) v0 30 1" xfId="647"/>
    <cellStyle name="%_NRA_model_for_NEMO2 (EMC Update) v0.19_NRA_model_for_NEMO2 (EMC Update) v0.29_NRA_model_for_NEMO2 (EMC Update) v0.29.5" xfId="648"/>
    <cellStyle name="%_NRA_model_for_NEMO2 (EMC Update) v0.19_NRA_model_for_NEMO2 (EMC Update) v0.29_NRA_model_for_NEMO2 (EMC Update) v0.29.5_NRA_model_for_NEMO2 (EMC Update) v0 30 1" xfId="649"/>
    <cellStyle name="%_NRA_model_for_NEMO2 (EMC Update) v0.20" xfId="650"/>
    <cellStyle name="%_NRA_model_for_NEMO2 (EMC Update) v0.20_NRA_model_for_NEMO2 (EMC Update) v0 30 1" xfId="651"/>
    <cellStyle name="%_NRA_model_for_NEMO2 (EMC Update) v0.20_NRA_model_for_NEMO2 (EMC Update) v0.21" xfId="652"/>
    <cellStyle name="%_NRA_model_for_NEMO2 (EMC Update) v0.20_NRA_model_for_NEMO2 (EMC Update) v0.21_NRA_model_for_NEMO2 (EMC Update) v0 30 1" xfId="653"/>
    <cellStyle name="%_NRA_model_for_NEMO2 (EMC Update) v0.20_NRA_model_for_NEMO2 (EMC Update) v0.21_NRA_model_for_NEMO2 (EMC Update) v0.22" xfId="654"/>
    <cellStyle name="%_NRA_model_for_NEMO2 (EMC Update) v0.20_NRA_model_for_NEMO2 (EMC Update) v0.21_NRA_model_for_NEMO2 (EMC Update) v0.22_NRA_model_for_NEMO2 (EMC Update) v0 30 1" xfId="655"/>
    <cellStyle name="%_NRA_model_for_NEMO2 (EMC Update) v0.20_NRA_model_for_NEMO2 (EMC Update) v0.21_NRA_model_for_NEMO2 (EMC Update) v0.22_NRA_model_for_NEMO2 (EMC Update) v0.25" xfId="656"/>
    <cellStyle name="%_NRA_model_for_NEMO2 (EMC Update) v0.20_NRA_model_for_NEMO2 (EMC Update) v0.21_NRA_model_for_NEMO2 (EMC Update) v0.22_NRA_model_for_NEMO2 (EMC Update) v0.25_NRA_model_for_NEMO2 (EMC Update) v0 30 1" xfId="657"/>
    <cellStyle name="%_NRA_model_for_NEMO2 (EMC Update) v0.20_NRA_model_for_NEMO2 (EMC Update) v0.21_NRA_model_for_NEMO2 (EMC Update) v0.22_NRA_model_for_NEMO2 (EMC Update) v0.25_NRA_model_for_NEMO2 (EMC Update) v0.26" xfId="658"/>
    <cellStyle name="%_NRA_model_for_NEMO2 (EMC Update) v0.20_NRA_model_for_NEMO2 (EMC Update) v0.21_NRA_model_for_NEMO2 (EMC Update) v0.22_NRA_model_for_NEMO2 (EMC Update) v0.25_NRA_model_for_NEMO2 (EMC Update) v0.26_NRA_model_for_NEMO2 (EMC Update) v0 30 1" xfId="659"/>
    <cellStyle name="%_NRA_model_for_NEMO2 (EMC Update) v0.20_NRA_model_for_NEMO2 (EMC Update) v0.21_NRA_model_for_NEMO2 (EMC Update) v0.22_NRA_model_for_NEMO2 (EMC Update) v0.25_NRA_model_for_NEMO2 (EMC Update) v0.26_NRA_model_for_NEMO2 (EMC Update) v0.29" xfId="660"/>
    <cellStyle name="%_NRA_model_for_NEMO2 (EMC Update) v0.20_NRA_model_for_NEMO2 (EMC Update) v0.21_NRA_model_for_NEMO2 (EMC Update) v0.22_NRA_model_for_NEMO2 (EMC Update) v0.25_NRA_model_for_NEMO2 (EMC Update) v0.26_NRA_model_for_NEMO2 (EMC Update) v0.29.2" xfId="661"/>
    <cellStyle name="%_NRA_model_for_NEMO2 (EMC Update) v0.20_NRA_model_for_NEMO2 (EMC Update) v0.21_NRA_model_for_NEMO2 (EMC Update) v0.22_NRA_model_for_NEMO2 (EMC Update) v0.25_NRA_model_for_NEMO2 (EMC Update) v0.26_NRA_model_for_NEMO2 (EMC Update) v0.29.3" xfId="662"/>
    <cellStyle name="%_NRA_model_for_NEMO2 (EMC Update) v0.20_NRA_model_for_NEMO2 (EMC Update) v0.21_NRA_model_for_NEMO2 (EMC Update) v0.22_NRA_model_for_NEMO2 (EMC Update) v0.25_NRA_model_for_NEMO2 (EMC Update) v0.26_NRA_model_for_NEMO2 (EMC Update) v0.29.4" xfId="663"/>
    <cellStyle name="%_NRA_model_for_NEMO2 (EMC Update) v0.20_NRA_model_for_NEMO2 (EMC Update) v0.21_NRA_model_for_NEMO2 (EMC Update) v0.22_NRA_model_for_NEMO2 (EMC Update) v0.25_NRA_model_for_NEMO2 (EMC Update) v0.26_NRA_model_for_NEMO2 (EMC Update) v0.29.5" xfId="664"/>
    <cellStyle name="%_NRA_model_for_NEMO2 (EMC Update) v0.20_NRA_model_for_NEMO2 (EMC Update) v0.21_NRA_model_for_NEMO2 (EMC Update) v0.22_NRA_model_for_NEMO2 (EMC Update) v0.25_NRA_model_for_NEMO2 (EMC Update) v0.29" xfId="665"/>
    <cellStyle name="%_NRA_model_for_NEMO2 (EMC Update) v0.20_NRA_model_for_NEMO2 (EMC Update) v0.21_NRA_model_for_NEMO2 (EMC Update) v0.22_NRA_model_for_NEMO2 (EMC Update) v0.25_NRA_model_for_NEMO2 (EMC Update) v0.29.2" xfId="666"/>
    <cellStyle name="%_NRA_model_for_NEMO2 (EMC Update) v0.20_NRA_model_for_NEMO2 (EMC Update) v0.21_NRA_model_for_NEMO2 (EMC Update) v0.22_NRA_model_for_NEMO2 (EMC Update) v0.25_NRA_model_for_NEMO2 (EMC Update) v0.29.2_NRA_model_for_NEMO2 (EMC Update) v0 30 1" xfId="667"/>
    <cellStyle name="%_NRA_model_for_NEMO2 (EMC Update) v0.20_NRA_model_for_NEMO2 (EMC Update) v0.21_NRA_model_for_NEMO2 (EMC Update) v0.22_NRA_model_for_NEMO2 (EMC Update) v0.25_NRA_model_for_NEMO2 (EMC Update) v0.29.2_NRA_model_for_NEMO2 (EMC Update) v0.29.3" xfId="668"/>
    <cellStyle name="%_NRA_model_for_NEMO2 (EMC Update) v0.20_NRA_model_for_NEMO2 (EMC Update) v0.21_NRA_model_for_NEMO2 (EMC Update) v0.22_NRA_model_for_NEMO2 (EMC Update) v0.25_NRA_model_for_NEMO2 (EMC Update) v0.29.2_NRA_model_for_NEMO2 (EMC Update) v0.29.4" xfId="669"/>
    <cellStyle name="%_NRA_model_for_NEMO2 (EMC Update) v0.20_NRA_model_for_NEMO2 (EMC Update) v0.21_NRA_model_for_NEMO2 (EMC Update) v0.22_NRA_model_for_NEMO2 (EMC Update) v0.25_NRA_model_for_NEMO2 (EMC Update) v0.29.2_NRA_model_for_NEMO2 (EMC Update) v0.29.5" xfId="670"/>
    <cellStyle name="%_NRA_model_for_NEMO2 (EMC Update) v0.20_NRA_model_for_NEMO2 (EMC Update) v0.21_NRA_model_for_NEMO2 (EMC Update) v0.22_NRA_model_for_NEMO2 (EMC Update) v0.25_NRA_model_for_NEMO2 (EMC Update) v0.29.3" xfId="671"/>
    <cellStyle name="%_NRA_model_for_NEMO2 (EMC Update) v0.20_NRA_model_for_NEMO2 (EMC Update) v0.21_NRA_model_for_NEMO2 (EMC Update) v0.22_NRA_model_for_NEMO2 (EMC Update) v0.25_NRA_model_for_NEMO2 (EMC Update) v0.29.3_NRA_model_for_NEMO2 (EMC Update) v0 30 1" xfId="672"/>
    <cellStyle name="%_NRA_model_for_NEMO2 (EMC Update) v0.20_NRA_model_for_NEMO2 (EMC Update) v0.21_NRA_model_for_NEMO2 (EMC Update) v0.22_NRA_model_for_NEMO2 (EMC Update) v0.25_NRA_model_for_NEMO2 (EMC Update) v0.29.3_NRA_model_for_NEMO2 (EMC Update) v0.29.5" xfId="673"/>
    <cellStyle name="%_NRA_model_for_NEMO2 (EMC Update) v0.20_NRA_model_for_NEMO2 (EMC Update) v0.21_NRA_model_for_NEMO2 (EMC Update) v0.22_NRA_model_for_NEMO2 (EMC Update) v0.25_NRA_model_for_NEMO2 (EMC Update) v0.29.4" xfId="674"/>
    <cellStyle name="%_NRA_model_for_NEMO2 (EMC Update) v0.20_NRA_model_for_NEMO2 (EMC Update) v0.21_NRA_model_for_NEMO2 (EMC Update) v0.22_NRA_model_for_NEMO2 (EMC Update) v0.25_NRA_model_for_NEMO2 (EMC Update) v0.29.4_NRA_model_for_NEMO2 (EMC Update) v0 30 1" xfId="675"/>
    <cellStyle name="%_NRA_model_for_NEMO2 (EMC Update) v0.20_NRA_model_for_NEMO2 (EMC Update) v0.21_NRA_model_for_NEMO2 (EMC Update) v0.22_NRA_model_for_NEMO2 (EMC Update) v0.25_NRA_model_for_NEMO2 (EMC Update) v0.29.4_NRA_model_for_NEMO2 (EMC Update) v0.29.5" xfId="676"/>
    <cellStyle name="%_NRA_model_for_NEMO2 (EMC Update) v0.20_NRA_model_for_NEMO2 (EMC Update) v0.21_NRA_model_for_NEMO2 (EMC Update) v0.22_NRA_model_for_NEMO2 (EMC Update) v0.25_NRA_model_for_NEMO2 (EMC Update) v0.29.5" xfId="677"/>
    <cellStyle name="%_NRA_model_for_NEMO2 (EMC Update) v0.20_NRA_model_for_NEMO2 (EMC Update) v0.21_NRA_model_for_NEMO2 (EMC Update) v0.22_NRA_model_for_NEMO2 (EMC Update) v0.25_NRA_model_for_NEMO2 (EMC Update) v0.29.5_NRA_model_for_NEMO2 (EMC Update) v0 30 1" xfId="678"/>
    <cellStyle name="%_NRA_model_for_NEMO2 (EMC Update) v0.20_NRA_model_for_NEMO2 (EMC Update) v0.21_NRA_model_for_NEMO2 (EMC Update) v0.22_NRA_model_for_NEMO2 (EMC Update) v0.25_NRA_model_for_NEMO2 (EMC Update) v0.29_NRA_model_for_NEMO2 (EMC Update) v0 30 1" xfId="679"/>
    <cellStyle name="%_NRA_model_for_NEMO2 (EMC Update) v0.20_NRA_model_for_NEMO2 (EMC Update) v0.21_NRA_model_for_NEMO2 (EMC Update) v0.22_NRA_model_for_NEMO2 (EMC Update) v0.25_NRA_model_for_NEMO2 (EMC Update) v0.29_NRA_model_for_NEMO2 (EMC Update) v0.29.2" xfId="680"/>
    <cellStyle name="%_NRA_model_for_NEMO2 (EMC Update) v0.20_NRA_model_for_NEMO2 (EMC Update) v0.21_NRA_model_for_NEMO2 (EMC Update) v0.22_NRA_model_for_NEMO2 (EMC Update) v0.25_NRA_model_for_NEMO2 (EMC Update) v0.29_NRA_model_for_NEMO2 (EMC Update) v0.29.3" xfId="681"/>
    <cellStyle name="%_NRA_model_for_NEMO2 (EMC Update) v0.20_NRA_model_for_NEMO2 (EMC Update) v0.21_NRA_model_for_NEMO2 (EMC Update) v0.22_NRA_model_for_NEMO2 (EMC Update) v0.25_NRA_model_for_NEMO2 (EMC Update) v0.29_NRA_model_for_NEMO2 (EMC Update) v0.29.4" xfId="682"/>
    <cellStyle name="%_NRA_model_for_NEMO2 (EMC Update) v0.20_NRA_model_for_NEMO2 (EMC Update) v0.21_NRA_model_for_NEMO2 (EMC Update) v0.22_NRA_model_for_NEMO2 (EMC Update) v0.25_NRA_model_for_NEMO2 (EMC Update) v0.29_NRA_model_for_NEMO2 (EMC Update) v0.29.5" xfId="683"/>
    <cellStyle name="%_NRA_model_for_NEMO2 (EMC Update) v0.20_NRA_model_for_NEMO2 (EMC Update) v0.21_NRA_model_for_NEMO2 (EMC Update) v0.22_NRA_model_for_NEMO2 (EMC Update) v0.26" xfId="684"/>
    <cellStyle name="%_NRA_model_for_NEMO2 (EMC Update) v0.20_NRA_model_for_NEMO2 (EMC Update) v0.21_NRA_model_for_NEMO2 (EMC Update) v0.22_NRA_model_for_NEMO2 (EMC Update) v0.26_NRA_model_for_NEMO2 (EMC Update) v0 30 1" xfId="685"/>
    <cellStyle name="%_NRA_model_for_NEMO2 (EMC Update) v0.20_NRA_model_for_NEMO2 (EMC Update) v0.21_NRA_model_for_NEMO2 (EMC Update) v0.22_NRA_model_for_NEMO2 (EMC Update) v0.26_NRA_model_for_NEMO2 (EMC Update) v0.29" xfId="686"/>
    <cellStyle name="%_NRA_model_for_NEMO2 (EMC Update) v0.20_NRA_model_for_NEMO2 (EMC Update) v0.21_NRA_model_for_NEMO2 (EMC Update) v0.22_NRA_model_for_NEMO2 (EMC Update) v0.26_NRA_model_for_NEMO2 (EMC Update) v0.29.2" xfId="687"/>
    <cellStyle name="%_NRA_model_for_NEMO2 (EMC Update) v0.20_NRA_model_for_NEMO2 (EMC Update) v0.21_NRA_model_for_NEMO2 (EMC Update) v0.22_NRA_model_for_NEMO2 (EMC Update) v0.26_NRA_model_for_NEMO2 (EMC Update) v0.29.2_NRA_model_for_NEMO2 (EMC Update) v0 30 1" xfId="688"/>
    <cellStyle name="%_NRA_model_for_NEMO2 (EMC Update) v0.20_NRA_model_for_NEMO2 (EMC Update) v0.21_NRA_model_for_NEMO2 (EMC Update) v0.22_NRA_model_for_NEMO2 (EMC Update) v0.26_NRA_model_for_NEMO2 (EMC Update) v0.29.2_NRA_model_for_NEMO2 (EMC Update) v0.29.3" xfId="689"/>
    <cellStyle name="%_NRA_model_for_NEMO2 (EMC Update) v0.20_NRA_model_for_NEMO2 (EMC Update) v0.21_NRA_model_for_NEMO2 (EMC Update) v0.22_NRA_model_for_NEMO2 (EMC Update) v0.26_NRA_model_for_NEMO2 (EMC Update) v0.29.2_NRA_model_for_NEMO2 (EMC Update) v0.29.4" xfId="690"/>
    <cellStyle name="%_NRA_model_for_NEMO2 (EMC Update) v0.20_NRA_model_for_NEMO2 (EMC Update) v0.21_NRA_model_for_NEMO2 (EMC Update) v0.22_NRA_model_for_NEMO2 (EMC Update) v0.26_NRA_model_for_NEMO2 (EMC Update) v0.29.2_NRA_model_for_NEMO2 (EMC Update) v0.29.5" xfId="691"/>
    <cellStyle name="%_NRA_model_for_NEMO2 (EMC Update) v0.20_NRA_model_for_NEMO2 (EMC Update) v0.21_NRA_model_for_NEMO2 (EMC Update) v0.22_NRA_model_for_NEMO2 (EMC Update) v0.26_NRA_model_for_NEMO2 (EMC Update) v0.29.3" xfId="692"/>
    <cellStyle name="%_NRA_model_for_NEMO2 (EMC Update) v0.20_NRA_model_for_NEMO2 (EMC Update) v0.21_NRA_model_for_NEMO2 (EMC Update) v0.22_NRA_model_for_NEMO2 (EMC Update) v0.26_NRA_model_for_NEMO2 (EMC Update) v0.29.3_NRA_model_for_NEMO2 (EMC Update) v0 30 1" xfId="693"/>
    <cellStyle name="%_NRA_model_for_NEMO2 (EMC Update) v0.20_NRA_model_for_NEMO2 (EMC Update) v0.21_NRA_model_for_NEMO2 (EMC Update) v0.22_NRA_model_for_NEMO2 (EMC Update) v0.26_NRA_model_for_NEMO2 (EMC Update) v0.29.3_NRA_model_for_NEMO2 (EMC Update) v0.29.5" xfId="694"/>
    <cellStyle name="%_NRA_model_for_NEMO2 (EMC Update) v0.20_NRA_model_for_NEMO2 (EMC Update) v0.21_NRA_model_for_NEMO2 (EMC Update) v0.22_NRA_model_for_NEMO2 (EMC Update) v0.26_NRA_model_for_NEMO2 (EMC Update) v0.29.4" xfId="695"/>
    <cellStyle name="%_NRA_model_for_NEMO2 (EMC Update) v0.20_NRA_model_for_NEMO2 (EMC Update) v0.21_NRA_model_for_NEMO2 (EMC Update) v0.22_NRA_model_for_NEMO2 (EMC Update) v0.26_NRA_model_for_NEMO2 (EMC Update) v0.29.4_NRA_model_for_NEMO2 (EMC Update) v0 30 1" xfId="696"/>
    <cellStyle name="%_NRA_model_for_NEMO2 (EMC Update) v0.20_NRA_model_for_NEMO2 (EMC Update) v0.21_NRA_model_for_NEMO2 (EMC Update) v0.22_NRA_model_for_NEMO2 (EMC Update) v0.26_NRA_model_for_NEMO2 (EMC Update) v0.29.4_NRA_model_for_NEMO2 (EMC Update) v0.29.5" xfId="697"/>
    <cellStyle name="%_NRA_model_for_NEMO2 (EMC Update) v0.20_NRA_model_for_NEMO2 (EMC Update) v0.21_NRA_model_for_NEMO2 (EMC Update) v0.22_NRA_model_for_NEMO2 (EMC Update) v0.26_NRA_model_for_NEMO2 (EMC Update) v0.29.5" xfId="698"/>
    <cellStyle name="%_NRA_model_for_NEMO2 (EMC Update) v0.20_NRA_model_for_NEMO2 (EMC Update) v0.21_NRA_model_for_NEMO2 (EMC Update) v0.22_NRA_model_for_NEMO2 (EMC Update) v0.26_NRA_model_for_NEMO2 (EMC Update) v0.29.5_NRA_model_for_NEMO2 (EMC Update) v0 30 1" xfId="699"/>
    <cellStyle name="%_NRA_model_for_NEMO2 (EMC Update) v0.20_NRA_model_for_NEMO2 (EMC Update) v0.21_NRA_model_for_NEMO2 (EMC Update) v0.22_NRA_model_for_NEMO2 (EMC Update) v0.26_NRA_model_for_NEMO2 (EMC Update) v0.29_NRA_model_for_NEMO2 (EMC Update) v0 30 1" xfId="700"/>
    <cellStyle name="%_NRA_model_for_NEMO2 (EMC Update) v0.20_NRA_model_for_NEMO2 (EMC Update) v0.21_NRA_model_for_NEMO2 (EMC Update) v0.22_NRA_model_for_NEMO2 (EMC Update) v0.26_NRA_model_for_NEMO2 (EMC Update) v0.29_NRA_model_for_NEMO2 (EMC Update) v0.29.2" xfId="701"/>
    <cellStyle name="%_NRA_model_for_NEMO2 (EMC Update) v0.20_NRA_model_for_NEMO2 (EMC Update) v0.21_NRA_model_for_NEMO2 (EMC Update) v0.22_NRA_model_for_NEMO2 (EMC Update) v0.26_NRA_model_for_NEMO2 (EMC Update) v0.29_NRA_model_for_NEMO2 (EMC Update) v0.29.3" xfId="702"/>
    <cellStyle name="%_NRA_model_for_NEMO2 (EMC Update) v0.20_NRA_model_for_NEMO2 (EMC Update) v0.21_NRA_model_for_NEMO2 (EMC Update) v0.22_NRA_model_for_NEMO2 (EMC Update) v0.26_NRA_model_for_NEMO2 (EMC Update) v0.29_NRA_model_for_NEMO2 (EMC Update) v0.29.4" xfId="703"/>
    <cellStyle name="%_NRA_model_for_NEMO2 (EMC Update) v0.20_NRA_model_for_NEMO2 (EMC Update) v0.21_NRA_model_for_NEMO2 (EMC Update) v0.22_NRA_model_for_NEMO2 (EMC Update) v0.26_NRA_model_for_NEMO2 (EMC Update) v0.29_NRA_model_for_NEMO2 (EMC Update) v0.29.5" xfId="704"/>
    <cellStyle name="%_NRA_model_for_NEMO2 (EMC Update) v0.20_NRA_model_for_NEMO2 (EMC Update) v0.21_NRA_model_for_NEMO2 (EMC Update) v0.22_NRA_model_for_NEMO2 (EMC Update) v0.29" xfId="705"/>
    <cellStyle name="%_NRA_model_for_NEMO2 (EMC Update) v0.20_NRA_model_for_NEMO2 (EMC Update) v0.21_NRA_model_for_NEMO2 (EMC Update) v0.22_NRA_model_for_NEMO2 (EMC Update) v0.29.2" xfId="706"/>
    <cellStyle name="%_NRA_model_for_NEMO2 (EMC Update) v0.20_NRA_model_for_NEMO2 (EMC Update) v0.21_NRA_model_for_NEMO2 (EMC Update) v0.22_NRA_model_for_NEMO2 (EMC Update) v0.29.2_NRA_model_for_NEMO2 (EMC Update) v0 30 1" xfId="707"/>
    <cellStyle name="%_NRA_model_for_NEMO2 (EMC Update) v0.20_NRA_model_for_NEMO2 (EMC Update) v0.21_NRA_model_for_NEMO2 (EMC Update) v0.22_NRA_model_for_NEMO2 (EMC Update) v0.29.2_NRA_model_for_NEMO2 (EMC Update) v0.29.3" xfId="708"/>
    <cellStyle name="%_NRA_model_for_NEMO2 (EMC Update) v0.20_NRA_model_for_NEMO2 (EMC Update) v0.21_NRA_model_for_NEMO2 (EMC Update) v0.22_NRA_model_for_NEMO2 (EMC Update) v0.29.2_NRA_model_for_NEMO2 (EMC Update) v0.29.3_NRA_model_for_NEMO2 (EMC Update) v0 30 1" xfId="709"/>
    <cellStyle name="%_NRA_model_for_NEMO2 (EMC Update) v0.20_NRA_model_for_NEMO2 (EMC Update) v0.21_NRA_model_for_NEMO2 (EMC Update) v0.22_NRA_model_for_NEMO2 (EMC Update) v0.29.2_NRA_model_for_NEMO2 (EMC Update) v0.29.3_NRA_model_for_NEMO2 (EMC Update) v0.29.5" xfId="710"/>
    <cellStyle name="%_NRA_model_for_NEMO2 (EMC Update) v0.20_NRA_model_for_NEMO2 (EMC Update) v0.21_NRA_model_for_NEMO2 (EMC Update) v0.22_NRA_model_for_NEMO2 (EMC Update) v0.29.2_NRA_model_for_NEMO2 (EMC Update) v0.29.4" xfId="711"/>
    <cellStyle name="%_NRA_model_for_NEMO2 (EMC Update) v0.20_NRA_model_for_NEMO2 (EMC Update) v0.21_NRA_model_for_NEMO2 (EMC Update) v0.22_NRA_model_for_NEMO2 (EMC Update) v0.29.2_NRA_model_for_NEMO2 (EMC Update) v0.29.4_NRA_model_for_NEMO2 (EMC Update) v0 30 1" xfId="712"/>
    <cellStyle name="%_NRA_model_for_NEMO2 (EMC Update) v0.20_NRA_model_for_NEMO2 (EMC Update) v0.21_NRA_model_for_NEMO2 (EMC Update) v0.22_NRA_model_for_NEMO2 (EMC Update) v0.29.2_NRA_model_for_NEMO2 (EMC Update) v0.29.4_NRA_model_for_NEMO2 (EMC Update) v0.29.5" xfId="713"/>
    <cellStyle name="%_NRA_model_for_NEMO2 (EMC Update) v0.20_NRA_model_for_NEMO2 (EMC Update) v0.21_NRA_model_for_NEMO2 (EMC Update) v0.22_NRA_model_for_NEMO2 (EMC Update) v0.29.2_NRA_model_for_NEMO2 (EMC Update) v0.29.5" xfId="714"/>
    <cellStyle name="%_NRA_model_for_NEMO2 (EMC Update) v0.20_NRA_model_for_NEMO2 (EMC Update) v0.21_NRA_model_for_NEMO2 (EMC Update) v0.22_NRA_model_for_NEMO2 (EMC Update) v0.29.2_NRA_model_for_NEMO2 (EMC Update) v0.29.5_NRA_model_for_NEMO2 (EMC Update) v0 30 1" xfId="715"/>
    <cellStyle name="%_NRA_model_for_NEMO2 (EMC Update) v0.20_NRA_model_for_NEMO2 (EMC Update) v0.21_NRA_model_for_NEMO2 (EMC Update) v0.22_NRA_model_for_NEMO2 (EMC Update) v0.29.3" xfId="716"/>
    <cellStyle name="%_NRA_model_for_NEMO2 (EMC Update) v0.20_NRA_model_for_NEMO2 (EMC Update) v0.21_NRA_model_for_NEMO2 (EMC Update) v0.22_NRA_model_for_NEMO2 (EMC Update) v0.29.3_NRA_model_for_NEMO2 (EMC Update) v0 30 1" xfId="717"/>
    <cellStyle name="%_NRA_model_for_NEMO2 (EMC Update) v0.20_NRA_model_for_NEMO2 (EMC Update) v0.21_NRA_model_for_NEMO2 (EMC Update) v0.22_NRA_model_for_NEMO2 (EMC Update) v0.29.3_NRA_model_for_NEMO2 (EMC Update) v0.29.5" xfId="718"/>
    <cellStyle name="%_NRA_model_for_NEMO2 (EMC Update) v0.20_NRA_model_for_NEMO2 (EMC Update) v0.21_NRA_model_for_NEMO2 (EMC Update) v0.22_NRA_model_for_NEMO2 (EMC Update) v0.29.3_NRA_model_for_NEMO2 (EMC Update) v0.29.5_NRA_model_for_NEMO2 (EMC Update) v0 30 1" xfId="719"/>
    <cellStyle name="%_NRA_model_for_NEMO2 (EMC Update) v0.20_NRA_model_for_NEMO2 (EMC Update) v0.21_NRA_model_for_NEMO2 (EMC Update) v0.22_NRA_model_for_NEMO2 (EMC Update) v0.29.4" xfId="720"/>
    <cellStyle name="%_NRA_model_for_NEMO2 (EMC Update) v0.20_NRA_model_for_NEMO2 (EMC Update) v0.21_NRA_model_for_NEMO2 (EMC Update) v0.22_NRA_model_for_NEMO2 (EMC Update) v0.29.4_NRA_model_for_NEMO2 (EMC Update) v0 30 1" xfId="721"/>
    <cellStyle name="%_NRA_model_for_NEMO2 (EMC Update) v0.20_NRA_model_for_NEMO2 (EMC Update) v0.21_NRA_model_for_NEMO2 (EMC Update) v0.22_NRA_model_for_NEMO2 (EMC Update) v0.29.4_NRA_model_for_NEMO2 (EMC Update) v0.29.5" xfId="722"/>
    <cellStyle name="%_NRA_model_for_NEMO2 (EMC Update) v0.20_NRA_model_for_NEMO2 (EMC Update) v0.21_NRA_model_for_NEMO2 (EMC Update) v0.22_NRA_model_for_NEMO2 (EMC Update) v0.29.4_NRA_model_for_NEMO2 (EMC Update) v0.29.5_NRA_model_for_NEMO2 (EMC Update) v0 30 1" xfId="723"/>
    <cellStyle name="%_NRA_model_for_NEMO2 (EMC Update) v0.20_NRA_model_for_NEMO2 (EMC Update) v0.21_NRA_model_for_NEMO2 (EMC Update) v0.22_NRA_model_for_NEMO2 (EMC Update) v0.29.5" xfId="724"/>
    <cellStyle name="%_NRA_model_for_NEMO2 (EMC Update) v0.20_NRA_model_for_NEMO2 (EMC Update) v0.21_NRA_model_for_NEMO2 (EMC Update) v0.22_NRA_model_for_NEMO2 (EMC Update) v0.29.5_NRA_model_for_NEMO2 (EMC Update) v0 30 1" xfId="725"/>
    <cellStyle name="%_NRA_model_for_NEMO2 (EMC Update) v0.20_NRA_model_for_NEMO2 (EMC Update) v0.21_NRA_model_for_NEMO2 (EMC Update) v0.22_NRA_model_for_NEMO2 (EMC Update) v0.29_NRA_model_for_NEMO2 (EMC Update) v0 30 1" xfId="726"/>
    <cellStyle name="%_NRA_model_for_NEMO2 (EMC Update) v0.20_NRA_model_for_NEMO2 (EMC Update) v0.21_NRA_model_for_NEMO2 (EMC Update) v0.22_NRA_model_for_NEMO2 (EMC Update) v0.29_NRA_model_for_NEMO2 (EMC Update) v0.29.2" xfId="727"/>
    <cellStyle name="%_NRA_model_for_NEMO2 (EMC Update) v0.20_NRA_model_for_NEMO2 (EMC Update) v0.21_NRA_model_for_NEMO2 (EMC Update) v0.22_NRA_model_for_NEMO2 (EMC Update) v0.29_NRA_model_for_NEMO2 (EMC Update) v0.29.2_NRA_model_for_NEMO2 (EMC Update) v0 30 1" xfId="728"/>
    <cellStyle name="%_NRA_model_for_NEMO2 (EMC Update) v0.20_NRA_model_for_NEMO2 (EMC Update) v0.21_NRA_model_for_NEMO2 (EMC Update) v0.22_NRA_model_for_NEMO2 (EMC Update) v0.29_NRA_model_for_NEMO2 (EMC Update) v0.29.2_NRA_model_for_NEMO2 (EMC Update) v0.29.3" xfId="729"/>
    <cellStyle name="%_NRA_model_for_NEMO2 (EMC Update) v0.20_NRA_model_for_NEMO2 (EMC Update) v0.21_NRA_model_for_NEMO2 (EMC Update) v0.22_NRA_model_for_NEMO2 (EMC Update) v0.29_NRA_model_for_NEMO2 (EMC Update) v0.29.2_NRA_model_for_NEMO2 (EMC Update) v0.29.4" xfId="730"/>
    <cellStyle name="%_NRA_model_for_NEMO2 (EMC Update) v0.20_NRA_model_for_NEMO2 (EMC Update) v0.21_NRA_model_for_NEMO2 (EMC Update) v0.22_NRA_model_for_NEMO2 (EMC Update) v0.29_NRA_model_for_NEMO2 (EMC Update) v0.29.2_NRA_model_for_NEMO2 (EMC Update) v0.29.5" xfId="731"/>
    <cellStyle name="%_NRA_model_for_NEMO2 (EMC Update) v0.20_NRA_model_for_NEMO2 (EMC Update) v0.21_NRA_model_for_NEMO2 (EMC Update) v0.22_NRA_model_for_NEMO2 (EMC Update) v0.29_NRA_model_for_NEMO2 (EMC Update) v0.29.3" xfId="732"/>
    <cellStyle name="%_NRA_model_for_NEMO2 (EMC Update) v0.20_NRA_model_for_NEMO2 (EMC Update) v0.21_NRA_model_for_NEMO2 (EMC Update) v0.22_NRA_model_for_NEMO2 (EMC Update) v0.29_NRA_model_for_NEMO2 (EMC Update) v0.29.3_NRA_model_for_NEMO2 (EMC Update) v0 30 1" xfId="733"/>
    <cellStyle name="%_NRA_model_for_NEMO2 (EMC Update) v0.20_NRA_model_for_NEMO2 (EMC Update) v0.21_NRA_model_for_NEMO2 (EMC Update) v0.22_NRA_model_for_NEMO2 (EMC Update) v0.29_NRA_model_for_NEMO2 (EMC Update) v0.29.3_NRA_model_for_NEMO2 (EMC Update) v0.29.5" xfId="734"/>
    <cellStyle name="%_NRA_model_for_NEMO2 (EMC Update) v0.20_NRA_model_for_NEMO2 (EMC Update) v0.21_NRA_model_for_NEMO2 (EMC Update) v0.22_NRA_model_for_NEMO2 (EMC Update) v0.29_NRA_model_for_NEMO2 (EMC Update) v0.29.4" xfId="735"/>
    <cellStyle name="%_NRA_model_for_NEMO2 (EMC Update) v0.20_NRA_model_for_NEMO2 (EMC Update) v0.21_NRA_model_for_NEMO2 (EMC Update) v0.22_NRA_model_for_NEMO2 (EMC Update) v0.29_NRA_model_for_NEMO2 (EMC Update) v0.29.4_NRA_model_for_NEMO2 (EMC Update) v0 30 1" xfId="736"/>
    <cellStyle name="%_NRA_model_for_NEMO2 (EMC Update) v0.20_NRA_model_for_NEMO2 (EMC Update) v0.21_NRA_model_for_NEMO2 (EMC Update) v0.22_NRA_model_for_NEMO2 (EMC Update) v0.29_NRA_model_for_NEMO2 (EMC Update) v0.29.4_NRA_model_for_NEMO2 (EMC Update) v0.29.5" xfId="737"/>
    <cellStyle name="%_NRA_model_for_NEMO2 (EMC Update) v0.20_NRA_model_for_NEMO2 (EMC Update) v0.21_NRA_model_for_NEMO2 (EMC Update) v0.22_NRA_model_for_NEMO2 (EMC Update) v0.29_NRA_model_for_NEMO2 (EMC Update) v0.29.5" xfId="738"/>
    <cellStyle name="%_NRA_model_for_NEMO2 (EMC Update) v0.20_NRA_model_for_NEMO2 (EMC Update) v0.21_NRA_model_for_NEMO2 (EMC Update) v0.22_NRA_model_for_NEMO2 (EMC Update) v0.29_NRA_model_for_NEMO2 (EMC Update) v0.29.5_NRA_model_for_NEMO2 (EMC Update) v0 30 1" xfId="739"/>
    <cellStyle name="%_NRA_model_for_NEMO2 (EMC Update) v0.20_NRA_model_for_NEMO2 (EMC Update) v0.21_NRA_model_for_NEMO2 (EMC Update) v0.25" xfId="740"/>
    <cellStyle name="%_NRA_model_for_NEMO2 (EMC Update) v0.20_NRA_model_for_NEMO2 (EMC Update) v0.21_NRA_model_for_NEMO2 (EMC Update) v0.25_NRA_model_for_NEMO2 (EMC Update) v0 30 1" xfId="741"/>
    <cellStyle name="%_NRA_model_for_NEMO2 (EMC Update) v0.20_NRA_model_for_NEMO2 (EMC Update) v0.21_NRA_model_for_NEMO2 (EMC Update) v0.25_NRA_model_for_NEMO2 (EMC Update) v0.26" xfId="742"/>
    <cellStyle name="%_NRA_model_for_NEMO2 (EMC Update) v0.20_NRA_model_for_NEMO2 (EMC Update) v0.21_NRA_model_for_NEMO2 (EMC Update) v0.25_NRA_model_for_NEMO2 (EMC Update) v0.26_NRA_model_for_NEMO2 (EMC Update) v0 30 1" xfId="743"/>
    <cellStyle name="%_NRA_model_for_NEMO2 (EMC Update) v0.20_NRA_model_for_NEMO2 (EMC Update) v0.21_NRA_model_for_NEMO2 (EMC Update) v0.25_NRA_model_for_NEMO2 (EMC Update) v0.26_NRA_model_for_NEMO2 (EMC Update) v0.29" xfId="744"/>
    <cellStyle name="%_NRA_model_for_NEMO2 (EMC Update) v0.20_NRA_model_for_NEMO2 (EMC Update) v0.21_NRA_model_for_NEMO2 (EMC Update) v0.25_NRA_model_for_NEMO2 (EMC Update) v0.26_NRA_model_for_NEMO2 (EMC Update) v0.29.2" xfId="745"/>
    <cellStyle name="%_NRA_model_for_NEMO2 (EMC Update) v0.20_NRA_model_for_NEMO2 (EMC Update) v0.21_NRA_model_for_NEMO2 (EMC Update) v0.25_NRA_model_for_NEMO2 (EMC Update) v0.26_NRA_model_for_NEMO2 (EMC Update) v0.29.2_NRA_model_for_NEMO2 (EMC Update) v0 30 1" xfId="746"/>
    <cellStyle name="%_NRA_model_for_NEMO2 (EMC Update) v0.20_NRA_model_for_NEMO2 (EMC Update) v0.21_NRA_model_for_NEMO2 (EMC Update) v0.25_NRA_model_for_NEMO2 (EMC Update) v0.26_NRA_model_for_NEMO2 (EMC Update) v0.29.2_NRA_model_for_NEMO2 (EMC Update) v0.29.3" xfId="747"/>
    <cellStyle name="%_NRA_model_for_NEMO2 (EMC Update) v0.20_NRA_model_for_NEMO2 (EMC Update) v0.21_NRA_model_for_NEMO2 (EMC Update) v0.25_NRA_model_for_NEMO2 (EMC Update) v0.26_NRA_model_for_NEMO2 (EMC Update) v0.29.2_NRA_model_for_NEMO2 (EMC Update) v0.29.4" xfId="748"/>
    <cellStyle name="%_NRA_model_for_NEMO2 (EMC Update) v0.20_NRA_model_for_NEMO2 (EMC Update) v0.21_NRA_model_for_NEMO2 (EMC Update) v0.25_NRA_model_for_NEMO2 (EMC Update) v0.26_NRA_model_for_NEMO2 (EMC Update) v0.29.2_NRA_model_for_NEMO2 (EMC Update) v0.29.5" xfId="749"/>
    <cellStyle name="%_NRA_model_for_NEMO2 (EMC Update) v0.20_NRA_model_for_NEMO2 (EMC Update) v0.21_NRA_model_for_NEMO2 (EMC Update) v0.25_NRA_model_for_NEMO2 (EMC Update) v0.26_NRA_model_for_NEMO2 (EMC Update) v0.29.3" xfId="750"/>
    <cellStyle name="%_NRA_model_for_NEMO2 (EMC Update) v0.20_NRA_model_for_NEMO2 (EMC Update) v0.21_NRA_model_for_NEMO2 (EMC Update) v0.25_NRA_model_for_NEMO2 (EMC Update) v0.26_NRA_model_for_NEMO2 (EMC Update) v0.29.3_NRA_model_for_NEMO2 (EMC Update) v0 30 1" xfId="751"/>
    <cellStyle name="%_NRA_model_for_NEMO2 (EMC Update) v0.20_NRA_model_for_NEMO2 (EMC Update) v0.21_NRA_model_for_NEMO2 (EMC Update) v0.25_NRA_model_for_NEMO2 (EMC Update) v0.26_NRA_model_for_NEMO2 (EMC Update) v0.29.3_NRA_model_for_NEMO2 (EMC Update) v0.29.5" xfId="752"/>
    <cellStyle name="%_NRA_model_for_NEMO2 (EMC Update) v0.20_NRA_model_for_NEMO2 (EMC Update) v0.21_NRA_model_for_NEMO2 (EMC Update) v0.25_NRA_model_for_NEMO2 (EMC Update) v0.26_NRA_model_for_NEMO2 (EMC Update) v0.29.4" xfId="753"/>
    <cellStyle name="%_NRA_model_for_NEMO2 (EMC Update) v0.20_NRA_model_for_NEMO2 (EMC Update) v0.21_NRA_model_for_NEMO2 (EMC Update) v0.25_NRA_model_for_NEMO2 (EMC Update) v0.26_NRA_model_for_NEMO2 (EMC Update) v0.29.4_NRA_model_for_NEMO2 (EMC Update) v0 30 1" xfId="754"/>
    <cellStyle name="%_NRA_model_for_NEMO2 (EMC Update) v0.20_NRA_model_for_NEMO2 (EMC Update) v0.21_NRA_model_for_NEMO2 (EMC Update) v0.25_NRA_model_for_NEMO2 (EMC Update) v0.26_NRA_model_for_NEMO2 (EMC Update) v0.29.4_NRA_model_for_NEMO2 (EMC Update) v0.29.5" xfId="755"/>
    <cellStyle name="%_NRA_model_for_NEMO2 (EMC Update) v0.20_NRA_model_for_NEMO2 (EMC Update) v0.21_NRA_model_for_NEMO2 (EMC Update) v0.25_NRA_model_for_NEMO2 (EMC Update) v0.26_NRA_model_for_NEMO2 (EMC Update) v0.29.5" xfId="756"/>
    <cellStyle name="%_NRA_model_for_NEMO2 (EMC Update) v0.20_NRA_model_for_NEMO2 (EMC Update) v0.21_NRA_model_for_NEMO2 (EMC Update) v0.25_NRA_model_for_NEMO2 (EMC Update) v0.26_NRA_model_for_NEMO2 (EMC Update) v0.29.5_NRA_model_for_NEMO2 (EMC Update) v0 30 1" xfId="757"/>
    <cellStyle name="%_NRA_model_for_NEMO2 (EMC Update) v0.20_NRA_model_for_NEMO2 (EMC Update) v0.21_NRA_model_for_NEMO2 (EMC Update) v0.25_NRA_model_for_NEMO2 (EMC Update) v0.26_NRA_model_for_NEMO2 (EMC Update) v0.29_NRA_model_for_NEMO2 (EMC Update) v0 30 1" xfId="758"/>
    <cellStyle name="%_NRA_model_for_NEMO2 (EMC Update) v0.20_NRA_model_for_NEMO2 (EMC Update) v0.21_NRA_model_for_NEMO2 (EMC Update) v0.25_NRA_model_for_NEMO2 (EMC Update) v0.26_NRA_model_for_NEMO2 (EMC Update) v0.29_NRA_model_for_NEMO2 (EMC Update) v0.29.2" xfId="759"/>
    <cellStyle name="%_NRA_model_for_NEMO2 (EMC Update) v0.20_NRA_model_for_NEMO2 (EMC Update) v0.21_NRA_model_for_NEMO2 (EMC Update) v0.25_NRA_model_for_NEMO2 (EMC Update) v0.26_NRA_model_for_NEMO2 (EMC Update) v0.29_NRA_model_for_NEMO2 (EMC Update) v0.29.3" xfId="760"/>
    <cellStyle name="%_NRA_model_for_NEMO2 (EMC Update) v0.20_NRA_model_for_NEMO2 (EMC Update) v0.21_NRA_model_for_NEMO2 (EMC Update) v0.25_NRA_model_for_NEMO2 (EMC Update) v0.26_NRA_model_for_NEMO2 (EMC Update) v0.29_NRA_model_for_NEMO2 (EMC Update) v0.29.4" xfId="761"/>
    <cellStyle name="%_NRA_model_for_NEMO2 (EMC Update) v0.20_NRA_model_for_NEMO2 (EMC Update) v0.21_NRA_model_for_NEMO2 (EMC Update) v0.25_NRA_model_for_NEMO2 (EMC Update) v0.26_NRA_model_for_NEMO2 (EMC Update) v0.29_NRA_model_for_NEMO2 (EMC Update) v0.29.5" xfId="762"/>
    <cellStyle name="%_NRA_model_for_NEMO2 (EMC Update) v0.20_NRA_model_for_NEMO2 (EMC Update) v0.21_NRA_model_for_NEMO2 (EMC Update) v0.25_NRA_model_for_NEMO2 (EMC Update) v0.29" xfId="763"/>
    <cellStyle name="%_NRA_model_for_NEMO2 (EMC Update) v0.20_NRA_model_for_NEMO2 (EMC Update) v0.21_NRA_model_for_NEMO2 (EMC Update) v0.25_NRA_model_for_NEMO2 (EMC Update) v0.29.2" xfId="764"/>
    <cellStyle name="%_NRA_model_for_NEMO2 (EMC Update) v0.20_NRA_model_for_NEMO2 (EMC Update) v0.21_NRA_model_for_NEMO2 (EMC Update) v0.25_NRA_model_for_NEMO2 (EMC Update) v0.29.2_NRA_model_for_NEMO2 (EMC Update) v0 30 1" xfId="765"/>
    <cellStyle name="%_NRA_model_for_NEMO2 (EMC Update) v0.20_NRA_model_for_NEMO2 (EMC Update) v0.21_NRA_model_for_NEMO2 (EMC Update) v0.25_NRA_model_for_NEMO2 (EMC Update) v0.29.2_NRA_model_for_NEMO2 (EMC Update) v0.29.3" xfId="766"/>
    <cellStyle name="%_NRA_model_for_NEMO2 (EMC Update) v0.20_NRA_model_for_NEMO2 (EMC Update) v0.21_NRA_model_for_NEMO2 (EMC Update) v0.25_NRA_model_for_NEMO2 (EMC Update) v0.29.2_NRA_model_for_NEMO2 (EMC Update) v0.29.3_NRA_model_for_NEMO2 (EMC Update) v0 30 1" xfId="767"/>
    <cellStyle name="%_NRA_model_for_NEMO2 (EMC Update) v0.20_NRA_model_for_NEMO2 (EMC Update) v0.21_NRA_model_for_NEMO2 (EMC Update) v0.25_NRA_model_for_NEMO2 (EMC Update) v0.29.2_NRA_model_for_NEMO2 (EMC Update) v0.29.3_NRA_model_for_NEMO2 (EMC Update) v0.29.5" xfId="768"/>
    <cellStyle name="%_NRA_model_for_NEMO2 (EMC Update) v0.20_NRA_model_for_NEMO2 (EMC Update) v0.21_NRA_model_for_NEMO2 (EMC Update) v0.25_NRA_model_for_NEMO2 (EMC Update) v0.29.2_NRA_model_for_NEMO2 (EMC Update) v0.29.4" xfId="769"/>
    <cellStyle name="%_NRA_model_for_NEMO2 (EMC Update) v0.20_NRA_model_for_NEMO2 (EMC Update) v0.21_NRA_model_for_NEMO2 (EMC Update) v0.25_NRA_model_for_NEMO2 (EMC Update) v0.29.2_NRA_model_for_NEMO2 (EMC Update) v0.29.4_NRA_model_for_NEMO2 (EMC Update) v0 30 1" xfId="770"/>
    <cellStyle name="%_NRA_model_for_NEMO2 (EMC Update) v0.20_NRA_model_for_NEMO2 (EMC Update) v0.21_NRA_model_for_NEMO2 (EMC Update) v0.25_NRA_model_for_NEMO2 (EMC Update) v0.29.2_NRA_model_for_NEMO2 (EMC Update) v0.29.4_NRA_model_for_NEMO2 (EMC Update) v0.29.5" xfId="771"/>
    <cellStyle name="%_NRA_model_for_NEMO2 (EMC Update) v0.20_NRA_model_for_NEMO2 (EMC Update) v0.21_NRA_model_for_NEMO2 (EMC Update) v0.25_NRA_model_for_NEMO2 (EMC Update) v0.29.2_NRA_model_for_NEMO2 (EMC Update) v0.29.5" xfId="772"/>
    <cellStyle name="%_NRA_model_for_NEMO2 (EMC Update) v0.20_NRA_model_for_NEMO2 (EMC Update) v0.21_NRA_model_for_NEMO2 (EMC Update) v0.25_NRA_model_for_NEMO2 (EMC Update) v0.29.2_NRA_model_for_NEMO2 (EMC Update) v0.29.5_NRA_model_for_NEMO2 (EMC Update) v0 30 1" xfId="773"/>
    <cellStyle name="%_NRA_model_for_NEMO2 (EMC Update) v0.20_NRA_model_for_NEMO2 (EMC Update) v0.21_NRA_model_for_NEMO2 (EMC Update) v0.25_NRA_model_for_NEMO2 (EMC Update) v0.29.3" xfId="774"/>
    <cellStyle name="%_NRA_model_for_NEMO2 (EMC Update) v0.20_NRA_model_for_NEMO2 (EMC Update) v0.21_NRA_model_for_NEMO2 (EMC Update) v0.25_NRA_model_for_NEMO2 (EMC Update) v0.29.3_NRA_model_for_NEMO2 (EMC Update) v0 30 1" xfId="775"/>
    <cellStyle name="%_NRA_model_for_NEMO2 (EMC Update) v0.20_NRA_model_for_NEMO2 (EMC Update) v0.21_NRA_model_for_NEMO2 (EMC Update) v0.25_NRA_model_for_NEMO2 (EMC Update) v0.29.3_NRA_model_for_NEMO2 (EMC Update) v0.29.5" xfId="776"/>
    <cellStyle name="%_NRA_model_for_NEMO2 (EMC Update) v0.20_NRA_model_for_NEMO2 (EMC Update) v0.21_NRA_model_for_NEMO2 (EMC Update) v0.25_NRA_model_for_NEMO2 (EMC Update) v0.29.3_NRA_model_for_NEMO2 (EMC Update) v0.29.5_NRA_model_for_NEMO2 (EMC Update) v0 30 1" xfId="777"/>
    <cellStyle name="%_NRA_model_for_NEMO2 (EMC Update) v0.20_NRA_model_for_NEMO2 (EMC Update) v0.21_NRA_model_for_NEMO2 (EMC Update) v0.25_NRA_model_for_NEMO2 (EMC Update) v0.29.4" xfId="778"/>
    <cellStyle name="%_NRA_model_for_NEMO2 (EMC Update) v0.20_NRA_model_for_NEMO2 (EMC Update) v0.21_NRA_model_for_NEMO2 (EMC Update) v0.25_NRA_model_for_NEMO2 (EMC Update) v0.29.4_NRA_model_for_NEMO2 (EMC Update) v0 30 1" xfId="779"/>
    <cellStyle name="%_NRA_model_for_NEMO2 (EMC Update) v0.20_NRA_model_for_NEMO2 (EMC Update) v0.21_NRA_model_for_NEMO2 (EMC Update) v0.25_NRA_model_for_NEMO2 (EMC Update) v0.29.4_NRA_model_for_NEMO2 (EMC Update) v0.29.5" xfId="780"/>
    <cellStyle name="%_NRA_model_for_NEMO2 (EMC Update) v0.20_NRA_model_for_NEMO2 (EMC Update) v0.21_NRA_model_for_NEMO2 (EMC Update) v0.25_NRA_model_for_NEMO2 (EMC Update) v0.29.4_NRA_model_for_NEMO2 (EMC Update) v0.29.5_NRA_model_for_NEMO2 (EMC Update) v0 30 1" xfId="781"/>
    <cellStyle name="%_NRA_model_for_NEMO2 (EMC Update) v0.20_NRA_model_for_NEMO2 (EMC Update) v0.21_NRA_model_for_NEMO2 (EMC Update) v0.25_NRA_model_for_NEMO2 (EMC Update) v0.29.5" xfId="782"/>
    <cellStyle name="%_NRA_model_for_NEMO2 (EMC Update) v0.20_NRA_model_for_NEMO2 (EMC Update) v0.21_NRA_model_for_NEMO2 (EMC Update) v0.25_NRA_model_for_NEMO2 (EMC Update) v0.29.5_NRA_model_for_NEMO2 (EMC Update) v0 30 1" xfId="783"/>
    <cellStyle name="%_NRA_model_for_NEMO2 (EMC Update) v0.20_NRA_model_for_NEMO2 (EMC Update) v0.21_NRA_model_for_NEMO2 (EMC Update) v0.25_NRA_model_for_NEMO2 (EMC Update) v0.29_NRA_model_for_NEMO2 (EMC Update) v0 30 1" xfId="784"/>
    <cellStyle name="%_NRA_model_for_NEMO2 (EMC Update) v0.20_NRA_model_for_NEMO2 (EMC Update) v0.21_NRA_model_for_NEMO2 (EMC Update) v0.25_NRA_model_for_NEMO2 (EMC Update) v0.29_NRA_model_for_NEMO2 (EMC Update) v0.29.2" xfId="785"/>
    <cellStyle name="%_NRA_model_for_NEMO2 (EMC Update) v0.20_NRA_model_for_NEMO2 (EMC Update) v0.21_NRA_model_for_NEMO2 (EMC Update) v0.25_NRA_model_for_NEMO2 (EMC Update) v0.29_NRA_model_for_NEMO2 (EMC Update) v0.29.2_NRA_model_for_NEMO2 (EMC Update) v0 30 1" xfId="786"/>
    <cellStyle name="%_NRA_model_for_NEMO2 (EMC Update) v0.20_NRA_model_for_NEMO2 (EMC Update) v0.21_NRA_model_for_NEMO2 (EMC Update) v0.25_NRA_model_for_NEMO2 (EMC Update) v0.29_NRA_model_for_NEMO2 (EMC Update) v0.29.2_NRA_model_for_NEMO2 (EMC Update) v0.29.3" xfId="787"/>
    <cellStyle name="%_NRA_model_for_NEMO2 (EMC Update) v0.20_NRA_model_for_NEMO2 (EMC Update) v0.21_NRA_model_for_NEMO2 (EMC Update) v0.25_NRA_model_for_NEMO2 (EMC Update) v0.29_NRA_model_for_NEMO2 (EMC Update) v0.29.2_NRA_model_for_NEMO2 (EMC Update) v0.29.4" xfId="788"/>
    <cellStyle name="%_NRA_model_for_NEMO2 (EMC Update) v0.20_NRA_model_for_NEMO2 (EMC Update) v0.21_NRA_model_for_NEMO2 (EMC Update) v0.25_NRA_model_for_NEMO2 (EMC Update) v0.29_NRA_model_for_NEMO2 (EMC Update) v0.29.2_NRA_model_for_NEMO2 (EMC Update) v0.29.5" xfId="789"/>
    <cellStyle name="%_NRA_model_for_NEMO2 (EMC Update) v0.20_NRA_model_for_NEMO2 (EMC Update) v0.21_NRA_model_for_NEMO2 (EMC Update) v0.25_NRA_model_for_NEMO2 (EMC Update) v0.29_NRA_model_for_NEMO2 (EMC Update) v0.29.3" xfId="790"/>
    <cellStyle name="%_NRA_model_for_NEMO2 (EMC Update) v0.20_NRA_model_for_NEMO2 (EMC Update) v0.21_NRA_model_for_NEMO2 (EMC Update) v0.25_NRA_model_for_NEMO2 (EMC Update) v0.29_NRA_model_for_NEMO2 (EMC Update) v0.29.3_NRA_model_for_NEMO2 (EMC Update) v0 30 1" xfId="791"/>
    <cellStyle name="%_NRA_model_for_NEMO2 (EMC Update) v0.20_NRA_model_for_NEMO2 (EMC Update) v0.21_NRA_model_for_NEMO2 (EMC Update) v0.25_NRA_model_for_NEMO2 (EMC Update) v0.29_NRA_model_for_NEMO2 (EMC Update) v0.29.3_NRA_model_for_NEMO2 (EMC Update) v0.29.5" xfId="792"/>
    <cellStyle name="%_NRA_model_for_NEMO2 (EMC Update) v0.20_NRA_model_for_NEMO2 (EMC Update) v0.21_NRA_model_for_NEMO2 (EMC Update) v0.25_NRA_model_for_NEMO2 (EMC Update) v0.29_NRA_model_for_NEMO2 (EMC Update) v0.29.4" xfId="793"/>
    <cellStyle name="%_NRA_model_for_NEMO2 (EMC Update) v0.20_NRA_model_for_NEMO2 (EMC Update) v0.21_NRA_model_for_NEMO2 (EMC Update) v0.25_NRA_model_for_NEMO2 (EMC Update) v0.29_NRA_model_for_NEMO2 (EMC Update) v0.29.4_NRA_model_for_NEMO2 (EMC Update) v0 30 1" xfId="794"/>
    <cellStyle name="%_NRA_model_for_NEMO2 (EMC Update) v0.20_NRA_model_for_NEMO2 (EMC Update) v0.21_NRA_model_for_NEMO2 (EMC Update) v0.25_NRA_model_for_NEMO2 (EMC Update) v0.29_NRA_model_for_NEMO2 (EMC Update) v0.29.4_NRA_model_for_NEMO2 (EMC Update) v0.29.5" xfId="795"/>
    <cellStyle name="%_NRA_model_for_NEMO2 (EMC Update) v0.20_NRA_model_for_NEMO2 (EMC Update) v0.21_NRA_model_for_NEMO2 (EMC Update) v0.25_NRA_model_for_NEMO2 (EMC Update) v0.29_NRA_model_for_NEMO2 (EMC Update) v0.29.5" xfId="796"/>
    <cellStyle name="%_NRA_model_for_NEMO2 (EMC Update) v0.20_NRA_model_for_NEMO2 (EMC Update) v0.21_NRA_model_for_NEMO2 (EMC Update) v0.25_NRA_model_for_NEMO2 (EMC Update) v0.29_NRA_model_for_NEMO2 (EMC Update) v0.29.5_NRA_model_for_NEMO2 (EMC Update) v0 30 1" xfId="797"/>
    <cellStyle name="%_NRA_model_for_NEMO2 (EMC Update) v0.20_NRA_model_for_NEMO2 (EMC Update) v0.21_NRA_model_for_NEMO2 (EMC Update) v0.26" xfId="798"/>
    <cellStyle name="%_NRA_model_for_NEMO2 (EMC Update) v0.20_NRA_model_for_NEMO2 (EMC Update) v0.21_NRA_model_for_NEMO2 (EMC Update) v0.26_NRA_model_for_NEMO2 (EMC Update) v0 30 1" xfId="799"/>
    <cellStyle name="%_NRA_model_for_NEMO2 (EMC Update) v0.20_NRA_model_for_NEMO2 (EMC Update) v0.21_NRA_model_for_NEMO2 (EMC Update) v0.26_NRA_model_for_NEMO2 (EMC Update) v0.29" xfId="800"/>
    <cellStyle name="%_NRA_model_for_NEMO2 (EMC Update) v0.20_NRA_model_for_NEMO2 (EMC Update) v0.21_NRA_model_for_NEMO2 (EMC Update) v0.26_NRA_model_for_NEMO2 (EMC Update) v0.29.2" xfId="801"/>
    <cellStyle name="%_NRA_model_for_NEMO2 (EMC Update) v0.20_NRA_model_for_NEMO2 (EMC Update) v0.21_NRA_model_for_NEMO2 (EMC Update) v0.26_NRA_model_for_NEMO2 (EMC Update) v0.29.2_NRA_model_for_NEMO2 (EMC Update) v0 30 1" xfId="802"/>
    <cellStyle name="%_NRA_model_for_NEMO2 (EMC Update) v0.20_NRA_model_for_NEMO2 (EMC Update) v0.21_NRA_model_for_NEMO2 (EMC Update) v0.26_NRA_model_for_NEMO2 (EMC Update) v0.29.2_NRA_model_for_NEMO2 (EMC Update) v0.29.3" xfId="803"/>
    <cellStyle name="%_NRA_model_for_NEMO2 (EMC Update) v0.20_NRA_model_for_NEMO2 (EMC Update) v0.21_NRA_model_for_NEMO2 (EMC Update) v0.26_NRA_model_for_NEMO2 (EMC Update) v0.29.2_NRA_model_for_NEMO2 (EMC Update) v0.29.3_NRA_model_for_NEMO2 (EMC Update) v0 30 1" xfId="804"/>
    <cellStyle name="%_NRA_model_for_NEMO2 (EMC Update) v0.20_NRA_model_for_NEMO2 (EMC Update) v0.21_NRA_model_for_NEMO2 (EMC Update) v0.26_NRA_model_for_NEMO2 (EMC Update) v0.29.2_NRA_model_for_NEMO2 (EMC Update) v0.29.3_NRA_model_for_NEMO2 (EMC Update) v0.29.5" xfId="805"/>
    <cellStyle name="%_NRA_model_for_NEMO2 (EMC Update) v0.20_NRA_model_for_NEMO2 (EMC Update) v0.21_NRA_model_for_NEMO2 (EMC Update) v0.26_NRA_model_for_NEMO2 (EMC Update) v0.29.2_NRA_model_for_NEMO2 (EMC Update) v0.29.4" xfId="806"/>
    <cellStyle name="%_NRA_model_for_NEMO2 (EMC Update) v0.20_NRA_model_for_NEMO2 (EMC Update) v0.21_NRA_model_for_NEMO2 (EMC Update) v0.26_NRA_model_for_NEMO2 (EMC Update) v0.29.2_NRA_model_for_NEMO2 (EMC Update) v0.29.4_NRA_model_for_NEMO2 (EMC Update) v0 30 1" xfId="807"/>
    <cellStyle name="%_NRA_model_for_NEMO2 (EMC Update) v0.20_NRA_model_for_NEMO2 (EMC Update) v0.21_NRA_model_for_NEMO2 (EMC Update) v0.26_NRA_model_for_NEMO2 (EMC Update) v0.29.2_NRA_model_for_NEMO2 (EMC Update) v0.29.4_NRA_model_for_NEMO2 (EMC Update) v0.29.5" xfId="808"/>
    <cellStyle name="%_NRA_model_for_NEMO2 (EMC Update) v0.20_NRA_model_for_NEMO2 (EMC Update) v0.21_NRA_model_for_NEMO2 (EMC Update) v0.26_NRA_model_for_NEMO2 (EMC Update) v0.29.2_NRA_model_for_NEMO2 (EMC Update) v0.29.5" xfId="809"/>
    <cellStyle name="%_NRA_model_for_NEMO2 (EMC Update) v0.20_NRA_model_for_NEMO2 (EMC Update) v0.21_NRA_model_for_NEMO2 (EMC Update) v0.26_NRA_model_for_NEMO2 (EMC Update) v0.29.2_NRA_model_for_NEMO2 (EMC Update) v0.29.5_NRA_model_for_NEMO2 (EMC Update) v0 30 1" xfId="810"/>
    <cellStyle name="%_NRA_model_for_NEMO2 (EMC Update) v0.20_NRA_model_for_NEMO2 (EMC Update) v0.21_NRA_model_for_NEMO2 (EMC Update) v0.26_NRA_model_for_NEMO2 (EMC Update) v0.29.3" xfId="811"/>
    <cellStyle name="%_NRA_model_for_NEMO2 (EMC Update) v0.20_NRA_model_for_NEMO2 (EMC Update) v0.21_NRA_model_for_NEMO2 (EMC Update) v0.26_NRA_model_for_NEMO2 (EMC Update) v0.29.3_NRA_model_for_NEMO2 (EMC Update) v0 30 1" xfId="812"/>
    <cellStyle name="%_NRA_model_for_NEMO2 (EMC Update) v0.20_NRA_model_for_NEMO2 (EMC Update) v0.21_NRA_model_for_NEMO2 (EMC Update) v0.26_NRA_model_for_NEMO2 (EMC Update) v0.29.3_NRA_model_for_NEMO2 (EMC Update) v0.29.5" xfId="813"/>
    <cellStyle name="%_NRA_model_for_NEMO2 (EMC Update) v0.20_NRA_model_for_NEMO2 (EMC Update) v0.21_NRA_model_for_NEMO2 (EMC Update) v0.26_NRA_model_for_NEMO2 (EMC Update) v0.29.3_NRA_model_for_NEMO2 (EMC Update) v0.29.5_NRA_model_for_NEMO2 (EMC Update) v0 30 1" xfId="814"/>
    <cellStyle name="%_NRA_model_for_NEMO2 (EMC Update) v0.20_NRA_model_for_NEMO2 (EMC Update) v0.21_NRA_model_for_NEMO2 (EMC Update) v0.26_NRA_model_for_NEMO2 (EMC Update) v0.29.4" xfId="815"/>
    <cellStyle name="%_NRA_model_for_NEMO2 (EMC Update) v0.20_NRA_model_for_NEMO2 (EMC Update) v0.21_NRA_model_for_NEMO2 (EMC Update) v0.26_NRA_model_for_NEMO2 (EMC Update) v0.29.4_NRA_model_for_NEMO2 (EMC Update) v0 30 1" xfId="816"/>
    <cellStyle name="%_NRA_model_for_NEMO2 (EMC Update) v0.20_NRA_model_for_NEMO2 (EMC Update) v0.21_NRA_model_for_NEMO2 (EMC Update) v0.26_NRA_model_for_NEMO2 (EMC Update) v0.29.4_NRA_model_for_NEMO2 (EMC Update) v0.29.5" xfId="817"/>
    <cellStyle name="%_NRA_model_for_NEMO2 (EMC Update) v0.20_NRA_model_for_NEMO2 (EMC Update) v0.21_NRA_model_for_NEMO2 (EMC Update) v0.26_NRA_model_for_NEMO2 (EMC Update) v0.29.4_NRA_model_for_NEMO2 (EMC Update) v0.29.5_NRA_model_for_NEMO2 (EMC Update) v0 30 1" xfId="818"/>
    <cellStyle name="%_NRA_model_for_NEMO2 (EMC Update) v0.20_NRA_model_for_NEMO2 (EMC Update) v0.21_NRA_model_for_NEMO2 (EMC Update) v0.26_NRA_model_for_NEMO2 (EMC Update) v0.29.5" xfId="819"/>
    <cellStyle name="%_NRA_model_for_NEMO2 (EMC Update) v0.20_NRA_model_for_NEMO2 (EMC Update) v0.21_NRA_model_for_NEMO2 (EMC Update) v0.26_NRA_model_for_NEMO2 (EMC Update) v0.29.5_NRA_model_for_NEMO2 (EMC Update) v0 30 1" xfId="820"/>
    <cellStyle name="%_NRA_model_for_NEMO2 (EMC Update) v0.20_NRA_model_for_NEMO2 (EMC Update) v0.21_NRA_model_for_NEMO2 (EMC Update) v0.26_NRA_model_for_NEMO2 (EMC Update) v0.29_NRA_model_for_NEMO2 (EMC Update) v0 30 1" xfId="821"/>
    <cellStyle name="%_NRA_model_for_NEMO2 (EMC Update) v0.20_NRA_model_for_NEMO2 (EMC Update) v0.21_NRA_model_for_NEMO2 (EMC Update) v0.26_NRA_model_for_NEMO2 (EMC Update) v0.29_NRA_model_for_NEMO2 (EMC Update) v0.29.2" xfId="822"/>
    <cellStyle name="%_NRA_model_for_NEMO2 (EMC Update) v0.20_NRA_model_for_NEMO2 (EMC Update) v0.21_NRA_model_for_NEMO2 (EMC Update) v0.26_NRA_model_for_NEMO2 (EMC Update) v0.29_NRA_model_for_NEMO2 (EMC Update) v0.29.2_NRA_model_for_NEMO2 (EMC Update) v0 30 1" xfId="823"/>
    <cellStyle name="%_NRA_model_for_NEMO2 (EMC Update) v0.20_NRA_model_for_NEMO2 (EMC Update) v0.21_NRA_model_for_NEMO2 (EMC Update) v0.26_NRA_model_for_NEMO2 (EMC Update) v0.29_NRA_model_for_NEMO2 (EMC Update) v0.29.2_NRA_model_for_NEMO2 (EMC Update) v0.29.3" xfId="824"/>
    <cellStyle name="%_NRA_model_for_NEMO2 (EMC Update) v0.20_NRA_model_for_NEMO2 (EMC Update) v0.21_NRA_model_for_NEMO2 (EMC Update) v0.26_NRA_model_for_NEMO2 (EMC Update) v0.29_NRA_model_for_NEMO2 (EMC Update) v0.29.2_NRA_model_for_NEMO2 (EMC Update) v0.29.4" xfId="825"/>
    <cellStyle name="%_NRA_model_for_NEMO2 (EMC Update) v0.20_NRA_model_for_NEMO2 (EMC Update) v0.21_NRA_model_for_NEMO2 (EMC Update) v0.26_NRA_model_for_NEMO2 (EMC Update) v0.29_NRA_model_for_NEMO2 (EMC Update) v0.29.2_NRA_model_for_NEMO2 (EMC Update) v0.29.5" xfId="826"/>
    <cellStyle name="%_NRA_model_for_NEMO2 (EMC Update) v0.20_NRA_model_for_NEMO2 (EMC Update) v0.21_NRA_model_for_NEMO2 (EMC Update) v0.26_NRA_model_for_NEMO2 (EMC Update) v0.29_NRA_model_for_NEMO2 (EMC Update) v0.29.3" xfId="827"/>
    <cellStyle name="%_NRA_model_for_NEMO2 (EMC Update) v0.20_NRA_model_for_NEMO2 (EMC Update) v0.21_NRA_model_for_NEMO2 (EMC Update) v0.26_NRA_model_for_NEMO2 (EMC Update) v0.29_NRA_model_for_NEMO2 (EMC Update) v0.29.3_NRA_model_for_NEMO2 (EMC Update) v0 30 1" xfId="828"/>
    <cellStyle name="%_NRA_model_for_NEMO2 (EMC Update) v0.20_NRA_model_for_NEMO2 (EMC Update) v0.21_NRA_model_for_NEMO2 (EMC Update) v0.26_NRA_model_for_NEMO2 (EMC Update) v0.29_NRA_model_for_NEMO2 (EMC Update) v0.29.3_NRA_model_for_NEMO2 (EMC Update) v0.29.5" xfId="829"/>
    <cellStyle name="%_NRA_model_for_NEMO2 (EMC Update) v0.20_NRA_model_for_NEMO2 (EMC Update) v0.21_NRA_model_for_NEMO2 (EMC Update) v0.26_NRA_model_for_NEMO2 (EMC Update) v0.29_NRA_model_for_NEMO2 (EMC Update) v0.29.4" xfId="830"/>
    <cellStyle name="%_NRA_model_for_NEMO2 (EMC Update) v0.20_NRA_model_for_NEMO2 (EMC Update) v0.21_NRA_model_for_NEMO2 (EMC Update) v0.26_NRA_model_for_NEMO2 (EMC Update) v0.29_NRA_model_for_NEMO2 (EMC Update) v0.29.4_NRA_model_for_NEMO2 (EMC Update) v0 30 1" xfId="831"/>
    <cellStyle name="%_NRA_model_for_NEMO2 (EMC Update) v0.20_NRA_model_for_NEMO2 (EMC Update) v0.21_NRA_model_for_NEMO2 (EMC Update) v0.26_NRA_model_for_NEMO2 (EMC Update) v0.29_NRA_model_for_NEMO2 (EMC Update) v0.29.4_NRA_model_for_NEMO2 (EMC Update) v0.29.5" xfId="832"/>
    <cellStyle name="%_NRA_model_for_NEMO2 (EMC Update) v0.20_NRA_model_for_NEMO2 (EMC Update) v0.21_NRA_model_for_NEMO2 (EMC Update) v0.26_NRA_model_for_NEMO2 (EMC Update) v0.29_NRA_model_for_NEMO2 (EMC Update) v0.29.5" xfId="833"/>
    <cellStyle name="%_NRA_model_for_NEMO2 (EMC Update) v0.20_NRA_model_for_NEMO2 (EMC Update) v0.21_NRA_model_for_NEMO2 (EMC Update) v0.26_NRA_model_for_NEMO2 (EMC Update) v0.29_NRA_model_for_NEMO2 (EMC Update) v0.29.5_NRA_model_for_NEMO2 (EMC Update) v0 30 1" xfId="834"/>
    <cellStyle name="%_NRA_model_for_NEMO2 (EMC Update) v0.20_NRA_model_for_NEMO2 (EMC Update) v0.21_NRA_model_for_NEMO2 (EMC Update) v0.29" xfId="835"/>
    <cellStyle name="%_NRA_model_for_NEMO2 (EMC Update) v0.20_NRA_model_for_NEMO2 (EMC Update) v0.21_NRA_model_for_NEMO2 (EMC Update) v0.29.2" xfId="836"/>
    <cellStyle name="%_NRA_model_for_NEMO2 (EMC Update) v0.20_NRA_model_for_NEMO2 (EMC Update) v0.21_NRA_model_for_NEMO2 (EMC Update) v0.29.2_NRA_model_for_NEMO2 (EMC Update) v0 30 1" xfId="837"/>
    <cellStyle name="%_NRA_model_for_NEMO2 (EMC Update) v0.20_NRA_model_for_NEMO2 (EMC Update) v0.21_NRA_model_for_NEMO2 (EMC Update) v0.29.2_NRA_model_for_NEMO2 (EMC Update) v0.29.3" xfId="838"/>
    <cellStyle name="%_NRA_model_for_NEMO2 (EMC Update) v0.20_NRA_model_for_NEMO2 (EMC Update) v0.21_NRA_model_for_NEMO2 (EMC Update) v0.29.2_NRA_model_for_NEMO2 (EMC Update) v0.29.3_NRA_model_for_NEMO2 (EMC Update) v0 30 1" xfId="839"/>
    <cellStyle name="%_NRA_model_for_NEMO2 (EMC Update) v0.20_NRA_model_for_NEMO2 (EMC Update) v0.21_NRA_model_for_NEMO2 (EMC Update) v0.29.2_NRA_model_for_NEMO2 (EMC Update) v0.29.3_NRA_model_for_NEMO2 (EMC Update) v0.29.5" xfId="840"/>
    <cellStyle name="%_NRA_model_for_NEMO2 (EMC Update) v0.20_NRA_model_for_NEMO2 (EMC Update) v0.21_NRA_model_for_NEMO2 (EMC Update) v0.29.2_NRA_model_for_NEMO2 (EMC Update) v0.29.3_NRA_model_for_NEMO2 (EMC Update) v0.29.5_NRA_model_for_NEMO2 (EMC Update) v0 30 1" xfId="841"/>
    <cellStyle name="%_NRA_model_for_NEMO2 (EMC Update) v0.20_NRA_model_for_NEMO2 (EMC Update) v0.21_NRA_model_for_NEMO2 (EMC Update) v0.29.2_NRA_model_for_NEMO2 (EMC Update) v0.29.4" xfId="842"/>
    <cellStyle name="%_NRA_model_for_NEMO2 (EMC Update) v0.20_NRA_model_for_NEMO2 (EMC Update) v0.21_NRA_model_for_NEMO2 (EMC Update) v0.29.2_NRA_model_for_NEMO2 (EMC Update) v0.29.4_NRA_model_for_NEMO2 (EMC Update) v0 30 1" xfId="843"/>
    <cellStyle name="%_NRA_model_for_NEMO2 (EMC Update) v0.20_NRA_model_for_NEMO2 (EMC Update) v0.21_NRA_model_for_NEMO2 (EMC Update) v0.29.2_NRA_model_for_NEMO2 (EMC Update) v0.29.4_NRA_model_for_NEMO2 (EMC Update) v0.29.5" xfId="844"/>
    <cellStyle name="%_NRA_model_for_NEMO2 (EMC Update) v0.20_NRA_model_for_NEMO2 (EMC Update) v0.21_NRA_model_for_NEMO2 (EMC Update) v0.29.2_NRA_model_for_NEMO2 (EMC Update) v0.29.4_NRA_model_for_NEMO2 (EMC Update) v0.29.5_NRA_model_for_NEMO2 (EMC Update) v0 30 1" xfId="845"/>
    <cellStyle name="%_NRA_model_for_NEMO2 (EMC Update) v0.20_NRA_model_for_NEMO2 (EMC Update) v0.21_NRA_model_for_NEMO2 (EMC Update) v0.29.2_NRA_model_for_NEMO2 (EMC Update) v0.29.5" xfId="846"/>
    <cellStyle name="%_NRA_model_for_NEMO2 (EMC Update) v0.20_NRA_model_for_NEMO2 (EMC Update) v0.21_NRA_model_for_NEMO2 (EMC Update) v0.29.2_NRA_model_for_NEMO2 (EMC Update) v0.29.5_NRA_model_for_NEMO2 (EMC Update) v0 30 1" xfId="847"/>
    <cellStyle name="%_NRA_model_for_NEMO2 (EMC Update) v0.20_NRA_model_for_NEMO2 (EMC Update) v0.21_NRA_model_for_NEMO2 (EMC Update) v0.29.3" xfId="848"/>
    <cellStyle name="%_NRA_model_for_NEMO2 (EMC Update) v0.20_NRA_model_for_NEMO2 (EMC Update) v0.21_NRA_model_for_NEMO2 (EMC Update) v0.29.3_NRA_model_for_NEMO2 (EMC Update) v0 30 1" xfId="849"/>
    <cellStyle name="%_NRA_model_for_NEMO2 (EMC Update) v0.20_NRA_model_for_NEMO2 (EMC Update) v0.21_NRA_model_for_NEMO2 (EMC Update) v0.29.3_NRA_model_for_NEMO2 (EMC Update) v0.29.5" xfId="850"/>
    <cellStyle name="%_NRA_model_for_NEMO2 (EMC Update) v0.20_NRA_model_for_NEMO2 (EMC Update) v0.21_NRA_model_for_NEMO2 (EMC Update) v0.29.3_NRA_model_for_NEMO2 (EMC Update) v0.29.5_NRA_model_for_NEMO2 (EMC Update) v0 30 1" xfId="851"/>
    <cellStyle name="%_NRA_model_for_NEMO2 (EMC Update) v0.20_NRA_model_for_NEMO2 (EMC Update) v0.21_NRA_model_for_NEMO2 (EMC Update) v0.29.4" xfId="852"/>
    <cellStyle name="%_NRA_model_for_NEMO2 (EMC Update) v0.20_NRA_model_for_NEMO2 (EMC Update) v0.21_NRA_model_for_NEMO2 (EMC Update) v0.29.4_NRA_model_for_NEMO2 (EMC Update) v0 30 1" xfId="853"/>
    <cellStyle name="%_NRA_model_for_NEMO2 (EMC Update) v0.20_NRA_model_for_NEMO2 (EMC Update) v0.21_NRA_model_for_NEMO2 (EMC Update) v0.29.4_NRA_model_for_NEMO2 (EMC Update) v0.29.5" xfId="854"/>
    <cellStyle name="%_NRA_model_for_NEMO2 (EMC Update) v0.20_NRA_model_for_NEMO2 (EMC Update) v0.21_NRA_model_for_NEMO2 (EMC Update) v0.29.4_NRA_model_for_NEMO2 (EMC Update) v0.29.5_NRA_model_for_NEMO2 (EMC Update) v0 30 1" xfId="855"/>
    <cellStyle name="%_NRA_model_for_NEMO2 (EMC Update) v0.20_NRA_model_for_NEMO2 (EMC Update) v0.21_NRA_model_for_NEMO2 (EMC Update) v0.29.5" xfId="856"/>
    <cellStyle name="%_NRA_model_for_NEMO2 (EMC Update) v0.20_NRA_model_for_NEMO2 (EMC Update) v0.21_NRA_model_for_NEMO2 (EMC Update) v0.29.5_NRA_model_for_NEMO2 (EMC Update) v0 30 1" xfId="857"/>
    <cellStyle name="%_NRA_model_for_NEMO2 (EMC Update) v0.20_NRA_model_for_NEMO2 (EMC Update) v0.21_NRA_model_for_NEMO2 (EMC Update) v0.29_NRA_model_for_NEMO2 (EMC Update) v0 30 1" xfId="858"/>
    <cellStyle name="%_NRA_model_for_NEMO2 (EMC Update) v0.20_NRA_model_for_NEMO2 (EMC Update) v0.21_NRA_model_for_NEMO2 (EMC Update) v0.29_NRA_model_for_NEMO2 (EMC Update) v0.29.2" xfId="859"/>
    <cellStyle name="%_NRA_model_for_NEMO2 (EMC Update) v0.20_NRA_model_for_NEMO2 (EMC Update) v0.21_NRA_model_for_NEMO2 (EMC Update) v0.29_NRA_model_for_NEMO2 (EMC Update) v0.29.2_NRA_model_for_NEMO2 (EMC Update) v0 30 1" xfId="860"/>
    <cellStyle name="%_NRA_model_for_NEMO2 (EMC Update) v0.20_NRA_model_for_NEMO2 (EMC Update) v0.21_NRA_model_for_NEMO2 (EMC Update) v0.29_NRA_model_for_NEMO2 (EMC Update) v0.29.2_NRA_model_for_NEMO2 (EMC Update) v0.29.3" xfId="861"/>
    <cellStyle name="%_NRA_model_for_NEMO2 (EMC Update) v0.20_NRA_model_for_NEMO2 (EMC Update) v0.21_NRA_model_for_NEMO2 (EMC Update) v0.29_NRA_model_for_NEMO2 (EMC Update) v0.29.2_NRA_model_for_NEMO2 (EMC Update) v0.29.3_NRA_model_for_NEMO2 (EMC Update) v0 30 1" xfId="862"/>
    <cellStyle name="%_NRA_model_for_NEMO2 (EMC Update) v0.20_NRA_model_for_NEMO2 (EMC Update) v0.21_NRA_model_for_NEMO2 (EMC Update) v0.29_NRA_model_for_NEMO2 (EMC Update) v0.29.2_NRA_model_for_NEMO2 (EMC Update) v0.29.3_NRA_model_for_NEMO2 (EMC Update) v0.29.5" xfId="863"/>
    <cellStyle name="%_NRA_model_for_NEMO2 (EMC Update) v0.20_NRA_model_for_NEMO2 (EMC Update) v0.21_NRA_model_for_NEMO2 (EMC Update) v0.29_NRA_model_for_NEMO2 (EMC Update) v0.29.2_NRA_model_for_NEMO2 (EMC Update) v0.29.4" xfId="864"/>
    <cellStyle name="%_NRA_model_for_NEMO2 (EMC Update) v0.20_NRA_model_for_NEMO2 (EMC Update) v0.21_NRA_model_for_NEMO2 (EMC Update) v0.29_NRA_model_for_NEMO2 (EMC Update) v0.29.2_NRA_model_for_NEMO2 (EMC Update) v0.29.4_NRA_model_for_NEMO2 (EMC Update) v0 30 1" xfId="865"/>
    <cellStyle name="%_NRA_model_for_NEMO2 (EMC Update) v0.20_NRA_model_for_NEMO2 (EMC Update) v0.21_NRA_model_for_NEMO2 (EMC Update) v0.29_NRA_model_for_NEMO2 (EMC Update) v0.29.2_NRA_model_for_NEMO2 (EMC Update) v0.29.4_NRA_model_for_NEMO2 (EMC Update) v0.29.5" xfId="866"/>
    <cellStyle name="%_NRA_model_for_NEMO2 (EMC Update) v0.20_NRA_model_for_NEMO2 (EMC Update) v0.21_NRA_model_for_NEMO2 (EMC Update) v0.29_NRA_model_for_NEMO2 (EMC Update) v0.29.2_NRA_model_for_NEMO2 (EMC Update) v0.29.5" xfId="867"/>
    <cellStyle name="%_NRA_model_for_NEMO2 (EMC Update) v0.20_NRA_model_for_NEMO2 (EMC Update) v0.21_NRA_model_for_NEMO2 (EMC Update) v0.29_NRA_model_for_NEMO2 (EMC Update) v0.29.2_NRA_model_for_NEMO2 (EMC Update) v0.29.5_NRA_model_for_NEMO2 (EMC Update) v0 30 1" xfId="868"/>
    <cellStyle name="%_NRA_model_for_NEMO2 (EMC Update) v0.20_NRA_model_for_NEMO2 (EMC Update) v0.21_NRA_model_for_NEMO2 (EMC Update) v0.29_NRA_model_for_NEMO2 (EMC Update) v0.29.3" xfId="869"/>
    <cellStyle name="%_NRA_model_for_NEMO2 (EMC Update) v0.20_NRA_model_for_NEMO2 (EMC Update) v0.21_NRA_model_for_NEMO2 (EMC Update) v0.29_NRA_model_for_NEMO2 (EMC Update) v0.29.3_NRA_model_for_NEMO2 (EMC Update) v0 30 1" xfId="870"/>
    <cellStyle name="%_NRA_model_for_NEMO2 (EMC Update) v0.20_NRA_model_for_NEMO2 (EMC Update) v0.21_NRA_model_for_NEMO2 (EMC Update) v0.29_NRA_model_for_NEMO2 (EMC Update) v0.29.3_NRA_model_for_NEMO2 (EMC Update) v0.29.5" xfId="871"/>
    <cellStyle name="%_NRA_model_for_NEMO2 (EMC Update) v0.20_NRA_model_for_NEMO2 (EMC Update) v0.21_NRA_model_for_NEMO2 (EMC Update) v0.29_NRA_model_for_NEMO2 (EMC Update) v0.29.3_NRA_model_for_NEMO2 (EMC Update) v0.29.5_NRA_model_for_NEMO2 (EMC Update) v0 30 1" xfId="872"/>
    <cellStyle name="%_NRA_model_for_NEMO2 (EMC Update) v0.20_NRA_model_for_NEMO2 (EMC Update) v0.21_NRA_model_for_NEMO2 (EMC Update) v0.29_NRA_model_for_NEMO2 (EMC Update) v0.29.4" xfId="873"/>
    <cellStyle name="%_NRA_model_for_NEMO2 (EMC Update) v0.20_NRA_model_for_NEMO2 (EMC Update) v0.21_NRA_model_for_NEMO2 (EMC Update) v0.29_NRA_model_for_NEMO2 (EMC Update) v0.29.4_NRA_model_for_NEMO2 (EMC Update) v0 30 1" xfId="874"/>
    <cellStyle name="%_NRA_model_for_NEMO2 (EMC Update) v0.20_NRA_model_for_NEMO2 (EMC Update) v0.21_NRA_model_for_NEMO2 (EMC Update) v0.29_NRA_model_for_NEMO2 (EMC Update) v0.29.4_NRA_model_for_NEMO2 (EMC Update) v0.29.5" xfId="875"/>
    <cellStyle name="%_NRA_model_for_NEMO2 (EMC Update) v0.20_NRA_model_for_NEMO2 (EMC Update) v0.21_NRA_model_for_NEMO2 (EMC Update) v0.29_NRA_model_for_NEMO2 (EMC Update) v0.29.4_NRA_model_for_NEMO2 (EMC Update) v0.29.5_NRA_model_for_NEMO2 (EMC Update) v0 30 1" xfId="876"/>
    <cellStyle name="%_NRA_model_for_NEMO2 (EMC Update) v0.20_NRA_model_for_NEMO2 (EMC Update) v0.21_NRA_model_for_NEMO2 (EMC Update) v0.29_NRA_model_for_NEMO2 (EMC Update) v0.29.5" xfId="877"/>
    <cellStyle name="%_NRA_model_for_NEMO2 (EMC Update) v0.20_NRA_model_for_NEMO2 (EMC Update) v0.21_NRA_model_for_NEMO2 (EMC Update) v0.29_NRA_model_for_NEMO2 (EMC Update) v0.29.5_NRA_model_for_NEMO2 (EMC Update) v0 30 1" xfId="878"/>
    <cellStyle name="%_NRA_model_for_NEMO2 (EMC Update) v0.20_NRA_model_for_NEMO2 (EMC Update) v0.22" xfId="879"/>
    <cellStyle name="%_NRA_model_for_NEMO2 (EMC Update) v0.20_NRA_model_for_NEMO2 (EMC Update) v0.22_NRA_model_for_NEMO2 (EMC Update) v0 30 1" xfId="880"/>
    <cellStyle name="%_NRA_model_for_NEMO2 (EMC Update) v0.20_NRA_model_for_NEMO2 (EMC Update) v0.22_NRA_model_for_NEMO2 (EMC Update) v0.25" xfId="881"/>
    <cellStyle name="%_NRA_model_for_NEMO2 (EMC Update) v0.20_NRA_model_for_NEMO2 (EMC Update) v0.22_NRA_model_for_NEMO2 (EMC Update) v0.25_NRA_model_for_NEMO2 (EMC Update) v0 30 1" xfId="882"/>
    <cellStyle name="%_NRA_model_for_NEMO2 (EMC Update) v0.20_NRA_model_for_NEMO2 (EMC Update) v0.22_NRA_model_for_NEMO2 (EMC Update) v0.25_NRA_model_for_NEMO2 (EMC Update) v0.26" xfId="883"/>
    <cellStyle name="%_NRA_model_for_NEMO2 (EMC Update) v0.20_NRA_model_for_NEMO2 (EMC Update) v0.22_NRA_model_for_NEMO2 (EMC Update) v0.25_NRA_model_for_NEMO2 (EMC Update) v0.26_NRA_model_for_NEMO2 (EMC Update) v0 30 1" xfId="884"/>
    <cellStyle name="%_NRA_model_for_NEMO2 (EMC Update) v0.20_NRA_model_for_NEMO2 (EMC Update) v0.22_NRA_model_for_NEMO2 (EMC Update) v0.25_NRA_model_for_NEMO2 (EMC Update) v0.26_NRA_model_for_NEMO2 (EMC Update) v0.29" xfId="885"/>
    <cellStyle name="%_NRA_model_for_NEMO2 (EMC Update) v0.20_NRA_model_for_NEMO2 (EMC Update) v0.22_NRA_model_for_NEMO2 (EMC Update) v0.25_NRA_model_for_NEMO2 (EMC Update) v0.26_NRA_model_for_NEMO2 (EMC Update) v0.29.2" xfId="886"/>
    <cellStyle name="%_NRA_model_for_NEMO2 (EMC Update) v0.20_NRA_model_for_NEMO2 (EMC Update) v0.22_NRA_model_for_NEMO2 (EMC Update) v0.25_NRA_model_for_NEMO2 (EMC Update) v0.26_NRA_model_for_NEMO2 (EMC Update) v0.29.2_NRA_model_for_NEMO2 (EMC Update) v0 30 1" xfId="887"/>
    <cellStyle name="%_NRA_model_for_NEMO2 (EMC Update) v0.20_NRA_model_for_NEMO2 (EMC Update) v0.22_NRA_model_for_NEMO2 (EMC Update) v0.25_NRA_model_for_NEMO2 (EMC Update) v0.26_NRA_model_for_NEMO2 (EMC Update) v0.29.2_NRA_model_for_NEMO2 (EMC Update) v0.29.3" xfId="888"/>
    <cellStyle name="%_NRA_model_for_NEMO2 (EMC Update) v0.20_NRA_model_for_NEMO2 (EMC Update) v0.22_NRA_model_for_NEMO2 (EMC Update) v0.25_NRA_model_for_NEMO2 (EMC Update) v0.26_NRA_model_for_NEMO2 (EMC Update) v0.29.2_NRA_model_for_NEMO2 (EMC Update) v0.29.4" xfId="889"/>
    <cellStyle name="%_NRA_model_for_NEMO2 (EMC Update) v0.20_NRA_model_for_NEMO2 (EMC Update) v0.22_NRA_model_for_NEMO2 (EMC Update) v0.25_NRA_model_for_NEMO2 (EMC Update) v0.26_NRA_model_for_NEMO2 (EMC Update) v0.29.2_NRA_model_for_NEMO2 (EMC Update) v0.29.5" xfId="890"/>
    <cellStyle name="%_NRA_model_for_NEMO2 (EMC Update) v0.20_NRA_model_for_NEMO2 (EMC Update) v0.22_NRA_model_for_NEMO2 (EMC Update) v0.25_NRA_model_for_NEMO2 (EMC Update) v0.26_NRA_model_for_NEMO2 (EMC Update) v0.29.3" xfId="891"/>
    <cellStyle name="%_NRA_model_for_NEMO2 (EMC Update) v0.20_NRA_model_for_NEMO2 (EMC Update) v0.22_NRA_model_for_NEMO2 (EMC Update) v0.25_NRA_model_for_NEMO2 (EMC Update) v0.26_NRA_model_for_NEMO2 (EMC Update) v0.29.3_NRA_model_for_NEMO2 (EMC Update) v0 30 1" xfId="892"/>
    <cellStyle name="%_NRA_model_for_NEMO2 (EMC Update) v0.20_NRA_model_for_NEMO2 (EMC Update) v0.22_NRA_model_for_NEMO2 (EMC Update) v0.25_NRA_model_for_NEMO2 (EMC Update) v0.26_NRA_model_for_NEMO2 (EMC Update) v0.29.3_NRA_model_for_NEMO2 (EMC Update) v0.29.5" xfId="893"/>
    <cellStyle name="%_NRA_model_for_NEMO2 (EMC Update) v0.20_NRA_model_for_NEMO2 (EMC Update) v0.22_NRA_model_for_NEMO2 (EMC Update) v0.25_NRA_model_for_NEMO2 (EMC Update) v0.26_NRA_model_for_NEMO2 (EMC Update) v0.29.4" xfId="894"/>
    <cellStyle name="%_NRA_model_for_NEMO2 (EMC Update) v0.20_NRA_model_for_NEMO2 (EMC Update) v0.22_NRA_model_for_NEMO2 (EMC Update) v0.25_NRA_model_for_NEMO2 (EMC Update) v0.26_NRA_model_for_NEMO2 (EMC Update) v0.29.4_NRA_model_for_NEMO2 (EMC Update) v0 30 1" xfId="895"/>
    <cellStyle name="%_NRA_model_for_NEMO2 (EMC Update) v0.20_NRA_model_for_NEMO2 (EMC Update) v0.22_NRA_model_for_NEMO2 (EMC Update) v0.25_NRA_model_for_NEMO2 (EMC Update) v0.26_NRA_model_for_NEMO2 (EMC Update) v0.29.4_NRA_model_for_NEMO2 (EMC Update) v0.29.5" xfId="896"/>
    <cellStyle name="%_NRA_model_for_NEMO2 (EMC Update) v0.20_NRA_model_for_NEMO2 (EMC Update) v0.22_NRA_model_for_NEMO2 (EMC Update) v0.25_NRA_model_for_NEMO2 (EMC Update) v0.26_NRA_model_for_NEMO2 (EMC Update) v0.29.5" xfId="897"/>
    <cellStyle name="%_NRA_model_for_NEMO2 (EMC Update) v0.20_NRA_model_for_NEMO2 (EMC Update) v0.22_NRA_model_for_NEMO2 (EMC Update) v0.25_NRA_model_for_NEMO2 (EMC Update) v0.26_NRA_model_for_NEMO2 (EMC Update) v0.29.5_NRA_model_for_NEMO2 (EMC Update) v0 30 1" xfId="898"/>
    <cellStyle name="%_NRA_model_for_NEMO2 (EMC Update) v0.20_NRA_model_for_NEMO2 (EMC Update) v0.22_NRA_model_for_NEMO2 (EMC Update) v0.25_NRA_model_for_NEMO2 (EMC Update) v0.26_NRA_model_for_NEMO2 (EMC Update) v0.29_NRA_model_for_NEMO2 (EMC Update) v0 30 1" xfId="899"/>
    <cellStyle name="%_NRA_model_for_NEMO2 (EMC Update) v0.20_NRA_model_for_NEMO2 (EMC Update) v0.22_NRA_model_for_NEMO2 (EMC Update) v0.25_NRA_model_for_NEMO2 (EMC Update) v0.26_NRA_model_for_NEMO2 (EMC Update) v0.29_NRA_model_for_NEMO2 (EMC Update) v0.29.2" xfId="900"/>
    <cellStyle name="%_NRA_model_for_NEMO2 (EMC Update) v0.20_NRA_model_for_NEMO2 (EMC Update) v0.22_NRA_model_for_NEMO2 (EMC Update) v0.25_NRA_model_for_NEMO2 (EMC Update) v0.26_NRA_model_for_NEMO2 (EMC Update) v0.29_NRA_model_for_NEMO2 (EMC Update) v0.29.3" xfId="901"/>
    <cellStyle name="%_NRA_model_for_NEMO2 (EMC Update) v0.20_NRA_model_for_NEMO2 (EMC Update) v0.22_NRA_model_for_NEMO2 (EMC Update) v0.25_NRA_model_for_NEMO2 (EMC Update) v0.26_NRA_model_for_NEMO2 (EMC Update) v0.29_NRA_model_for_NEMO2 (EMC Update) v0.29.4" xfId="902"/>
    <cellStyle name="%_NRA_model_for_NEMO2 (EMC Update) v0.20_NRA_model_for_NEMO2 (EMC Update) v0.22_NRA_model_for_NEMO2 (EMC Update) v0.25_NRA_model_for_NEMO2 (EMC Update) v0.26_NRA_model_for_NEMO2 (EMC Update) v0.29_NRA_model_for_NEMO2 (EMC Update) v0.29.5" xfId="903"/>
    <cellStyle name="%_NRA_model_for_NEMO2 (EMC Update) v0.20_NRA_model_for_NEMO2 (EMC Update) v0.22_NRA_model_for_NEMO2 (EMC Update) v0.25_NRA_model_for_NEMO2 (EMC Update) v0.29" xfId="904"/>
    <cellStyle name="%_NRA_model_for_NEMO2 (EMC Update) v0.20_NRA_model_for_NEMO2 (EMC Update) v0.22_NRA_model_for_NEMO2 (EMC Update) v0.25_NRA_model_for_NEMO2 (EMC Update) v0.29.2" xfId="905"/>
    <cellStyle name="%_NRA_model_for_NEMO2 (EMC Update) v0.20_NRA_model_for_NEMO2 (EMC Update) v0.22_NRA_model_for_NEMO2 (EMC Update) v0.25_NRA_model_for_NEMO2 (EMC Update) v0.29.2_NRA_model_for_NEMO2 (EMC Update) v0 30 1" xfId="906"/>
    <cellStyle name="%_NRA_model_for_NEMO2 (EMC Update) v0.20_NRA_model_for_NEMO2 (EMC Update) v0.22_NRA_model_for_NEMO2 (EMC Update) v0.25_NRA_model_for_NEMO2 (EMC Update) v0.29.2_NRA_model_for_NEMO2 (EMC Update) v0.29.3" xfId="907"/>
    <cellStyle name="%_NRA_model_for_NEMO2 (EMC Update) v0.20_NRA_model_for_NEMO2 (EMC Update) v0.22_NRA_model_for_NEMO2 (EMC Update) v0.25_NRA_model_for_NEMO2 (EMC Update) v0.29.2_NRA_model_for_NEMO2 (EMC Update) v0.29.3_NRA_model_for_NEMO2 (EMC Update) v0 30 1" xfId="908"/>
    <cellStyle name="%_NRA_model_for_NEMO2 (EMC Update) v0.20_NRA_model_for_NEMO2 (EMC Update) v0.22_NRA_model_for_NEMO2 (EMC Update) v0.25_NRA_model_for_NEMO2 (EMC Update) v0.29.2_NRA_model_for_NEMO2 (EMC Update) v0.29.3_NRA_model_for_NEMO2 (EMC Update) v0.29.5" xfId="909"/>
    <cellStyle name="%_NRA_model_for_NEMO2 (EMC Update) v0.20_NRA_model_for_NEMO2 (EMC Update) v0.22_NRA_model_for_NEMO2 (EMC Update) v0.25_NRA_model_for_NEMO2 (EMC Update) v0.29.2_NRA_model_for_NEMO2 (EMC Update) v0.29.4" xfId="910"/>
    <cellStyle name="%_NRA_model_for_NEMO2 (EMC Update) v0.20_NRA_model_for_NEMO2 (EMC Update) v0.22_NRA_model_for_NEMO2 (EMC Update) v0.25_NRA_model_for_NEMO2 (EMC Update) v0.29.2_NRA_model_for_NEMO2 (EMC Update) v0.29.4_NRA_model_for_NEMO2 (EMC Update) v0 30 1" xfId="911"/>
    <cellStyle name="%_NRA_model_for_NEMO2 (EMC Update) v0.20_NRA_model_for_NEMO2 (EMC Update) v0.22_NRA_model_for_NEMO2 (EMC Update) v0.25_NRA_model_for_NEMO2 (EMC Update) v0.29.2_NRA_model_for_NEMO2 (EMC Update) v0.29.4_NRA_model_for_NEMO2 (EMC Update) v0.29.5" xfId="912"/>
    <cellStyle name="%_NRA_model_for_NEMO2 (EMC Update) v0.20_NRA_model_for_NEMO2 (EMC Update) v0.22_NRA_model_for_NEMO2 (EMC Update) v0.25_NRA_model_for_NEMO2 (EMC Update) v0.29.2_NRA_model_for_NEMO2 (EMC Update) v0.29.5" xfId="913"/>
    <cellStyle name="%_NRA_model_for_NEMO2 (EMC Update) v0.20_NRA_model_for_NEMO2 (EMC Update) v0.22_NRA_model_for_NEMO2 (EMC Update) v0.25_NRA_model_for_NEMO2 (EMC Update) v0.29.2_NRA_model_for_NEMO2 (EMC Update) v0.29.5_NRA_model_for_NEMO2 (EMC Update) v0 30 1" xfId="914"/>
    <cellStyle name="%_NRA_model_for_NEMO2 (EMC Update) v0.20_NRA_model_for_NEMO2 (EMC Update) v0.22_NRA_model_for_NEMO2 (EMC Update) v0.25_NRA_model_for_NEMO2 (EMC Update) v0.29.3" xfId="915"/>
    <cellStyle name="%_NRA_model_for_NEMO2 (EMC Update) v0.20_NRA_model_for_NEMO2 (EMC Update) v0.22_NRA_model_for_NEMO2 (EMC Update) v0.25_NRA_model_for_NEMO2 (EMC Update) v0.29.3_NRA_model_for_NEMO2 (EMC Update) v0 30 1" xfId="916"/>
    <cellStyle name="%_NRA_model_for_NEMO2 (EMC Update) v0.20_NRA_model_for_NEMO2 (EMC Update) v0.22_NRA_model_for_NEMO2 (EMC Update) v0.25_NRA_model_for_NEMO2 (EMC Update) v0.29.3_NRA_model_for_NEMO2 (EMC Update) v0.29.5" xfId="917"/>
    <cellStyle name="%_NRA_model_for_NEMO2 (EMC Update) v0.20_NRA_model_for_NEMO2 (EMC Update) v0.22_NRA_model_for_NEMO2 (EMC Update) v0.25_NRA_model_for_NEMO2 (EMC Update) v0.29.3_NRA_model_for_NEMO2 (EMC Update) v0.29.5_NRA_model_for_NEMO2 (EMC Update) v0 30 1" xfId="918"/>
    <cellStyle name="%_NRA_model_for_NEMO2 (EMC Update) v0.20_NRA_model_for_NEMO2 (EMC Update) v0.22_NRA_model_for_NEMO2 (EMC Update) v0.25_NRA_model_for_NEMO2 (EMC Update) v0.29.4" xfId="919"/>
    <cellStyle name="%_NRA_model_for_NEMO2 (EMC Update) v0.20_NRA_model_for_NEMO2 (EMC Update) v0.22_NRA_model_for_NEMO2 (EMC Update) v0.25_NRA_model_for_NEMO2 (EMC Update) v0.29.4_NRA_model_for_NEMO2 (EMC Update) v0 30 1" xfId="920"/>
    <cellStyle name="%_NRA_model_for_NEMO2 (EMC Update) v0.20_NRA_model_for_NEMO2 (EMC Update) v0.22_NRA_model_for_NEMO2 (EMC Update) v0.25_NRA_model_for_NEMO2 (EMC Update) v0.29.4_NRA_model_for_NEMO2 (EMC Update) v0.29.5" xfId="921"/>
    <cellStyle name="%_NRA_model_for_NEMO2 (EMC Update) v0.20_NRA_model_for_NEMO2 (EMC Update) v0.22_NRA_model_for_NEMO2 (EMC Update) v0.25_NRA_model_for_NEMO2 (EMC Update) v0.29.4_NRA_model_for_NEMO2 (EMC Update) v0.29.5_NRA_model_for_NEMO2 (EMC Update) v0 30 1" xfId="922"/>
    <cellStyle name="%_NRA_model_for_NEMO2 (EMC Update) v0.20_NRA_model_for_NEMO2 (EMC Update) v0.22_NRA_model_for_NEMO2 (EMC Update) v0.25_NRA_model_for_NEMO2 (EMC Update) v0.29.5" xfId="923"/>
    <cellStyle name="%_NRA_model_for_NEMO2 (EMC Update) v0.20_NRA_model_for_NEMO2 (EMC Update) v0.22_NRA_model_for_NEMO2 (EMC Update) v0.25_NRA_model_for_NEMO2 (EMC Update) v0.29.5_NRA_model_for_NEMO2 (EMC Update) v0 30 1" xfId="924"/>
    <cellStyle name="%_NRA_model_for_NEMO2 (EMC Update) v0.20_NRA_model_for_NEMO2 (EMC Update) v0.22_NRA_model_for_NEMO2 (EMC Update) v0.25_NRA_model_for_NEMO2 (EMC Update) v0.29_NRA_model_for_NEMO2 (EMC Update) v0 30 1" xfId="925"/>
    <cellStyle name="%_NRA_model_for_NEMO2 (EMC Update) v0.20_NRA_model_for_NEMO2 (EMC Update) v0.22_NRA_model_for_NEMO2 (EMC Update) v0.25_NRA_model_for_NEMO2 (EMC Update) v0.29_NRA_model_for_NEMO2 (EMC Update) v0.29.2" xfId="926"/>
    <cellStyle name="%_NRA_model_for_NEMO2 (EMC Update) v0.20_NRA_model_for_NEMO2 (EMC Update) v0.22_NRA_model_for_NEMO2 (EMC Update) v0.25_NRA_model_for_NEMO2 (EMC Update) v0.29_NRA_model_for_NEMO2 (EMC Update) v0.29.2_NRA_model_for_NEMO2 (EMC Update) v0 30 1" xfId="927"/>
    <cellStyle name="%_NRA_model_for_NEMO2 (EMC Update) v0.20_NRA_model_for_NEMO2 (EMC Update) v0.22_NRA_model_for_NEMO2 (EMC Update) v0.25_NRA_model_for_NEMO2 (EMC Update) v0.29_NRA_model_for_NEMO2 (EMC Update) v0.29.2_NRA_model_for_NEMO2 (EMC Update) v0.29.3" xfId="928"/>
    <cellStyle name="%_NRA_model_for_NEMO2 (EMC Update) v0.20_NRA_model_for_NEMO2 (EMC Update) v0.22_NRA_model_for_NEMO2 (EMC Update) v0.25_NRA_model_for_NEMO2 (EMC Update) v0.29_NRA_model_for_NEMO2 (EMC Update) v0.29.2_NRA_model_for_NEMO2 (EMC Update) v0.29.4" xfId="929"/>
    <cellStyle name="%_NRA_model_for_NEMO2 (EMC Update) v0.20_NRA_model_for_NEMO2 (EMC Update) v0.22_NRA_model_for_NEMO2 (EMC Update) v0.25_NRA_model_for_NEMO2 (EMC Update) v0.29_NRA_model_for_NEMO2 (EMC Update) v0.29.2_NRA_model_for_NEMO2 (EMC Update) v0.29.5" xfId="930"/>
    <cellStyle name="%_NRA_model_for_NEMO2 (EMC Update) v0.20_NRA_model_for_NEMO2 (EMC Update) v0.22_NRA_model_for_NEMO2 (EMC Update) v0.25_NRA_model_for_NEMO2 (EMC Update) v0.29_NRA_model_for_NEMO2 (EMC Update) v0.29.3" xfId="931"/>
    <cellStyle name="%_NRA_model_for_NEMO2 (EMC Update) v0.20_NRA_model_for_NEMO2 (EMC Update) v0.22_NRA_model_for_NEMO2 (EMC Update) v0.25_NRA_model_for_NEMO2 (EMC Update) v0.29_NRA_model_for_NEMO2 (EMC Update) v0.29.3_NRA_model_for_NEMO2 (EMC Update) v0 30 1" xfId="932"/>
    <cellStyle name="%_NRA_model_for_NEMO2 (EMC Update) v0.20_NRA_model_for_NEMO2 (EMC Update) v0.22_NRA_model_for_NEMO2 (EMC Update) v0.25_NRA_model_for_NEMO2 (EMC Update) v0.29_NRA_model_for_NEMO2 (EMC Update) v0.29.3_NRA_model_for_NEMO2 (EMC Update) v0.29.5" xfId="933"/>
    <cellStyle name="%_NRA_model_for_NEMO2 (EMC Update) v0.20_NRA_model_for_NEMO2 (EMC Update) v0.22_NRA_model_for_NEMO2 (EMC Update) v0.25_NRA_model_for_NEMO2 (EMC Update) v0.29_NRA_model_for_NEMO2 (EMC Update) v0.29.4" xfId="934"/>
    <cellStyle name="%_NRA_model_for_NEMO2 (EMC Update) v0.20_NRA_model_for_NEMO2 (EMC Update) v0.22_NRA_model_for_NEMO2 (EMC Update) v0.25_NRA_model_for_NEMO2 (EMC Update) v0.29_NRA_model_for_NEMO2 (EMC Update) v0.29.4_NRA_model_for_NEMO2 (EMC Update) v0 30 1" xfId="935"/>
    <cellStyle name="%_NRA_model_for_NEMO2 (EMC Update) v0.20_NRA_model_for_NEMO2 (EMC Update) v0.22_NRA_model_for_NEMO2 (EMC Update) v0.25_NRA_model_for_NEMO2 (EMC Update) v0.29_NRA_model_for_NEMO2 (EMC Update) v0.29.4_NRA_model_for_NEMO2 (EMC Update) v0.29.5" xfId="936"/>
    <cellStyle name="%_NRA_model_for_NEMO2 (EMC Update) v0.20_NRA_model_for_NEMO2 (EMC Update) v0.22_NRA_model_for_NEMO2 (EMC Update) v0.25_NRA_model_for_NEMO2 (EMC Update) v0.29_NRA_model_for_NEMO2 (EMC Update) v0.29.5" xfId="937"/>
    <cellStyle name="%_NRA_model_for_NEMO2 (EMC Update) v0.20_NRA_model_for_NEMO2 (EMC Update) v0.22_NRA_model_for_NEMO2 (EMC Update) v0.25_NRA_model_for_NEMO2 (EMC Update) v0.29_NRA_model_for_NEMO2 (EMC Update) v0.29.5_NRA_model_for_NEMO2 (EMC Update) v0 30 1" xfId="938"/>
    <cellStyle name="%_NRA_model_for_NEMO2 (EMC Update) v0.20_NRA_model_for_NEMO2 (EMC Update) v0.22_NRA_model_for_NEMO2 (EMC Update) v0.26" xfId="939"/>
    <cellStyle name="%_NRA_model_for_NEMO2 (EMC Update) v0.20_NRA_model_for_NEMO2 (EMC Update) v0.22_NRA_model_for_NEMO2 (EMC Update) v0.26_NRA_model_for_NEMO2 (EMC Update) v0 30 1" xfId="940"/>
    <cellStyle name="%_NRA_model_for_NEMO2 (EMC Update) v0.20_NRA_model_for_NEMO2 (EMC Update) v0.22_NRA_model_for_NEMO2 (EMC Update) v0.26_NRA_model_for_NEMO2 (EMC Update) v0.29" xfId="941"/>
    <cellStyle name="%_NRA_model_for_NEMO2 (EMC Update) v0.20_NRA_model_for_NEMO2 (EMC Update) v0.22_NRA_model_for_NEMO2 (EMC Update) v0.26_NRA_model_for_NEMO2 (EMC Update) v0.29.2" xfId="942"/>
    <cellStyle name="%_NRA_model_for_NEMO2 (EMC Update) v0.20_NRA_model_for_NEMO2 (EMC Update) v0.22_NRA_model_for_NEMO2 (EMC Update) v0.26_NRA_model_for_NEMO2 (EMC Update) v0.29.2_NRA_model_for_NEMO2 (EMC Update) v0 30 1" xfId="943"/>
    <cellStyle name="%_NRA_model_for_NEMO2 (EMC Update) v0.20_NRA_model_for_NEMO2 (EMC Update) v0.22_NRA_model_for_NEMO2 (EMC Update) v0.26_NRA_model_for_NEMO2 (EMC Update) v0.29.2_NRA_model_for_NEMO2 (EMC Update) v0.29.3" xfId="944"/>
    <cellStyle name="%_NRA_model_for_NEMO2 (EMC Update) v0.20_NRA_model_for_NEMO2 (EMC Update) v0.22_NRA_model_for_NEMO2 (EMC Update) v0.26_NRA_model_for_NEMO2 (EMC Update) v0.29.2_NRA_model_for_NEMO2 (EMC Update) v0.29.3_NRA_model_for_NEMO2 (EMC Update) v0 30 1" xfId="945"/>
    <cellStyle name="%_NRA_model_for_NEMO2 (EMC Update) v0.20_NRA_model_for_NEMO2 (EMC Update) v0.22_NRA_model_for_NEMO2 (EMC Update) v0.26_NRA_model_for_NEMO2 (EMC Update) v0.29.2_NRA_model_for_NEMO2 (EMC Update) v0.29.3_NRA_model_for_NEMO2 (EMC Update) v0.29.5" xfId="946"/>
    <cellStyle name="%_NRA_model_for_NEMO2 (EMC Update) v0.20_NRA_model_for_NEMO2 (EMC Update) v0.22_NRA_model_for_NEMO2 (EMC Update) v0.26_NRA_model_for_NEMO2 (EMC Update) v0.29.2_NRA_model_for_NEMO2 (EMC Update) v0.29.4" xfId="947"/>
    <cellStyle name="%_NRA_model_for_NEMO2 (EMC Update) v0.20_NRA_model_for_NEMO2 (EMC Update) v0.22_NRA_model_for_NEMO2 (EMC Update) v0.26_NRA_model_for_NEMO2 (EMC Update) v0.29.2_NRA_model_for_NEMO2 (EMC Update) v0.29.4_NRA_model_for_NEMO2 (EMC Update) v0 30 1" xfId="948"/>
    <cellStyle name="%_NRA_model_for_NEMO2 (EMC Update) v0.20_NRA_model_for_NEMO2 (EMC Update) v0.22_NRA_model_for_NEMO2 (EMC Update) v0.26_NRA_model_for_NEMO2 (EMC Update) v0.29.2_NRA_model_for_NEMO2 (EMC Update) v0.29.4_NRA_model_for_NEMO2 (EMC Update) v0.29.5" xfId="949"/>
    <cellStyle name="%_NRA_model_for_NEMO2 (EMC Update) v0.20_NRA_model_for_NEMO2 (EMC Update) v0.22_NRA_model_for_NEMO2 (EMC Update) v0.26_NRA_model_for_NEMO2 (EMC Update) v0.29.2_NRA_model_for_NEMO2 (EMC Update) v0.29.5" xfId="950"/>
    <cellStyle name="%_NRA_model_for_NEMO2 (EMC Update) v0.20_NRA_model_for_NEMO2 (EMC Update) v0.22_NRA_model_for_NEMO2 (EMC Update) v0.26_NRA_model_for_NEMO2 (EMC Update) v0.29.2_NRA_model_for_NEMO2 (EMC Update) v0.29.5_NRA_model_for_NEMO2 (EMC Update) v0 30 1" xfId="951"/>
    <cellStyle name="%_NRA_model_for_NEMO2 (EMC Update) v0.20_NRA_model_for_NEMO2 (EMC Update) v0.22_NRA_model_for_NEMO2 (EMC Update) v0.26_NRA_model_for_NEMO2 (EMC Update) v0.29.3" xfId="952"/>
    <cellStyle name="%_NRA_model_for_NEMO2 (EMC Update) v0.20_NRA_model_for_NEMO2 (EMC Update) v0.22_NRA_model_for_NEMO2 (EMC Update) v0.26_NRA_model_for_NEMO2 (EMC Update) v0.29.3_NRA_model_for_NEMO2 (EMC Update) v0 30 1" xfId="953"/>
    <cellStyle name="%_NRA_model_for_NEMO2 (EMC Update) v0.20_NRA_model_for_NEMO2 (EMC Update) v0.22_NRA_model_for_NEMO2 (EMC Update) v0.26_NRA_model_for_NEMO2 (EMC Update) v0.29.3_NRA_model_for_NEMO2 (EMC Update) v0.29.5" xfId="954"/>
    <cellStyle name="%_NRA_model_for_NEMO2 (EMC Update) v0.20_NRA_model_for_NEMO2 (EMC Update) v0.22_NRA_model_for_NEMO2 (EMC Update) v0.26_NRA_model_for_NEMO2 (EMC Update) v0.29.3_NRA_model_for_NEMO2 (EMC Update) v0.29.5_NRA_model_for_NEMO2 (EMC Update) v0 30 1" xfId="955"/>
    <cellStyle name="%_NRA_model_for_NEMO2 (EMC Update) v0.20_NRA_model_for_NEMO2 (EMC Update) v0.22_NRA_model_for_NEMO2 (EMC Update) v0.26_NRA_model_for_NEMO2 (EMC Update) v0.29.4" xfId="956"/>
    <cellStyle name="%_NRA_model_for_NEMO2 (EMC Update) v0.20_NRA_model_for_NEMO2 (EMC Update) v0.22_NRA_model_for_NEMO2 (EMC Update) v0.26_NRA_model_for_NEMO2 (EMC Update) v0.29.4_NRA_model_for_NEMO2 (EMC Update) v0 30 1" xfId="957"/>
    <cellStyle name="%_NRA_model_for_NEMO2 (EMC Update) v0.20_NRA_model_for_NEMO2 (EMC Update) v0.22_NRA_model_for_NEMO2 (EMC Update) v0.26_NRA_model_for_NEMO2 (EMC Update) v0.29.4_NRA_model_for_NEMO2 (EMC Update) v0.29.5" xfId="958"/>
    <cellStyle name="%_NRA_model_for_NEMO2 (EMC Update) v0.20_NRA_model_for_NEMO2 (EMC Update) v0.22_NRA_model_for_NEMO2 (EMC Update) v0.26_NRA_model_for_NEMO2 (EMC Update) v0.29.4_NRA_model_for_NEMO2 (EMC Update) v0.29.5_NRA_model_for_NEMO2 (EMC Update) v0 30 1" xfId="959"/>
    <cellStyle name="%_NRA_model_for_NEMO2 (EMC Update) v0.20_NRA_model_for_NEMO2 (EMC Update) v0.22_NRA_model_for_NEMO2 (EMC Update) v0.26_NRA_model_for_NEMO2 (EMC Update) v0.29.5" xfId="960"/>
    <cellStyle name="%_NRA_model_for_NEMO2 (EMC Update) v0.20_NRA_model_for_NEMO2 (EMC Update) v0.22_NRA_model_for_NEMO2 (EMC Update) v0.26_NRA_model_for_NEMO2 (EMC Update) v0.29.5_NRA_model_for_NEMO2 (EMC Update) v0 30 1" xfId="961"/>
    <cellStyle name="%_NRA_model_for_NEMO2 (EMC Update) v0.20_NRA_model_for_NEMO2 (EMC Update) v0.22_NRA_model_for_NEMO2 (EMC Update) v0.26_NRA_model_for_NEMO2 (EMC Update) v0.29_NRA_model_for_NEMO2 (EMC Update) v0 30 1" xfId="962"/>
    <cellStyle name="%_NRA_model_for_NEMO2 (EMC Update) v0.20_NRA_model_for_NEMO2 (EMC Update) v0.22_NRA_model_for_NEMO2 (EMC Update) v0.26_NRA_model_for_NEMO2 (EMC Update) v0.29_NRA_model_for_NEMO2 (EMC Update) v0.29.2" xfId="963"/>
    <cellStyle name="%_NRA_model_for_NEMO2 (EMC Update) v0.20_NRA_model_for_NEMO2 (EMC Update) v0.22_NRA_model_for_NEMO2 (EMC Update) v0.26_NRA_model_for_NEMO2 (EMC Update) v0.29_NRA_model_for_NEMO2 (EMC Update) v0.29.2_NRA_model_for_NEMO2 (EMC Update) v0 30 1" xfId="964"/>
    <cellStyle name="%_NRA_model_for_NEMO2 (EMC Update) v0.20_NRA_model_for_NEMO2 (EMC Update) v0.22_NRA_model_for_NEMO2 (EMC Update) v0.26_NRA_model_for_NEMO2 (EMC Update) v0.29_NRA_model_for_NEMO2 (EMC Update) v0.29.2_NRA_model_for_NEMO2 (EMC Update) v0.29.3" xfId="965"/>
    <cellStyle name="%_NRA_model_for_NEMO2 (EMC Update) v0.20_NRA_model_for_NEMO2 (EMC Update) v0.22_NRA_model_for_NEMO2 (EMC Update) v0.26_NRA_model_for_NEMO2 (EMC Update) v0.29_NRA_model_for_NEMO2 (EMC Update) v0.29.2_NRA_model_for_NEMO2 (EMC Update) v0.29.4" xfId="966"/>
    <cellStyle name="%_NRA_model_for_NEMO2 (EMC Update) v0.20_NRA_model_for_NEMO2 (EMC Update) v0.22_NRA_model_for_NEMO2 (EMC Update) v0.26_NRA_model_for_NEMO2 (EMC Update) v0.29_NRA_model_for_NEMO2 (EMC Update) v0.29.2_NRA_model_for_NEMO2 (EMC Update) v0.29.5" xfId="967"/>
    <cellStyle name="%_NRA_model_for_NEMO2 (EMC Update) v0.20_NRA_model_for_NEMO2 (EMC Update) v0.22_NRA_model_for_NEMO2 (EMC Update) v0.26_NRA_model_for_NEMO2 (EMC Update) v0.29_NRA_model_for_NEMO2 (EMC Update) v0.29.3" xfId="968"/>
    <cellStyle name="%_NRA_model_for_NEMO2 (EMC Update) v0.20_NRA_model_for_NEMO2 (EMC Update) v0.22_NRA_model_for_NEMO2 (EMC Update) v0.26_NRA_model_for_NEMO2 (EMC Update) v0.29_NRA_model_for_NEMO2 (EMC Update) v0.29.3_NRA_model_for_NEMO2 (EMC Update) v0 30 1" xfId="969"/>
    <cellStyle name="%_NRA_model_for_NEMO2 (EMC Update) v0.20_NRA_model_for_NEMO2 (EMC Update) v0.22_NRA_model_for_NEMO2 (EMC Update) v0.26_NRA_model_for_NEMO2 (EMC Update) v0.29_NRA_model_for_NEMO2 (EMC Update) v0.29.3_NRA_model_for_NEMO2 (EMC Update) v0.29.5" xfId="970"/>
    <cellStyle name="%_NRA_model_for_NEMO2 (EMC Update) v0.20_NRA_model_for_NEMO2 (EMC Update) v0.22_NRA_model_for_NEMO2 (EMC Update) v0.26_NRA_model_for_NEMO2 (EMC Update) v0.29_NRA_model_for_NEMO2 (EMC Update) v0.29.4" xfId="971"/>
    <cellStyle name="%_NRA_model_for_NEMO2 (EMC Update) v0.20_NRA_model_for_NEMO2 (EMC Update) v0.22_NRA_model_for_NEMO2 (EMC Update) v0.26_NRA_model_for_NEMO2 (EMC Update) v0.29_NRA_model_for_NEMO2 (EMC Update) v0.29.4_NRA_model_for_NEMO2 (EMC Update) v0 30 1" xfId="972"/>
    <cellStyle name="%_NRA_model_for_NEMO2 (EMC Update) v0.20_NRA_model_for_NEMO2 (EMC Update) v0.22_NRA_model_for_NEMO2 (EMC Update) v0.26_NRA_model_for_NEMO2 (EMC Update) v0.29_NRA_model_for_NEMO2 (EMC Update) v0.29.4_NRA_model_for_NEMO2 (EMC Update) v0.29.5" xfId="973"/>
    <cellStyle name="%_NRA_model_for_NEMO2 (EMC Update) v0.20_NRA_model_for_NEMO2 (EMC Update) v0.22_NRA_model_for_NEMO2 (EMC Update) v0.26_NRA_model_for_NEMO2 (EMC Update) v0.29_NRA_model_for_NEMO2 (EMC Update) v0.29.5" xfId="974"/>
    <cellStyle name="%_NRA_model_for_NEMO2 (EMC Update) v0.20_NRA_model_for_NEMO2 (EMC Update) v0.22_NRA_model_for_NEMO2 (EMC Update) v0.26_NRA_model_for_NEMO2 (EMC Update) v0.29_NRA_model_for_NEMO2 (EMC Update) v0.29.5_NRA_model_for_NEMO2 (EMC Update) v0 30 1" xfId="975"/>
    <cellStyle name="%_NRA_model_for_NEMO2 (EMC Update) v0.20_NRA_model_for_NEMO2 (EMC Update) v0.22_NRA_model_for_NEMO2 (EMC Update) v0.29" xfId="976"/>
    <cellStyle name="%_NRA_model_for_NEMO2 (EMC Update) v0.20_NRA_model_for_NEMO2 (EMC Update) v0.22_NRA_model_for_NEMO2 (EMC Update) v0.29.2" xfId="977"/>
    <cellStyle name="%_NRA_model_for_NEMO2 (EMC Update) v0.20_NRA_model_for_NEMO2 (EMC Update) v0.22_NRA_model_for_NEMO2 (EMC Update) v0.29.2_NRA_model_for_NEMO2 (EMC Update) v0 30 1" xfId="978"/>
    <cellStyle name="%_NRA_model_for_NEMO2 (EMC Update) v0.20_NRA_model_for_NEMO2 (EMC Update) v0.22_NRA_model_for_NEMO2 (EMC Update) v0.29.2_NRA_model_for_NEMO2 (EMC Update) v0.29.3" xfId="979"/>
    <cellStyle name="%_NRA_model_for_NEMO2 (EMC Update) v0.20_NRA_model_for_NEMO2 (EMC Update) v0.22_NRA_model_for_NEMO2 (EMC Update) v0.29.2_NRA_model_for_NEMO2 (EMC Update) v0.29.3_NRA_model_for_NEMO2 (EMC Update) v0 30 1" xfId="980"/>
    <cellStyle name="%_NRA_model_for_NEMO2 (EMC Update) v0.20_NRA_model_for_NEMO2 (EMC Update) v0.22_NRA_model_for_NEMO2 (EMC Update) v0.29.2_NRA_model_for_NEMO2 (EMC Update) v0.29.3_NRA_model_for_NEMO2 (EMC Update) v0.29.5" xfId="981"/>
    <cellStyle name="%_NRA_model_for_NEMO2 (EMC Update) v0.20_NRA_model_for_NEMO2 (EMC Update) v0.22_NRA_model_for_NEMO2 (EMC Update) v0.29.2_NRA_model_for_NEMO2 (EMC Update) v0.29.3_NRA_model_for_NEMO2 (EMC Update) v0.29.5_NRA_model_for_NEMO2 (EMC Update) v0 30 1" xfId="982"/>
    <cellStyle name="%_NRA_model_for_NEMO2 (EMC Update) v0.20_NRA_model_for_NEMO2 (EMC Update) v0.22_NRA_model_for_NEMO2 (EMC Update) v0.29.2_NRA_model_for_NEMO2 (EMC Update) v0.29.4" xfId="983"/>
    <cellStyle name="%_NRA_model_for_NEMO2 (EMC Update) v0.20_NRA_model_for_NEMO2 (EMC Update) v0.22_NRA_model_for_NEMO2 (EMC Update) v0.29.2_NRA_model_for_NEMO2 (EMC Update) v0.29.4_NRA_model_for_NEMO2 (EMC Update) v0 30 1" xfId="984"/>
    <cellStyle name="%_NRA_model_for_NEMO2 (EMC Update) v0.20_NRA_model_for_NEMO2 (EMC Update) v0.22_NRA_model_for_NEMO2 (EMC Update) v0.29.2_NRA_model_for_NEMO2 (EMC Update) v0.29.4_NRA_model_for_NEMO2 (EMC Update) v0.29.5" xfId="985"/>
    <cellStyle name="%_NRA_model_for_NEMO2 (EMC Update) v0.20_NRA_model_for_NEMO2 (EMC Update) v0.22_NRA_model_for_NEMO2 (EMC Update) v0.29.2_NRA_model_for_NEMO2 (EMC Update) v0.29.4_NRA_model_for_NEMO2 (EMC Update) v0.29.5_NRA_model_for_NEMO2 (EMC Update) v0 30 1" xfId="986"/>
    <cellStyle name="%_NRA_model_for_NEMO2 (EMC Update) v0.20_NRA_model_for_NEMO2 (EMC Update) v0.22_NRA_model_for_NEMO2 (EMC Update) v0.29.2_NRA_model_for_NEMO2 (EMC Update) v0.29.5" xfId="987"/>
    <cellStyle name="%_NRA_model_for_NEMO2 (EMC Update) v0.20_NRA_model_for_NEMO2 (EMC Update) v0.22_NRA_model_for_NEMO2 (EMC Update) v0.29.2_NRA_model_for_NEMO2 (EMC Update) v0.29.5_NRA_model_for_NEMO2 (EMC Update) v0 30 1" xfId="988"/>
    <cellStyle name="%_NRA_model_for_NEMO2 (EMC Update) v0.20_NRA_model_for_NEMO2 (EMC Update) v0.22_NRA_model_for_NEMO2 (EMC Update) v0.29.3" xfId="989"/>
    <cellStyle name="%_NRA_model_for_NEMO2 (EMC Update) v0.20_NRA_model_for_NEMO2 (EMC Update) v0.22_NRA_model_for_NEMO2 (EMC Update) v0.29.3_NRA_model_for_NEMO2 (EMC Update) v0 30 1" xfId="990"/>
    <cellStyle name="%_NRA_model_for_NEMO2 (EMC Update) v0.20_NRA_model_for_NEMO2 (EMC Update) v0.22_NRA_model_for_NEMO2 (EMC Update) v0.29.3_NRA_model_for_NEMO2 (EMC Update) v0.29.5" xfId="991"/>
    <cellStyle name="%_NRA_model_for_NEMO2 (EMC Update) v0.20_NRA_model_for_NEMO2 (EMC Update) v0.22_NRA_model_for_NEMO2 (EMC Update) v0.29.3_NRA_model_for_NEMO2 (EMC Update) v0.29.5_NRA_model_for_NEMO2 (EMC Update) v0 30 1" xfId="992"/>
    <cellStyle name="%_NRA_model_for_NEMO2 (EMC Update) v0.20_NRA_model_for_NEMO2 (EMC Update) v0.22_NRA_model_for_NEMO2 (EMC Update) v0.29.4" xfId="993"/>
    <cellStyle name="%_NRA_model_for_NEMO2 (EMC Update) v0.20_NRA_model_for_NEMO2 (EMC Update) v0.22_NRA_model_for_NEMO2 (EMC Update) v0.29.4_NRA_model_for_NEMO2 (EMC Update) v0 30 1" xfId="994"/>
    <cellStyle name="%_NRA_model_for_NEMO2 (EMC Update) v0.20_NRA_model_for_NEMO2 (EMC Update) v0.22_NRA_model_for_NEMO2 (EMC Update) v0.29.4_NRA_model_for_NEMO2 (EMC Update) v0.29.5" xfId="995"/>
    <cellStyle name="%_NRA_model_for_NEMO2 (EMC Update) v0.20_NRA_model_for_NEMO2 (EMC Update) v0.22_NRA_model_for_NEMO2 (EMC Update) v0.29.4_NRA_model_for_NEMO2 (EMC Update) v0.29.5_NRA_model_for_NEMO2 (EMC Update) v0 30 1" xfId="996"/>
    <cellStyle name="%_NRA_model_for_NEMO2 (EMC Update) v0.20_NRA_model_for_NEMO2 (EMC Update) v0.22_NRA_model_for_NEMO2 (EMC Update) v0.29.5" xfId="997"/>
    <cellStyle name="%_NRA_model_for_NEMO2 (EMC Update) v0.20_NRA_model_for_NEMO2 (EMC Update) v0.22_NRA_model_for_NEMO2 (EMC Update) v0.29.5_NRA_model_for_NEMO2 (EMC Update) v0 30 1" xfId="998"/>
    <cellStyle name="%_NRA_model_for_NEMO2 (EMC Update) v0.20_NRA_model_for_NEMO2 (EMC Update) v0.22_NRA_model_for_NEMO2 (EMC Update) v0.29_NRA_model_for_NEMO2 (EMC Update) v0 30 1" xfId="999"/>
    <cellStyle name="%_NRA_model_for_NEMO2 (EMC Update) v0.20_NRA_model_for_NEMO2 (EMC Update) v0.22_NRA_model_for_NEMO2 (EMC Update) v0.29_NRA_model_for_NEMO2 (EMC Update) v0.29.2" xfId="1000"/>
    <cellStyle name="%_NRA_model_for_NEMO2 (EMC Update) v0.20_NRA_model_for_NEMO2 (EMC Update) v0.22_NRA_model_for_NEMO2 (EMC Update) v0.29_NRA_model_for_NEMO2 (EMC Update) v0.29.2_NRA_model_for_NEMO2 (EMC Update) v0 30 1" xfId="1001"/>
    <cellStyle name="%_NRA_model_for_NEMO2 (EMC Update) v0.20_NRA_model_for_NEMO2 (EMC Update) v0.22_NRA_model_for_NEMO2 (EMC Update) v0.29_NRA_model_for_NEMO2 (EMC Update) v0.29.2_NRA_model_for_NEMO2 (EMC Update) v0.29.3" xfId="1002"/>
    <cellStyle name="%_NRA_model_for_NEMO2 (EMC Update) v0.20_NRA_model_for_NEMO2 (EMC Update) v0.22_NRA_model_for_NEMO2 (EMC Update) v0.29_NRA_model_for_NEMO2 (EMC Update) v0.29.2_NRA_model_for_NEMO2 (EMC Update) v0.29.3_NRA_model_for_NEMO2 (EMC Update) v0 30 1" xfId="1003"/>
    <cellStyle name="%_NRA_model_for_NEMO2 (EMC Update) v0.20_NRA_model_for_NEMO2 (EMC Update) v0.22_NRA_model_for_NEMO2 (EMC Update) v0.29_NRA_model_for_NEMO2 (EMC Update) v0.29.2_NRA_model_for_NEMO2 (EMC Update) v0.29.3_NRA_model_for_NEMO2 (EMC Update) v0.29.5" xfId="1004"/>
    <cellStyle name="%_NRA_model_for_NEMO2 (EMC Update) v0.20_NRA_model_for_NEMO2 (EMC Update) v0.22_NRA_model_for_NEMO2 (EMC Update) v0.29_NRA_model_for_NEMO2 (EMC Update) v0.29.2_NRA_model_for_NEMO2 (EMC Update) v0.29.4" xfId="1005"/>
    <cellStyle name="%_NRA_model_for_NEMO2 (EMC Update) v0.20_NRA_model_for_NEMO2 (EMC Update) v0.22_NRA_model_for_NEMO2 (EMC Update) v0.29_NRA_model_for_NEMO2 (EMC Update) v0.29.2_NRA_model_for_NEMO2 (EMC Update) v0.29.4_NRA_model_for_NEMO2 (EMC Update) v0 30 1" xfId="1006"/>
    <cellStyle name="%_NRA_model_for_NEMO2 (EMC Update) v0.20_NRA_model_for_NEMO2 (EMC Update) v0.22_NRA_model_for_NEMO2 (EMC Update) v0.29_NRA_model_for_NEMO2 (EMC Update) v0.29.2_NRA_model_for_NEMO2 (EMC Update) v0.29.4_NRA_model_for_NEMO2 (EMC Update) v0.29.5" xfId="1007"/>
    <cellStyle name="%_NRA_model_for_NEMO2 (EMC Update) v0.20_NRA_model_for_NEMO2 (EMC Update) v0.22_NRA_model_for_NEMO2 (EMC Update) v0.29_NRA_model_for_NEMO2 (EMC Update) v0.29.2_NRA_model_for_NEMO2 (EMC Update) v0.29.5" xfId="1008"/>
    <cellStyle name="%_NRA_model_for_NEMO2 (EMC Update) v0.20_NRA_model_for_NEMO2 (EMC Update) v0.22_NRA_model_for_NEMO2 (EMC Update) v0.29_NRA_model_for_NEMO2 (EMC Update) v0.29.2_NRA_model_for_NEMO2 (EMC Update) v0.29.5_NRA_model_for_NEMO2 (EMC Update) v0 30 1" xfId="1009"/>
    <cellStyle name="%_NRA_model_for_NEMO2 (EMC Update) v0.20_NRA_model_for_NEMO2 (EMC Update) v0.22_NRA_model_for_NEMO2 (EMC Update) v0.29_NRA_model_for_NEMO2 (EMC Update) v0.29.3" xfId="1010"/>
    <cellStyle name="%_NRA_model_for_NEMO2 (EMC Update) v0.20_NRA_model_for_NEMO2 (EMC Update) v0.22_NRA_model_for_NEMO2 (EMC Update) v0.29_NRA_model_for_NEMO2 (EMC Update) v0.29.3_NRA_model_for_NEMO2 (EMC Update) v0 30 1" xfId="1011"/>
    <cellStyle name="%_NRA_model_for_NEMO2 (EMC Update) v0.20_NRA_model_for_NEMO2 (EMC Update) v0.22_NRA_model_for_NEMO2 (EMC Update) v0.29_NRA_model_for_NEMO2 (EMC Update) v0.29.3_NRA_model_for_NEMO2 (EMC Update) v0.29.5" xfId="1012"/>
    <cellStyle name="%_NRA_model_for_NEMO2 (EMC Update) v0.20_NRA_model_for_NEMO2 (EMC Update) v0.22_NRA_model_for_NEMO2 (EMC Update) v0.29_NRA_model_for_NEMO2 (EMC Update) v0.29.3_NRA_model_for_NEMO2 (EMC Update) v0.29.5_NRA_model_for_NEMO2 (EMC Update) v0 30 1" xfId="1013"/>
    <cellStyle name="%_NRA_model_for_NEMO2 (EMC Update) v0.20_NRA_model_for_NEMO2 (EMC Update) v0.22_NRA_model_for_NEMO2 (EMC Update) v0.29_NRA_model_for_NEMO2 (EMC Update) v0.29.4" xfId="1014"/>
    <cellStyle name="%_NRA_model_for_NEMO2 (EMC Update) v0.20_NRA_model_for_NEMO2 (EMC Update) v0.22_NRA_model_for_NEMO2 (EMC Update) v0.29_NRA_model_for_NEMO2 (EMC Update) v0.29.4_NRA_model_for_NEMO2 (EMC Update) v0 30 1" xfId="1015"/>
    <cellStyle name="%_NRA_model_for_NEMO2 (EMC Update) v0.20_NRA_model_for_NEMO2 (EMC Update) v0.22_NRA_model_for_NEMO2 (EMC Update) v0.29_NRA_model_for_NEMO2 (EMC Update) v0.29.4_NRA_model_for_NEMO2 (EMC Update) v0.29.5" xfId="1016"/>
    <cellStyle name="%_NRA_model_for_NEMO2 (EMC Update) v0.20_NRA_model_for_NEMO2 (EMC Update) v0.22_NRA_model_for_NEMO2 (EMC Update) v0.29_NRA_model_for_NEMO2 (EMC Update) v0.29.4_NRA_model_for_NEMO2 (EMC Update) v0.29.5_NRA_model_for_NEMO2 (EMC Update) v0 30 1" xfId="1017"/>
    <cellStyle name="%_NRA_model_for_NEMO2 (EMC Update) v0.20_NRA_model_for_NEMO2 (EMC Update) v0.22_NRA_model_for_NEMO2 (EMC Update) v0.29_NRA_model_for_NEMO2 (EMC Update) v0.29.5" xfId="1018"/>
    <cellStyle name="%_NRA_model_for_NEMO2 (EMC Update) v0.20_NRA_model_for_NEMO2 (EMC Update) v0.22_NRA_model_for_NEMO2 (EMC Update) v0.29_NRA_model_for_NEMO2 (EMC Update) v0.29.5_NRA_model_for_NEMO2 (EMC Update) v0 30 1" xfId="1019"/>
    <cellStyle name="%_NRA_model_for_NEMO2 (EMC Update) v0.20_NRA_model_for_NEMO2 (EMC Update) v0.25" xfId="1020"/>
    <cellStyle name="%_NRA_model_for_NEMO2 (EMC Update) v0.20_NRA_model_for_NEMO2 (EMC Update) v0.25_NRA_model_for_NEMO2 (EMC Update) v0 30 1" xfId="1021"/>
    <cellStyle name="%_NRA_model_for_NEMO2 (EMC Update) v0.20_NRA_model_for_NEMO2 (EMC Update) v0.25_NRA_model_for_NEMO2 (EMC Update) v0.26" xfId="1022"/>
    <cellStyle name="%_NRA_model_for_NEMO2 (EMC Update) v0.20_NRA_model_for_NEMO2 (EMC Update) v0.25_NRA_model_for_NEMO2 (EMC Update) v0.26_NRA_model_for_NEMO2 (EMC Update) v0 30 1" xfId="1023"/>
    <cellStyle name="%_NRA_model_for_NEMO2 (EMC Update) v0.20_NRA_model_for_NEMO2 (EMC Update) v0.25_NRA_model_for_NEMO2 (EMC Update) v0.26_NRA_model_for_NEMO2 (EMC Update) v0.29" xfId="1024"/>
    <cellStyle name="%_NRA_model_for_NEMO2 (EMC Update) v0.20_NRA_model_for_NEMO2 (EMC Update) v0.25_NRA_model_for_NEMO2 (EMC Update) v0.26_NRA_model_for_NEMO2 (EMC Update) v0.29.2" xfId="1025"/>
    <cellStyle name="%_NRA_model_for_NEMO2 (EMC Update) v0.20_NRA_model_for_NEMO2 (EMC Update) v0.25_NRA_model_for_NEMO2 (EMC Update) v0.26_NRA_model_for_NEMO2 (EMC Update) v0.29.2_NRA_model_for_NEMO2 (EMC Update) v0 30 1" xfId="1026"/>
    <cellStyle name="%_NRA_model_for_NEMO2 (EMC Update) v0.20_NRA_model_for_NEMO2 (EMC Update) v0.25_NRA_model_for_NEMO2 (EMC Update) v0.26_NRA_model_for_NEMO2 (EMC Update) v0.29.2_NRA_model_for_NEMO2 (EMC Update) v0.29.3" xfId="1027"/>
    <cellStyle name="%_NRA_model_for_NEMO2 (EMC Update) v0.20_NRA_model_for_NEMO2 (EMC Update) v0.25_NRA_model_for_NEMO2 (EMC Update) v0.26_NRA_model_for_NEMO2 (EMC Update) v0.29.2_NRA_model_for_NEMO2 (EMC Update) v0.29.3_NRA_model_for_NEMO2 (EMC Update) v0 30 1" xfId="1028"/>
    <cellStyle name="%_NRA_model_for_NEMO2 (EMC Update) v0.20_NRA_model_for_NEMO2 (EMC Update) v0.25_NRA_model_for_NEMO2 (EMC Update) v0.26_NRA_model_for_NEMO2 (EMC Update) v0.29.2_NRA_model_for_NEMO2 (EMC Update) v0.29.3_NRA_model_for_NEMO2 (EMC Update) v0.29.5" xfId="1029"/>
    <cellStyle name="%_NRA_model_for_NEMO2 (EMC Update) v0.20_NRA_model_for_NEMO2 (EMC Update) v0.25_NRA_model_for_NEMO2 (EMC Update) v0.26_NRA_model_for_NEMO2 (EMC Update) v0.29.2_NRA_model_for_NEMO2 (EMC Update) v0.29.4" xfId="1030"/>
    <cellStyle name="%_NRA_model_for_NEMO2 (EMC Update) v0.20_NRA_model_for_NEMO2 (EMC Update) v0.25_NRA_model_for_NEMO2 (EMC Update) v0.26_NRA_model_for_NEMO2 (EMC Update) v0.29.2_NRA_model_for_NEMO2 (EMC Update) v0.29.4_NRA_model_for_NEMO2 (EMC Update) v0 30 1" xfId="1031"/>
    <cellStyle name="%_NRA_model_for_NEMO2 (EMC Update) v0.20_NRA_model_for_NEMO2 (EMC Update) v0.25_NRA_model_for_NEMO2 (EMC Update) v0.26_NRA_model_for_NEMO2 (EMC Update) v0.29.2_NRA_model_for_NEMO2 (EMC Update) v0.29.4_NRA_model_for_NEMO2 (EMC Update) v0.29.5" xfId="1032"/>
    <cellStyle name="%_NRA_model_for_NEMO2 (EMC Update) v0.20_NRA_model_for_NEMO2 (EMC Update) v0.25_NRA_model_for_NEMO2 (EMC Update) v0.26_NRA_model_for_NEMO2 (EMC Update) v0.29.2_NRA_model_for_NEMO2 (EMC Update) v0.29.5" xfId="1033"/>
    <cellStyle name="%_NRA_model_for_NEMO2 (EMC Update) v0.20_NRA_model_for_NEMO2 (EMC Update) v0.25_NRA_model_for_NEMO2 (EMC Update) v0.26_NRA_model_for_NEMO2 (EMC Update) v0.29.2_NRA_model_for_NEMO2 (EMC Update) v0.29.5_NRA_model_for_NEMO2 (EMC Update) v0 30 1" xfId="1034"/>
    <cellStyle name="%_NRA_model_for_NEMO2 (EMC Update) v0.20_NRA_model_for_NEMO2 (EMC Update) v0.25_NRA_model_for_NEMO2 (EMC Update) v0.26_NRA_model_for_NEMO2 (EMC Update) v0.29.3" xfId="1035"/>
    <cellStyle name="%_NRA_model_for_NEMO2 (EMC Update) v0.20_NRA_model_for_NEMO2 (EMC Update) v0.25_NRA_model_for_NEMO2 (EMC Update) v0.26_NRA_model_for_NEMO2 (EMC Update) v0.29.3_NRA_model_for_NEMO2 (EMC Update) v0 30 1" xfId="1036"/>
    <cellStyle name="%_NRA_model_for_NEMO2 (EMC Update) v0.20_NRA_model_for_NEMO2 (EMC Update) v0.25_NRA_model_for_NEMO2 (EMC Update) v0.26_NRA_model_for_NEMO2 (EMC Update) v0.29.3_NRA_model_for_NEMO2 (EMC Update) v0.29.5" xfId="1037"/>
    <cellStyle name="%_NRA_model_for_NEMO2 (EMC Update) v0.20_NRA_model_for_NEMO2 (EMC Update) v0.25_NRA_model_for_NEMO2 (EMC Update) v0.26_NRA_model_for_NEMO2 (EMC Update) v0.29.3_NRA_model_for_NEMO2 (EMC Update) v0.29.5_NRA_model_for_NEMO2 (EMC Update) v0 30 1" xfId="1038"/>
    <cellStyle name="%_NRA_model_for_NEMO2 (EMC Update) v0.20_NRA_model_for_NEMO2 (EMC Update) v0.25_NRA_model_for_NEMO2 (EMC Update) v0.26_NRA_model_for_NEMO2 (EMC Update) v0.29.4" xfId="1039"/>
    <cellStyle name="%_NRA_model_for_NEMO2 (EMC Update) v0.20_NRA_model_for_NEMO2 (EMC Update) v0.25_NRA_model_for_NEMO2 (EMC Update) v0.26_NRA_model_for_NEMO2 (EMC Update) v0.29.4_NRA_model_for_NEMO2 (EMC Update) v0 30 1" xfId="1040"/>
    <cellStyle name="%_NRA_model_for_NEMO2 (EMC Update) v0.20_NRA_model_for_NEMO2 (EMC Update) v0.25_NRA_model_for_NEMO2 (EMC Update) v0.26_NRA_model_for_NEMO2 (EMC Update) v0.29.4_NRA_model_for_NEMO2 (EMC Update) v0.29.5" xfId="1041"/>
    <cellStyle name="%_NRA_model_for_NEMO2 (EMC Update) v0.20_NRA_model_for_NEMO2 (EMC Update) v0.25_NRA_model_for_NEMO2 (EMC Update) v0.26_NRA_model_for_NEMO2 (EMC Update) v0.29.4_NRA_model_for_NEMO2 (EMC Update) v0.29.5_NRA_model_for_NEMO2 (EMC Update) v0 30 1" xfId="1042"/>
    <cellStyle name="%_NRA_model_for_NEMO2 (EMC Update) v0.20_NRA_model_for_NEMO2 (EMC Update) v0.25_NRA_model_for_NEMO2 (EMC Update) v0.26_NRA_model_for_NEMO2 (EMC Update) v0.29.5" xfId="1043"/>
    <cellStyle name="%_NRA_model_for_NEMO2 (EMC Update) v0.20_NRA_model_for_NEMO2 (EMC Update) v0.25_NRA_model_for_NEMO2 (EMC Update) v0.26_NRA_model_for_NEMO2 (EMC Update) v0.29.5_NRA_model_for_NEMO2 (EMC Update) v0 30 1" xfId="1044"/>
    <cellStyle name="%_NRA_model_for_NEMO2 (EMC Update) v0.20_NRA_model_for_NEMO2 (EMC Update) v0.25_NRA_model_for_NEMO2 (EMC Update) v0.26_NRA_model_for_NEMO2 (EMC Update) v0.29_NRA_model_for_NEMO2 (EMC Update) v0 30 1" xfId="1045"/>
    <cellStyle name="%_NRA_model_for_NEMO2 (EMC Update) v0.20_NRA_model_for_NEMO2 (EMC Update) v0.25_NRA_model_for_NEMO2 (EMC Update) v0.26_NRA_model_for_NEMO2 (EMC Update) v0.29_NRA_model_for_NEMO2 (EMC Update) v0.29.2" xfId="1046"/>
    <cellStyle name="%_NRA_model_for_NEMO2 (EMC Update) v0.20_NRA_model_for_NEMO2 (EMC Update) v0.25_NRA_model_for_NEMO2 (EMC Update) v0.26_NRA_model_for_NEMO2 (EMC Update) v0.29_NRA_model_for_NEMO2 (EMC Update) v0.29.2_NRA_model_for_NEMO2 (EMC Update) v0 30 1" xfId="1047"/>
    <cellStyle name="%_NRA_model_for_NEMO2 (EMC Update) v0.20_NRA_model_for_NEMO2 (EMC Update) v0.25_NRA_model_for_NEMO2 (EMC Update) v0.26_NRA_model_for_NEMO2 (EMC Update) v0.29_NRA_model_for_NEMO2 (EMC Update) v0.29.2_NRA_model_for_NEMO2 (EMC Update) v0.29.3" xfId="1048"/>
    <cellStyle name="%_NRA_model_for_NEMO2 (EMC Update) v0.20_NRA_model_for_NEMO2 (EMC Update) v0.25_NRA_model_for_NEMO2 (EMC Update) v0.26_NRA_model_for_NEMO2 (EMC Update) v0.29_NRA_model_for_NEMO2 (EMC Update) v0.29.2_NRA_model_for_NEMO2 (EMC Update) v0.29.4" xfId="1049"/>
    <cellStyle name="%_NRA_model_for_NEMO2 (EMC Update) v0.20_NRA_model_for_NEMO2 (EMC Update) v0.25_NRA_model_for_NEMO2 (EMC Update) v0.26_NRA_model_for_NEMO2 (EMC Update) v0.29_NRA_model_for_NEMO2 (EMC Update) v0.29.2_NRA_model_for_NEMO2 (EMC Update) v0.29.5" xfId="1050"/>
    <cellStyle name="%_NRA_model_for_NEMO2 (EMC Update) v0.20_NRA_model_for_NEMO2 (EMC Update) v0.25_NRA_model_for_NEMO2 (EMC Update) v0.26_NRA_model_for_NEMO2 (EMC Update) v0.29_NRA_model_for_NEMO2 (EMC Update) v0.29.3" xfId="1051"/>
    <cellStyle name="%_NRA_model_for_NEMO2 (EMC Update) v0.20_NRA_model_for_NEMO2 (EMC Update) v0.25_NRA_model_for_NEMO2 (EMC Update) v0.26_NRA_model_for_NEMO2 (EMC Update) v0.29_NRA_model_for_NEMO2 (EMC Update) v0.29.3_NRA_model_for_NEMO2 (EMC Update) v0 30 1" xfId="1052"/>
    <cellStyle name="%_NRA_model_for_NEMO2 (EMC Update) v0.20_NRA_model_for_NEMO2 (EMC Update) v0.25_NRA_model_for_NEMO2 (EMC Update) v0.26_NRA_model_for_NEMO2 (EMC Update) v0.29_NRA_model_for_NEMO2 (EMC Update) v0.29.3_NRA_model_for_NEMO2 (EMC Update) v0.29.5" xfId="1053"/>
    <cellStyle name="%_NRA_model_for_NEMO2 (EMC Update) v0.20_NRA_model_for_NEMO2 (EMC Update) v0.25_NRA_model_for_NEMO2 (EMC Update) v0.26_NRA_model_for_NEMO2 (EMC Update) v0.29_NRA_model_for_NEMO2 (EMC Update) v0.29.4" xfId="1054"/>
    <cellStyle name="%_NRA_model_for_NEMO2 (EMC Update) v0.20_NRA_model_for_NEMO2 (EMC Update) v0.25_NRA_model_for_NEMO2 (EMC Update) v0.26_NRA_model_for_NEMO2 (EMC Update) v0.29_NRA_model_for_NEMO2 (EMC Update) v0.29.4_NRA_model_for_NEMO2 (EMC Update) v0 30 1" xfId="1055"/>
    <cellStyle name="%_NRA_model_for_NEMO2 (EMC Update) v0.20_NRA_model_for_NEMO2 (EMC Update) v0.25_NRA_model_for_NEMO2 (EMC Update) v0.26_NRA_model_for_NEMO2 (EMC Update) v0.29_NRA_model_for_NEMO2 (EMC Update) v0.29.4_NRA_model_for_NEMO2 (EMC Update) v0.29.5" xfId="1056"/>
    <cellStyle name="%_NRA_model_for_NEMO2 (EMC Update) v0.20_NRA_model_for_NEMO2 (EMC Update) v0.25_NRA_model_for_NEMO2 (EMC Update) v0.26_NRA_model_for_NEMO2 (EMC Update) v0.29_NRA_model_for_NEMO2 (EMC Update) v0.29.5" xfId="1057"/>
    <cellStyle name="%_NRA_model_for_NEMO2 (EMC Update) v0.20_NRA_model_for_NEMO2 (EMC Update) v0.25_NRA_model_for_NEMO2 (EMC Update) v0.26_NRA_model_for_NEMO2 (EMC Update) v0.29_NRA_model_for_NEMO2 (EMC Update) v0.29.5_NRA_model_for_NEMO2 (EMC Update) v0 30 1" xfId="1058"/>
    <cellStyle name="%_NRA_model_for_NEMO2 (EMC Update) v0.20_NRA_model_for_NEMO2 (EMC Update) v0.25_NRA_model_for_NEMO2 (EMC Update) v0.29" xfId="1059"/>
    <cellStyle name="%_NRA_model_for_NEMO2 (EMC Update) v0.20_NRA_model_for_NEMO2 (EMC Update) v0.25_NRA_model_for_NEMO2 (EMC Update) v0.29.2" xfId="1060"/>
    <cellStyle name="%_NRA_model_for_NEMO2 (EMC Update) v0.20_NRA_model_for_NEMO2 (EMC Update) v0.25_NRA_model_for_NEMO2 (EMC Update) v0.29.2_NRA_model_for_NEMO2 (EMC Update) v0 30 1" xfId="1061"/>
    <cellStyle name="%_NRA_model_for_NEMO2 (EMC Update) v0.20_NRA_model_for_NEMO2 (EMC Update) v0.25_NRA_model_for_NEMO2 (EMC Update) v0.29.2_NRA_model_for_NEMO2 (EMC Update) v0.29.3" xfId="1062"/>
    <cellStyle name="%_NRA_model_for_NEMO2 (EMC Update) v0.20_NRA_model_for_NEMO2 (EMC Update) v0.25_NRA_model_for_NEMO2 (EMC Update) v0.29.2_NRA_model_for_NEMO2 (EMC Update) v0.29.3_NRA_model_for_NEMO2 (EMC Update) v0 30 1" xfId="1063"/>
    <cellStyle name="%_NRA_model_for_NEMO2 (EMC Update) v0.20_NRA_model_for_NEMO2 (EMC Update) v0.25_NRA_model_for_NEMO2 (EMC Update) v0.29.2_NRA_model_for_NEMO2 (EMC Update) v0.29.3_NRA_model_for_NEMO2 (EMC Update) v0.29.5" xfId="1064"/>
    <cellStyle name="%_NRA_model_for_NEMO2 (EMC Update) v0.20_NRA_model_for_NEMO2 (EMC Update) v0.25_NRA_model_for_NEMO2 (EMC Update) v0.29.2_NRA_model_for_NEMO2 (EMC Update) v0.29.3_NRA_model_for_NEMO2 (EMC Update) v0.29.5_NRA_model_for_NEMO2 (EMC Update) v0 30 1" xfId="1065"/>
    <cellStyle name="%_NRA_model_for_NEMO2 (EMC Update) v0.20_NRA_model_for_NEMO2 (EMC Update) v0.25_NRA_model_for_NEMO2 (EMC Update) v0.29.2_NRA_model_for_NEMO2 (EMC Update) v0.29.4" xfId="1066"/>
    <cellStyle name="%_NRA_model_for_NEMO2 (EMC Update) v0.20_NRA_model_for_NEMO2 (EMC Update) v0.25_NRA_model_for_NEMO2 (EMC Update) v0.29.2_NRA_model_for_NEMO2 (EMC Update) v0.29.4_NRA_model_for_NEMO2 (EMC Update) v0 30 1" xfId="1067"/>
    <cellStyle name="%_NRA_model_for_NEMO2 (EMC Update) v0.20_NRA_model_for_NEMO2 (EMC Update) v0.25_NRA_model_for_NEMO2 (EMC Update) v0.29.2_NRA_model_for_NEMO2 (EMC Update) v0.29.4_NRA_model_for_NEMO2 (EMC Update) v0.29.5" xfId="1068"/>
    <cellStyle name="%_NRA_model_for_NEMO2 (EMC Update) v0.20_NRA_model_for_NEMO2 (EMC Update) v0.25_NRA_model_for_NEMO2 (EMC Update) v0.29.2_NRA_model_for_NEMO2 (EMC Update) v0.29.4_NRA_model_for_NEMO2 (EMC Update) v0.29.5_NRA_model_for_NEMO2 (EMC Update) v0 30 1" xfId="1069"/>
    <cellStyle name="%_NRA_model_for_NEMO2 (EMC Update) v0.20_NRA_model_for_NEMO2 (EMC Update) v0.25_NRA_model_for_NEMO2 (EMC Update) v0.29.2_NRA_model_for_NEMO2 (EMC Update) v0.29.5" xfId="1070"/>
    <cellStyle name="%_NRA_model_for_NEMO2 (EMC Update) v0.20_NRA_model_for_NEMO2 (EMC Update) v0.25_NRA_model_for_NEMO2 (EMC Update) v0.29.2_NRA_model_for_NEMO2 (EMC Update) v0.29.5_NRA_model_for_NEMO2 (EMC Update) v0 30 1" xfId="1071"/>
    <cellStyle name="%_NRA_model_for_NEMO2 (EMC Update) v0.20_NRA_model_for_NEMO2 (EMC Update) v0.25_NRA_model_for_NEMO2 (EMC Update) v0.29.3" xfId="1072"/>
    <cellStyle name="%_NRA_model_for_NEMO2 (EMC Update) v0.20_NRA_model_for_NEMO2 (EMC Update) v0.25_NRA_model_for_NEMO2 (EMC Update) v0.29.3_NRA_model_for_NEMO2 (EMC Update) v0 30 1" xfId="1073"/>
    <cellStyle name="%_NRA_model_for_NEMO2 (EMC Update) v0.20_NRA_model_for_NEMO2 (EMC Update) v0.25_NRA_model_for_NEMO2 (EMC Update) v0.29.3_NRA_model_for_NEMO2 (EMC Update) v0.29.5" xfId="1074"/>
    <cellStyle name="%_NRA_model_for_NEMO2 (EMC Update) v0.20_NRA_model_for_NEMO2 (EMC Update) v0.25_NRA_model_for_NEMO2 (EMC Update) v0.29.3_NRA_model_for_NEMO2 (EMC Update) v0.29.5_NRA_model_for_NEMO2 (EMC Update) v0 30 1" xfId="1075"/>
    <cellStyle name="%_NRA_model_for_NEMO2 (EMC Update) v0.20_NRA_model_for_NEMO2 (EMC Update) v0.25_NRA_model_for_NEMO2 (EMC Update) v0.29.4" xfId="1076"/>
    <cellStyle name="%_NRA_model_for_NEMO2 (EMC Update) v0.20_NRA_model_for_NEMO2 (EMC Update) v0.25_NRA_model_for_NEMO2 (EMC Update) v0.29.4_NRA_model_for_NEMO2 (EMC Update) v0 30 1" xfId="1077"/>
    <cellStyle name="%_NRA_model_for_NEMO2 (EMC Update) v0.20_NRA_model_for_NEMO2 (EMC Update) v0.25_NRA_model_for_NEMO2 (EMC Update) v0.29.4_NRA_model_for_NEMO2 (EMC Update) v0.29.5" xfId="1078"/>
    <cellStyle name="%_NRA_model_for_NEMO2 (EMC Update) v0.20_NRA_model_for_NEMO2 (EMC Update) v0.25_NRA_model_for_NEMO2 (EMC Update) v0.29.4_NRA_model_for_NEMO2 (EMC Update) v0.29.5_NRA_model_for_NEMO2 (EMC Update) v0 30 1" xfId="1079"/>
    <cellStyle name="%_NRA_model_for_NEMO2 (EMC Update) v0.20_NRA_model_for_NEMO2 (EMC Update) v0.25_NRA_model_for_NEMO2 (EMC Update) v0.29.5" xfId="1080"/>
    <cellStyle name="%_NRA_model_for_NEMO2 (EMC Update) v0.20_NRA_model_for_NEMO2 (EMC Update) v0.25_NRA_model_for_NEMO2 (EMC Update) v0.29.5_NRA_model_for_NEMO2 (EMC Update) v0 30 1" xfId="1081"/>
    <cellStyle name="%_NRA_model_for_NEMO2 (EMC Update) v0.20_NRA_model_for_NEMO2 (EMC Update) v0.25_NRA_model_for_NEMO2 (EMC Update) v0.29_NRA_model_for_NEMO2 (EMC Update) v0 30 1" xfId="1082"/>
    <cellStyle name="%_NRA_model_for_NEMO2 (EMC Update) v0.20_NRA_model_for_NEMO2 (EMC Update) v0.25_NRA_model_for_NEMO2 (EMC Update) v0.29_NRA_model_for_NEMO2 (EMC Update) v0.29.2" xfId="1083"/>
    <cellStyle name="%_NRA_model_for_NEMO2 (EMC Update) v0.20_NRA_model_for_NEMO2 (EMC Update) v0.25_NRA_model_for_NEMO2 (EMC Update) v0.29_NRA_model_for_NEMO2 (EMC Update) v0.29.2_NRA_model_for_NEMO2 (EMC Update) v0 30 1" xfId="1084"/>
    <cellStyle name="%_NRA_model_for_NEMO2 (EMC Update) v0.20_NRA_model_for_NEMO2 (EMC Update) v0.25_NRA_model_for_NEMO2 (EMC Update) v0.29_NRA_model_for_NEMO2 (EMC Update) v0.29.2_NRA_model_for_NEMO2 (EMC Update) v0.29.3" xfId="1085"/>
    <cellStyle name="%_NRA_model_for_NEMO2 (EMC Update) v0.20_NRA_model_for_NEMO2 (EMC Update) v0.25_NRA_model_for_NEMO2 (EMC Update) v0.29_NRA_model_for_NEMO2 (EMC Update) v0.29.2_NRA_model_for_NEMO2 (EMC Update) v0.29.3_NRA_model_for_NEMO2 (EMC Update) v0 30 1" xfId="1086"/>
    <cellStyle name="%_NRA_model_for_NEMO2 (EMC Update) v0.20_NRA_model_for_NEMO2 (EMC Update) v0.25_NRA_model_for_NEMO2 (EMC Update) v0.29_NRA_model_for_NEMO2 (EMC Update) v0.29.2_NRA_model_for_NEMO2 (EMC Update) v0.29.3_NRA_model_for_NEMO2 (EMC Update) v0.29.5" xfId="1087"/>
    <cellStyle name="%_NRA_model_for_NEMO2 (EMC Update) v0.20_NRA_model_for_NEMO2 (EMC Update) v0.25_NRA_model_for_NEMO2 (EMC Update) v0.29_NRA_model_for_NEMO2 (EMC Update) v0.29.2_NRA_model_for_NEMO2 (EMC Update) v0.29.4" xfId="1088"/>
    <cellStyle name="%_NRA_model_for_NEMO2 (EMC Update) v0.20_NRA_model_for_NEMO2 (EMC Update) v0.25_NRA_model_for_NEMO2 (EMC Update) v0.29_NRA_model_for_NEMO2 (EMC Update) v0.29.2_NRA_model_for_NEMO2 (EMC Update) v0.29.4_NRA_model_for_NEMO2 (EMC Update) v0 30 1" xfId="1089"/>
    <cellStyle name="%_NRA_model_for_NEMO2 (EMC Update) v0.20_NRA_model_for_NEMO2 (EMC Update) v0.25_NRA_model_for_NEMO2 (EMC Update) v0.29_NRA_model_for_NEMO2 (EMC Update) v0.29.2_NRA_model_for_NEMO2 (EMC Update) v0.29.4_NRA_model_for_NEMO2 (EMC Update) v0.29.5" xfId="1090"/>
    <cellStyle name="%_NRA_model_for_NEMO2 (EMC Update) v0.20_NRA_model_for_NEMO2 (EMC Update) v0.25_NRA_model_for_NEMO2 (EMC Update) v0.29_NRA_model_for_NEMO2 (EMC Update) v0.29.2_NRA_model_for_NEMO2 (EMC Update) v0.29.5" xfId="1091"/>
    <cellStyle name="%_NRA_model_for_NEMO2 (EMC Update) v0.20_NRA_model_for_NEMO2 (EMC Update) v0.25_NRA_model_for_NEMO2 (EMC Update) v0.29_NRA_model_for_NEMO2 (EMC Update) v0.29.2_NRA_model_for_NEMO2 (EMC Update) v0.29.5_NRA_model_for_NEMO2 (EMC Update) v0 30 1" xfId="1092"/>
    <cellStyle name="%_NRA_model_for_NEMO2 (EMC Update) v0.20_NRA_model_for_NEMO2 (EMC Update) v0.25_NRA_model_for_NEMO2 (EMC Update) v0.29_NRA_model_for_NEMO2 (EMC Update) v0.29.3" xfId="1093"/>
    <cellStyle name="%_NRA_model_for_NEMO2 (EMC Update) v0.20_NRA_model_for_NEMO2 (EMC Update) v0.25_NRA_model_for_NEMO2 (EMC Update) v0.29_NRA_model_for_NEMO2 (EMC Update) v0.29.3_NRA_model_for_NEMO2 (EMC Update) v0 30 1" xfId="1094"/>
    <cellStyle name="%_NRA_model_for_NEMO2 (EMC Update) v0.20_NRA_model_for_NEMO2 (EMC Update) v0.25_NRA_model_for_NEMO2 (EMC Update) v0.29_NRA_model_for_NEMO2 (EMC Update) v0.29.3_NRA_model_for_NEMO2 (EMC Update) v0.29.5" xfId="1095"/>
    <cellStyle name="%_NRA_model_for_NEMO2 (EMC Update) v0.20_NRA_model_for_NEMO2 (EMC Update) v0.25_NRA_model_for_NEMO2 (EMC Update) v0.29_NRA_model_for_NEMO2 (EMC Update) v0.29.3_NRA_model_for_NEMO2 (EMC Update) v0.29.5_NRA_model_for_NEMO2 (EMC Update) v0 30 1" xfId="1096"/>
    <cellStyle name="%_NRA_model_for_NEMO2 (EMC Update) v0.20_NRA_model_for_NEMO2 (EMC Update) v0.25_NRA_model_for_NEMO2 (EMC Update) v0.29_NRA_model_for_NEMO2 (EMC Update) v0.29.4" xfId="1097"/>
    <cellStyle name="%_NRA_model_for_NEMO2 (EMC Update) v0.20_NRA_model_for_NEMO2 (EMC Update) v0.25_NRA_model_for_NEMO2 (EMC Update) v0.29_NRA_model_for_NEMO2 (EMC Update) v0.29.4_NRA_model_for_NEMO2 (EMC Update) v0 30 1" xfId="1098"/>
    <cellStyle name="%_NRA_model_for_NEMO2 (EMC Update) v0.20_NRA_model_for_NEMO2 (EMC Update) v0.25_NRA_model_for_NEMO2 (EMC Update) v0.29_NRA_model_for_NEMO2 (EMC Update) v0.29.4_NRA_model_for_NEMO2 (EMC Update) v0.29.5" xfId="1099"/>
    <cellStyle name="%_NRA_model_for_NEMO2 (EMC Update) v0.20_NRA_model_for_NEMO2 (EMC Update) v0.25_NRA_model_for_NEMO2 (EMC Update) v0.29_NRA_model_for_NEMO2 (EMC Update) v0.29.4_NRA_model_for_NEMO2 (EMC Update) v0.29.5_NRA_model_for_NEMO2 (EMC Update) v0 30 1" xfId="1100"/>
    <cellStyle name="%_NRA_model_for_NEMO2 (EMC Update) v0.20_NRA_model_for_NEMO2 (EMC Update) v0.25_NRA_model_for_NEMO2 (EMC Update) v0.29_NRA_model_for_NEMO2 (EMC Update) v0.29.5" xfId="1101"/>
    <cellStyle name="%_NRA_model_for_NEMO2 (EMC Update) v0.20_NRA_model_for_NEMO2 (EMC Update) v0.25_NRA_model_for_NEMO2 (EMC Update) v0.29_NRA_model_for_NEMO2 (EMC Update) v0.29.5_NRA_model_for_NEMO2 (EMC Update) v0 30 1" xfId="1102"/>
    <cellStyle name="%_NRA_model_for_NEMO2 (EMC Update) v0.20_NRA_model_for_NEMO2 (EMC Update) v0.26" xfId="1103"/>
    <cellStyle name="%_NRA_model_for_NEMO2 (EMC Update) v0.20_NRA_model_for_NEMO2 (EMC Update) v0.26_NRA_model_for_NEMO2 (EMC Update) v0 30 1" xfId="1104"/>
    <cellStyle name="%_NRA_model_for_NEMO2 (EMC Update) v0.20_NRA_model_for_NEMO2 (EMC Update) v0.26_NRA_model_for_NEMO2 (EMC Update) v0.29" xfId="1105"/>
    <cellStyle name="%_NRA_model_for_NEMO2 (EMC Update) v0.20_NRA_model_for_NEMO2 (EMC Update) v0.26_NRA_model_for_NEMO2 (EMC Update) v0.29.2" xfId="1106"/>
    <cellStyle name="%_NRA_model_for_NEMO2 (EMC Update) v0.20_NRA_model_for_NEMO2 (EMC Update) v0.26_NRA_model_for_NEMO2 (EMC Update) v0.29.2_NRA_model_for_NEMO2 (EMC Update) v0 30 1" xfId="1107"/>
    <cellStyle name="%_NRA_model_for_NEMO2 (EMC Update) v0.20_NRA_model_for_NEMO2 (EMC Update) v0.26_NRA_model_for_NEMO2 (EMC Update) v0.29.2_NRA_model_for_NEMO2 (EMC Update) v0.29.3" xfId="1108"/>
    <cellStyle name="%_NRA_model_for_NEMO2 (EMC Update) v0.20_NRA_model_for_NEMO2 (EMC Update) v0.26_NRA_model_for_NEMO2 (EMC Update) v0.29.2_NRA_model_for_NEMO2 (EMC Update) v0.29.3_NRA_model_for_NEMO2 (EMC Update) v0 30 1" xfId="1109"/>
    <cellStyle name="%_NRA_model_for_NEMO2 (EMC Update) v0.20_NRA_model_for_NEMO2 (EMC Update) v0.26_NRA_model_for_NEMO2 (EMC Update) v0.29.2_NRA_model_for_NEMO2 (EMC Update) v0.29.3_NRA_model_for_NEMO2 (EMC Update) v0.29.5" xfId="1110"/>
    <cellStyle name="%_NRA_model_for_NEMO2 (EMC Update) v0.20_NRA_model_for_NEMO2 (EMC Update) v0.26_NRA_model_for_NEMO2 (EMC Update) v0.29.2_NRA_model_for_NEMO2 (EMC Update) v0.29.3_NRA_model_for_NEMO2 (EMC Update) v0.29.5_NRA_model_for_NEMO2 (EMC Update) v0 30 1" xfId="1111"/>
    <cellStyle name="%_NRA_model_for_NEMO2 (EMC Update) v0.20_NRA_model_for_NEMO2 (EMC Update) v0.26_NRA_model_for_NEMO2 (EMC Update) v0.29.2_NRA_model_for_NEMO2 (EMC Update) v0.29.4" xfId="1112"/>
    <cellStyle name="%_NRA_model_for_NEMO2 (EMC Update) v0.20_NRA_model_for_NEMO2 (EMC Update) v0.26_NRA_model_for_NEMO2 (EMC Update) v0.29.2_NRA_model_for_NEMO2 (EMC Update) v0.29.4_NRA_model_for_NEMO2 (EMC Update) v0 30 1" xfId="1113"/>
    <cellStyle name="%_NRA_model_for_NEMO2 (EMC Update) v0.20_NRA_model_for_NEMO2 (EMC Update) v0.26_NRA_model_for_NEMO2 (EMC Update) v0.29.2_NRA_model_for_NEMO2 (EMC Update) v0.29.4_NRA_model_for_NEMO2 (EMC Update) v0.29.5" xfId="1114"/>
    <cellStyle name="%_NRA_model_for_NEMO2 (EMC Update) v0.20_NRA_model_for_NEMO2 (EMC Update) v0.26_NRA_model_for_NEMO2 (EMC Update) v0.29.2_NRA_model_for_NEMO2 (EMC Update) v0.29.4_NRA_model_for_NEMO2 (EMC Update) v0.29.5_NRA_model_for_NEMO2 (EMC Update) v0 30 1" xfId="1115"/>
    <cellStyle name="%_NRA_model_for_NEMO2 (EMC Update) v0.20_NRA_model_for_NEMO2 (EMC Update) v0.26_NRA_model_for_NEMO2 (EMC Update) v0.29.2_NRA_model_for_NEMO2 (EMC Update) v0.29.5" xfId="1116"/>
    <cellStyle name="%_NRA_model_for_NEMO2 (EMC Update) v0.20_NRA_model_for_NEMO2 (EMC Update) v0.26_NRA_model_for_NEMO2 (EMC Update) v0.29.2_NRA_model_for_NEMO2 (EMC Update) v0.29.5_NRA_model_for_NEMO2 (EMC Update) v0 30 1" xfId="1117"/>
    <cellStyle name="%_NRA_model_for_NEMO2 (EMC Update) v0.20_NRA_model_for_NEMO2 (EMC Update) v0.26_NRA_model_for_NEMO2 (EMC Update) v0.29.3" xfId="1118"/>
    <cellStyle name="%_NRA_model_for_NEMO2 (EMC Update) v0.20_NRA_model_for_NEMO2 (EMC Update) v0.26_NRA_model_for_NEMO2 (EMC Update) v0.29.3_NRA_model_for_NEMO2 (EMC Update) v0 30 1" xfId="1119"/>
    <cellStyle name="%_NRA_model_for_NEMO2 (EMC Update) v0.20_NRA_model_for_NEMO2 (EMC Update) v0.26_NRA_model_for_NEMO2 (EMC Update) v0.29.3_NRA_model_for_NEMO2 (EMC Update) v0.29.5" xfId="1120"/>
    <cellStyle name="%_NRA_model_for_NEMO2 (EMC Update) v0.20_NRA_model_for_NEMO2 (EMC Update) v0.26_NRA_model_for_NEMO2 (EMC Update) v0.29.3_NRA_model_for_NEMO2 (EMC Update) v0.29.5_NRA_model_for_NEMO2 (EMC Update) v0 30 1" xfId="1121"/>
    <cellStyle name="%_NRA_model_for_NEMO2 (EMC Update) v0.20_NRA_model_for_NEMO2 (EMC Update) v0.26_NRA_model_for_NEMO2 (EMC Update) v0.29.4" xfId="1122"/>
    <cellStyle name="%_NRA_model_for_NEMO2 (EMC Update) v0.20_NRA_model_for_NEMO2 (EMC Update) v0.26_NRA_model_for_NEMO2 (EMC Update) v0.29.4_NRA_model_for_NEMO2 (EMC Update) v0 30 1" xfId="1123"/>
    <cellStyle name="%_NRA_model_for_NEMO2 (EMC Update) v0.20_NRA_model_for_NEMO2 (EMC Update) v0.26_NRA_model_for_NEMO2 (EMC Update) v0.29.4_NRA_model_for_NEMO2 (EMC Update) v0.29.5" xfId="1124"/>
    <cellStyle name="%_NRA_model_for_NEMO2 (EMC Update) v0.20_NRA_model_for_NEMO2 (EMC Update) v0.26_NRA_model_for_NEMO2 (EMC Update) v0.29.4_NRA_model_for_NEMO2 (EMC Update) v0.29.5_NRA_model_for_NEMO2 (EMC Update) v0 30 1" xfId="1125"/>
    <cellStyle name="%_NRA_model_for_NEMO2 (EMC Update) v0.20_NRA_model_for_NEMO2 (EMC Update) v0.26_NRA_model_for_NEMO2 (EMC Update) v0.29.5" xfId="1126"/>
    <cellStyle name="%_NRA_model_for_NEMO2 (EMC Update) v0.20_NRA_model_for_NEMO2 (EMC Update) v0.26_NRA_model_for_NEMO2 (EMC Update) v0.29.5_NRA_model_for_NEMO2 (EMC Update) v0 30 1" xfId="1127"/>
    <cellStyle name="%_NRA_model_for_NEMO2 (EMC Update) v0.20_NRA_model_for_NEMO2 (EMC Update) v0.26_NRA_model_for_NEMO2 (EMC Update) v0.29_NRA_model_for_NEMO2 (EMC Update) v0 30 1" xfId="1128"/>
    <cellStyle name="%_NRA_model_for_NEMO2 (EMC Update) v0.20_NRA_model_for_NEMO2 (EMC Update) v0.26_NRA_model_for_NEMO2 (EMC Update) v0.29_NRA_model_for_NEMO2 (EMC Update) v0.29.2" xfId="1129"/>
    <cellStyle name="%_NRA_model_for_NEMO2 (EMC Update) v0.20_NRA_model_for_NEMO2 (EMC Update) v0.26_NRA_model_for_NEMO2 (EMC Update) v0.29_NRA_model_for_NEMO2 (EMC Update) v0.29.2_NRA_model_for_NEMO2 (EMC Update) v0 30 1" xfId="1130"/>
    <cellStyle name="%_NRA_model_for_NEMO2 (EMC Update) v0.20_NRA_model_for_NEMO2 (EMC Update) v0.26_NRA_model_for_NEMO2 (EMC Update) v0.29_NRA_model_for_NEMO2 (EMC Update) v0.29.2_NRA_model_for_NEMO2 (EMC Update) v0.29.3" xfId="1131"/>
    <cellStyle name="%_NRA_model_for_NEMO2 (EMC Update) v0.20_NRA_model_for_NEMO2 (EMC Update) v0.26_NRA_model_for_NEMO2 (EMC Update) v0.29_NRA_model_for_NEMO2 (EMC Update) v0.29.2_NRA_model_for_NEMO2 (EMC Update) v0.29.3_NRA_model_for_NEMO2 (EMC Update) v0 30 1" xfId="1132"/>
    <cellStyle name="%_NRA_model_for_NEMO2 (EMC Update) v0.20_NRA_model_for_NEMO2 (EMC Update) v0.26_NRA_model_for_NEMO2 (EMC Update) v0.29_NRA_model_for_NEMO2 (EMC Update) v0.29.2_NRA_model_for_NEMO2 (EMC Update) v0.29.3_NRA_model_for_NEMO2 (EMC Update) v0.29.5" xfId="1133"/>
    <cellStyle name="%_NRA_model_for_NEMO2 (EMC Update) v0.20_NRA_model_for_NEMO2 (EMC Update) v0.26_NRA_model_for_NEMO2 (EMC Update) v0.29_NRA_model_for_NEMO2 (EMC Update) v0.29.2_NRA_model_for_NEMO2 (EMC Update) v0.29.4" xfId="1134"/>
    <cellStyle name="%_NRA_model_for_NEMO2 (EMC Update) v0.20_NRA_model_for_NEMO2 (EMC Update) v0.26_NRA_model_for_NEMO2 (EMC Update) v0.29_NRA_model_for_NEMO2 (EMC Update) v0.29.2_NRA_model_for_NEMO2 (EMC Update) v0.29.4_NRA_model_for_NEMO2 (EMC Update) v0 30 1" xfId="1135"/>
    <cellStyle name="%_NRA_model_for_NEMO2 (EMC Update) v0.20_NRA_model_for_NEMO2 (EMC Update) v0.26_NRA_model_for_NEMO2 (EMC Update) v0.29_NRA_model_for_NEMO2 (EMC Update) v0.29.2_NRA_model_for_NEMO2 (EMC Update) v0.29.4_NRA_model_for_NEMO2 (EMC Update) v0.29.5" xfId="1136"/>
    <cellStyle name="%_NRA_model_for_NEMO2 (EMC Update) v0.20_NRA_model_for_NEMO2 (EMC Update) v0.26_NRA_model_for_NEMO2 (EMC Update) v0.29_NRA_model_for_NEMO2 (EMC Update) v0.29.2_NRA_model_for_NEMO2 (EMC Update) v0.29.5" xfId="1137"/>
    <cellStyle name="%_NRA_model_for_NEMO2 (EMC Update) v0.20_NRA_model_for_NEMO2 (EMC Update) v0.26_NRA_model_for_NEMO2 (EMC Update) v0.29_NRA_model_for_NEMO2 (EMC Update) v0.29.2_NRA_model_for_NEMO2 (EMC Update) v0.29.5_NRA_model_for_NEMO2 (EMC Update) v0 30 1" xfId="1138"/>
    <cellStyle name="%_NRA_model_for_NEMO2 (EMC Update) v0.20_NRA_model_for_NEMO2 (EMC Update) v0.26_NRA_model_for_NEMO2 (EMC Update) v0.29_NRA_model_for_NEMO2 (EMC Update) v0.29.3" xfId="1139"/>
    <cellStyle name="%_NRA_model_for_NEMO2 (EMC Update) v0.20_NRA_model_for_NEMO2 (EMC Update) v0.26_NRA_model_for_NEMO2 (EMC Update) v0.29_NRA_model_for_NEMO2 (EMC Update) v0.29.3_NRA_model_for_NEMO2 (EMC Update) v0 30 1" xfId="1140"/>
    <cellStyle name="%_NRA_model_for_NEMO2 (EMC Update) v0.20_NRA_model_for_NEMO2 (EMC Update) v0.26_NRA_model_for_NEMO2 (EMC Update) v0.29_NRA_model_for_NEMO2 (EMC Update) v0.29.3_NRA_model_for_NEMO2 (EMC Update) v0.29.5" xfId="1141"/>
    <cellStyle name="%_NRA_model_for_NEMO2 (EMC Update) v0.20_NRA_model_for_NEMO2 (EMC Update) v0.26_NRA_model_for_NEMO2 (EMC Update) v0.29_NRA_model_for_NEMO2 (EMC Update) v0.29.3_NRA_model_for_NEMO2 (EMC Update) v0.29.5_NRA_model_for_NEMO2 (EMC Update) v0 30 1" xfId="1142"/>
    <cellStyle name="%_NRA_model_for_NEMO2 (EMC Update) v0.20_NRA_model_for_NEMO2 (EMC Update) v0.26_NRA_model_for_NEMO2 (EMC Update) v0.29_NRA_model_for_NEMO2 (EMC Update) v0.29.4" xfId="1143"/>
    <cellStyle name="%_NRA_model_for_NEMO2 (EMC Update) v0.20_NRA_model_for_NEMO2 (EMC Update) v0.26_NRA_model_for_NEMO2 (EMC Update) v0.29_NRA_model_for_NEMO2 (EMC Update) v0.29.4_NRA_model_for_NEMO2 (EMC Update) v0 30 1" xfId="1144"/>
    <cellStyle name="%_NRA_model_for_NEMO2 (EMC Update) v0.20_NRA_model_for_NEMO2 (EMC Update) v0.26_NRA_model_for_NEMO2 (EMC Update) v0.29_NRA_model_for_NEMO2 (EMC Update) v0.29.4_NRA_model_for_NEMO2 (EMC Update) v0.29.5" xfId="1145"/>
    <cellStyle name="%_NRA_model_for_NEMO2 (EMC Update) v0.20_NRA_model_for_NEMO2 (EMC Update) v0.26_NRA_model_for_NEMO2 (EMC Update) v0.29_NRA_model_for_NEMO2 (EMC Update) v0.29.4_NRA_model_for_NEMO2 (EMC Update) v0.29.5_NRA_model_for_NEMO2 (EMC Update) v0 30 1" xfId="1146"/>
    <cellStyle name="%_NRA_model_for_NEMO2 (EMC Update) v0.20_NRA_model_for_NEMO2 (EMC Update) v0.26_NRA_model_for_NEMO2 (EMC Update) v0.29_NRA_model_for_NEMO2 (EMC Update) v0.29.5" xfId="1147"/>
    <cellStyle name="%_NRA_model_for_NEMO2 (EMC Update) v0.20_NRA_model_for_NEMO2 (EMC Update) v0.26_NRA_model_for_NEMO2 (EMC Update) v0.29_NRA_model_for_NEMO2 (EMC Update) v0.29.5_NRA_model_for_NEMO2 (EMC Update) v0 30 1" xfId="1148"/>
    <cellStyle name="%_NRA_model_for_NEMO2 (EMC Update) v0.20_NRA_model_for_NEMO2 (EMC Update) v0.29" xfId="1149"/>
    <cellStyle name="%_NRA_model_for_NEMO2 (EMC Update) v0.20_NRA_model_for_NEMO2 (EMC Update) v0.29.2" xfId="1150"/>
    <cellStyle name="%_NRA_model_for_NEMO2 (EMC Update) v0.20_NRA_model_for_NEMO2 (EMC Update) v0.29.2_NRA_model_for_NEMO2 (EMC Update) v0 30 1" xfId="1151"/>
    <cellStyle name="%_NRA_model_for_NEMO2 (EMC Update) v0.20_NRA_model_for_NEMO2 (EMC Update) v0.29.2_NRA_model_for_NEMO2 (EMC Update) v0.29.3" xfId="1152"/>
    <cellStyle name="%_NRA_model_for_NEMO2 (EMC Update) v0.20_NRA_model_for_NEMO2 (EMC Update) v0.29.2_NRA_model_for_NEMO2 (EMC Update) v0.29.3_NRA_model_for_NEMO2 (EMC Update) v0 30 1" xfId="1153"/>
    <cellStyle name="%_NRA_model_for_NEMO2 (EMC Update) v0.20_NRA_model_for_NEMO2 (EMC Update) v0.29.2_NRA_model_for_NEMO2 (EMC Update) v0.29.3_NRA_model_for_NEMO2 (EMC Update) v0.29.5" xfId="1154"/>
    <cellStyle name="%_NRA_model_for_NEMO2 (EMC Update) v0.20_NRA_model_for_NEMO2 (EMC Update) v0.29.2_NRA_model_for_NEMO2 (EMC Update) v0.29.3_NRA_model_for_NEMO2 (EMC Update) v0.29.5_NRA_model_for_NEMO2 (EMC Update) v0 30 1" xfId="1155"/>
    <cellStyle name="%_NRA_model_for_NEMO2 (EMC Update) v0.20_NRA_model_for_NEMO2 (EMC Update) v0.29.2_NRA_model_for_NEMO2 (EMC Update) v0.29.4" xfId="1156"/>
    <cellStyle name="%_NRA_model_for_NEMO2 (EMC Update) v0.20_NRA_model_for_NEMO2 (EMC Update) v0.29.2_NRA_model_for_NEMO2 (EMC Update) v0.29.4_NRA_model_for_NEMO2 (EMC Update) v0 30 1" xfId="1157"/>
    <cellStyle name="%_NRA_model_for_NEMO2 (EMC Update) v0.20_NRA_model_for_NEMO2 (EMC Update) v0.29.2_NRA_model_for_NEMO2 (EMC Update) v0.29.4_NRA_model_for_NEMO2 (EMC Update) v0.29.5" xfId="1158"/>
    <cellStyle name="%_NRA_model_for_NEMO2 (EMC Update) v0.20_NRA_model_for_NEMO2 (EMC Update) v0.29.2_NRA_model_for_NEMO2 (EMC Update) v0.29.4_NRA_model_for_NEMO2 (EMC Update) v0.29.5_NRA_model_for_NEMO2 (EMC Update) v0 30 1" xfId="1159"/>
    <cellStyle name="%_NRA_model_for_NEMO2 (EMC Update) v0.20_NRA_model_for_NEMO2 (EMC Update) v0.29.2_NRA_model_for_NEMO2 (EMC Update) v0.29.5" xfId="1160"/>
    <cellStyle name="%_NRA_model_for_NEMO2 (EMC Update) v0.20_NRA_model_for_NEMO2 (EMC Update) v0.29.2_NRA_model_for_NEMO2 (EMC Update) v0.29.5_NRA_model_for_NEMO2 (EMC Update) v0 30 1" xfId="1161"/>
    <cellStyle name="%_NRA_model_for_NEMO2 (EMC Update) v0.20_NRA_model_for_NEMO2 (EMC Update) v0.29.3" xfId="1162"/>
    <cellStyle name="%_NRA_model_for_NEMO2 (EMC Update) v0.20_NRA_model_for_NEMO2 (EMC Update) v0.29.3_NRA_model_for_NEMO2 (EMC Update) v0 30 1" xfId="1163"/>
    <cellStyle name="%_NRA_model_for_NEMO2 (EMC Update) v0.20_NRA_model_for_NEMO2 (EMC Update) v0.29.3_NRA_model_for_NEMO2 (EMC Update) v0.29.5" xfId="1164"/>
    <cellStyle name="%_NRA_model_for_NEMO2 (EMC Update) v0.20_NRA_model_for_NEMO2 (EMC Update) v0.29.3_NRA_model_for_NEMO2 (EMC Update) v0.29.5_NRA_model_for_NEMO2 (EMC Update) v0 30 1" xfId="1165"/>
    <cellStyle name="%_NRA_model_for_NEMO2 (EMC Update) v0.20_NRA_model_for_NEMO2 (EMC Update) v0.29.4" xfId="1166"/>
    <cellStyle name="%_NRA_model_for_NEMO2 (EMC Update) v0.20_NRA_model_for_NEMO2 (EMC Update) v0.29.4_NRA_model_for_NEMO2 (EMC Update) v0 30 1" xfId="1167"/>
    <cellStyle name="%_NRA_model_for_NEMO2 (EMC Update) v0.20_NRA_model_for_NEMO2 (EMC Update) v0.29.4_NRA_model_for_NEMO2 (EMC Update) v0.29.5" xfId="1168"/>
    <cellStyle name="%_NRA_model_for_NEMO2 (EMC Update) v0.20_NRA_model_for_NEMO2 (EMC Update) v0.29.4_NRA_model_for_NEMO2 (EMC Update) v0.29.5_NRA_model_for_NEMO2 (EMC Update) v0 30 1" xfId="1169"/>
    <cellStyle name="%_NRA_model_for_NEMO2 (EMC Update) v0.20_NRA_model_for_NEMO2 (EMC Update) v0.29.5" xfId="1170"/>
    <cellStyle name="%_NRA_model_for_NEMO2 (EMC Update) v0.20_NRA_model_for_NEMO2 (EMC Update) v0.29.5_NRA_model_for_NEMO2 (EMC Update) v0 30 1" xfId="1171"/>
    <cellStyle name="%_NRA_model_for_NEMO2 (EMC Update) v0.20_NRA_model_for_NEMO2 (EMC Update) v0.29_NRA_model_for_NEMO2 (EMC Update) v0 30 1" xfId="1172"/>
    <cellStyle name="%_NRA_model_for_NEMO2 (EMC Update) v0.20_NRA_model_for_NEMO2 (EMC Update) v0.29_NRA_model_for_NEMO2 (EMC Update) v0.29.2" xfId="1173"/>
    <cellStyle name="%_NRA_model_for_NEMO2 (EMC Update) v0.20_NRA_model_for_NEMO2 (EMC Update) v0.29_NRA_model_for_NEMO2 (EMC Update) v0.29.2_NRA_model_for_NEMO2 (EMC Update) v0 30 1" xfId="1174"/>
    <cellStyle name="%_NRA_model_for_NEMO2 (EMC Update) v0.20_NRA_model_for_NEMO2 (EMC Update) v0.29_NRA_model_for_NEMO2 (EMC Update) v0.29.2_NRA_model_for_NEMO2 (EMC Update) v0.29.3" xfId="1175"/>
    <cellStyle name="%_NRA_model_for_NEMO2 (EMC Update) v0.20_NRA_model_for_NEMO2 (EMC Update) v0.29_NRA_model_for_NEMO2 (EMC Update) v0.29.2_NRA_model_for_NEMO2 (EMC Update) v0.29.3_NRA_model_for_NEMO2 (EMC Update) v0 30 1" xfId="1176"/>
    <cellStyle name="%_NRA_model_for_NEMO2 (EMC Update) v0.20_NRA_model_for_NEMO2 (EMC Update) v0.29_NRA_model_for_NEMO2 (EMC Update) v0.29.2_NRA_model_for_NEMO2 (EMC Update) v0.29.3_NRA_model_for_NEMO2 (EMC Update) v0.29.5" xfId="1177"/>
    <cellStyle name="%_NRA_model_for_NEMO2 (EMC Update) v0.20_NRA_model_for_NEMO2 (EMC Update) v0.29_NRA_model_for_NEMO2 (EMC Update) v0.29.2_NRA_model_for_NEMO2 (EMC Update) v0.29.3_NRA_model_for_NEMO2 (EMC Update) v0.29.5_NRA_model_for_NEMO2 (EMC Update) v0 30 1" xfId="1178"/>
    <cellStyle name="%_NRA_model_for_NEMO2 (EMC Update) v0.20_NRA_model_for_NEMO2 (EMC Update) v0.29_NRA_model_for_NEMO2 (EMC Update) v0.29.2_NRA_model_for_NEMO2 (EMC Update) v0.29.4" xfId="1179"/>
    <cellStyle name="%_NRA_model_for_NEMO2 (EMC Update) v0.20_NRA_model_for_NEMO2 (EMC Update) v0.29_NRA_model_for_NEMO2 (EMC Update) v0.29.2_NRA_model_for_NEMO2 (EMC Update) v0.29.4_NRA_model_for_NEMO2 (EMC Update) v0 30 1" xfId="1180"/>
    <cellStyle name="%_NRA_model_for_NEMO2 (EMC Update) v0.20_NRA_model_for_NEMO2 (EMC Update) v0.29_NRA_model_for_NEMO2 (EMC Update) v0.29.2_NRA_model_for_NEMO2 (EMC Update) v0.29.4_NRA_model_for_NEMO2 (EMC Update) v0.29.5" xfId="1181"/>
    <cellStyle name="%_NRA_model_for_NEMO2 (EMC Update) v0.20_NRA_model_for_NEMO2 (EMC Update) v0.29_NRA_model_for_NEMO2 (EMC Update) v0.29.2_NRA_model_for_NEMO2 (EMC Update) v0.29.4_NRA_model_for_NEMO2 (EMC Update) v0.29.5_NRA_model_for_NEMO2 (EMC Update) v0 30 1" xfId="1182"/>
    <cellStyle name="%_NRA_model_for_NEMO2 (EMC Update) v0.20_NRA_model_for_NEMO2 (EMC Update) v0.29_NRA_model_for_NEMO2 (EMC Update) v0.29.2_NRA_model_for_NEMO2 (EMC Update) v0.29.5" xfId="1183"/>
    <cellStyle name="%_NRA_model_for_NEMO2 (EMC Update) v0.20_NRA_model_for_NEMO2 (EMC Update) v0.29_NRA_model_for_NEMO2 (EMC Update) v0.29.2_NRA_model_for_NEMO2 (EMC Update) v0.29.5_NRA_model_for_NEMO2 (EMC Update) v0 30 1" xfId="1184"/>
    <cellStyle name="%_NRA_model_for_NEMO2 (EMC Update) v0.20_NRA_model_for_NEMO2 (EMC Update) v0.29_NRA_model_for_NEMO2 (EMC Update) v0.29.3" xfId="1185"/>
    <cellStyle name="%_NRA_model_for_NEMO2 (EMC Update) v0.20_NRA_model_for_NEMO2 (EMC Update) v0.29_NRA_model_for_NEMO2 (EMC Update) v0.29.3_NRA_model_for_NEMO2 (EMC Update) v0 30 1" xfId="1186"/>
    <cellStyle name="%_NRA_model_for_NEMO2 (EMC Update) v0.20_NRA_model_for_NEMO2 (EMC Update) v0.29_NRA_model_for_NEMO2 (EMC Update) v0.29.3_NRA_model_for_NEMO2 (EMC Update) v0.29.5" xfId="1187"/>
    <cellStyle name="%_NRA_model_for_NEMO2 (EMC Update) v0.20_NRA_model_for_NEMO2 (EMC Update) v0.29_NRA_model_for_NEMO2 (EMC Update) v0.29.3_NRA_model_for_NEMO2 (EMC Update) v0.29.5_NRA_model_for_NEMO2 (EMC Update) v0 30 1" xfId="1188"/>
    <cellStyle name="%_NRA_model_for_NEMO2 (EMC Update) v0.20_NRA_model_for_NEMO2 (EMC Update) v0.29_NRA_model_for_NEMO2 (EMC Update) v0.29.4" xfId="1189"/>
    <cellStyle name="%_NRA_model_for_NEMO2 (EMC Update) v0.20_NRA_model_for_NEMO2 (EMC Update) v0.29_NRA_model_for_NEMO2 (EMC Update) v0.29.4_NRA_model_for_NEMO2 (EMC Update) v0 30 1" xfId="1190"/>
    <cellStyle name="%_NRA_model_for_NEMO2 (EMC Update) v0.20_NRA_model_for_NEMO2 (EMC Update) v0.29_NRA_model_for_NEMO2 (EMC Update) v0.29.4_NRA_model_for_NEMO2 (EMC Update) v0.29.5" xfId="1191"/>
    <cellStyle name="%_NRA_model_for_NEMO2 (EMC Update) v0.20_NRA_model_for_NEMO2 (EMC Update) v0.29_NRA_model_for_NEMO2 (EMC Update) v0.29.4_NRA_model_for_NEMO2 (EMC Update) v0.29.5_NRA_model_for_NEMO2 (EMC Update) v0 30 1" xfId="1192"/>
    <cellStyle name="%_NRA_model_for_NEMO2 (EMC Update) v0.20_NRA_model_for_NEMO2 (EMC Update) v0.29_NRA_model_for_NEMO2 (EMC Update) v0.29.5" xfId="1193"/>
    <cellStyle name="%_NRA_model_for_NEMO2 (EMC Update) v0.20_NRA_model_for_NEMO2 (EMC Update) v0.29_NRA_model_for_NEMO2 (EMC Update) v0.29.5_NRA_model_for_NEMO2 (EMC Update) v0 30 1" xfId="1194"/>
    <cellStyle name="%_NRA_model_for_NEMO2 (EMC Update) v0.21" xfId="1195"/>
    <cellStyle name="%_NRA_model_for_NEMO2 (EMC Update) v0.21_NRA_model_for_NEMO2 (EMC Update) v0 30 1" xfId="1196"/>
    <cellStyle name="%_NRA_model_for_NEMO2 (EMC Update) v0.21_NRA_model_for_NEMO2 (EMC Update) v0.22" xfId="1197"/>
    <cellStyle name="%_NRA_model_for_NEMO2 (EMC Update) v0.21_NRA_model_for_NEMO2 (EMC Update) v0.22_NRA_model_for_NEMO2 (EMC Update) v0 30 1" xfId="1198"/>
    <cellStyle name="%_NRA_model_for_NEMO2 (EMC Update) v0.21_NRA_model_for_NEMO2 (EMC Update) v0.22_NRA_model_for_NEMO2 (EMC Update) v0.25" xfId="1199"/>
    <cellStyle name="%_NRA_model_for_NEMO2 (EMC Update) v0.21_NRA_model_for_NEMO2 (EMC Update) v0.22_NRA_model_for_NEMO2 (EMC Update) v0.25_NRA_model_for_NEMO2 (EMC Update) v0 30 1" xfId="1200"/>
    <cellStyle name="%_NRA_model_for_NEMO2 (EMC Update) v0.21_NRA_model_for_NEMO2 (EMC Update) v0.22_NRA_model_for_NEMO2 (EMC Update) v0.25_NRA_model_for_NEMO2 (EMC Update) v0.26" xfId="1201"/>
    <cellStyle name="%_NRA_model_for_NEMO2 (EMC Update) v0.21_NRA_model_for_NEMO2 (EMC Update) v0.22_NRA_model_for_NEMO2 (EMC Update) v0.25_NRA_model_for_NEMO2 (EMC Update) v0.26_NRA_model_for_NEMO2 (EMC Update) v0 30 1" xfId="1202"/>
    <cellStyle name="%_NRA_model_for_NEMO2 (EMC Update) v0.21_NRA_model_for_NEMO2 (EMC Update) v0.22_NRA_model_for_NEMO2 (EMC Update) v0.25_NRA_model_for_NEMO2 (EMC Update) v0.26_NRA_model_for_NEMO2 (EMC Update) v0.29" xfId="1203"/>
    <cellStyle name="%_NRA_model_for_NEMO2 (EMC Update) v0.21_NRA_model_for_NEMO2 (EMC Update) v0.22_NRA_model_for_NEMO2 (EMC Update) v0.25_NRA_model_for_NEMO2 (EMC Update) v0.26_NRA_model_for_NEMO2 (EMC Update) v0.29.2" xfId="1204"/>
    <cellStyle name="%_NRA_model_for_NEMO2 (EMC Update) v0.21_NRA_model_for_NEMO2 (EMC Update) v0.22_NRA_model_for_NEMO2 (EMC Update) v0.25_NRA_model_for_NEMO2 (EMC Update) v0.26_NRA_model_for_NEMO2 (EMC Update) v0.29.2_NRA_model_for_NEMO2 (EMC Update) v0 30 1" xfId="1205"/>
    <cellStyle name="%_NRA_model_for_NEMO2 (EMC Update) v0.21_NRA_model_for_NEMO2 (EMC Update) v0.22_NRA_model_for_NEMO2 (EMC Update) v0.25_NRA_model_for_NEMO2 (EMC Update) v0.26_NRA_model_for_NEMO2 (EMC Update) v0.29.2_NRA_model_for_NEMO2 (EMC Update) v0.29.3" xfId="1206"/>
    <cellStyle name="%_NRA_model_for_NEMO2 (EMC Update) v0.21_NRA_model_for_NEMO2 (EMC Update) v0.22_NRA_model_for_NEMO2 (EMC Update) v0.25_NRA_model_for_NEMO2 (EMC Update) v0.26_NRA_model_for_NEMO2 (EMC Update) v0.29.2_NRA_model_for_NEMO2 (EMC Update) v0.29.4" xfId="1207"/>
    <cellStyle name="%_NRA_model_for_NEMO2 (EMC Update) v0.21_NRA_model_for_NEMO2 (EMC Update) v0.22_NRA_model_for_NEMO2 (EMC Update) v0.25_NRA_model_for_NEMO2 (EMC Update) v0.26_NRA_model_for_NEMO2 (EMC Update) v0.29.2_NRA_model_for_NEMO2 (EMC Update) v0.29.5" xfId="1208"/>
    <cellStyle name="%_NRA_model_for_NEMO2 (EMC Update) v0.21_NRA_model_for_NEMO2 (EMC Update) v0.22_NRA_model_for_NEMO2 (EMC Update) v0.25_NRA_model_for_NEMO2 (EMC Update) v0.26_NRA_model_for_NEMO2 (EMC Update) v0.29.3" xfId="1209"/>
    <cellStyle name="%_NRA_model_for_NEMO2 (EMC Update) v0.21_NRA_model_for_NEMO2 (EMC Update) v0.22_NRA_model_for_NEMO2 (EMC Update) v0.25_NRA_model_for_NEMO2 (EMC Update) v0.26_NRA_model_for_NEMO2 (EMC Update) v0.29.3_NRA_model_for_NEMO2 (EMC Update) v0 30 1" xfId="1210"/>
    <cellStyle name="%_NRA_model_for_NEMO2 (EMC Update) v0.21_NRA_model_for_NEMO2 (EMC Update) v0.22_NRA_model_for_NEMO2 (EMC Update) v0.25_NRA_model_for_NEMO2 (EMC Update) v0.26_NRA_model_for_NEMO2 (EMC Update) v0.29.3_NRA_model_for_NEMO2 (EMC Update) v0.29.5" xfId="1211"/>
    <cellStyle name="%_NRA_model_for_NEMO2 (EMC Update) v0.21_NRA_model_for_NEMO2 (EMC Update) v0.22_NRA_model_for_NEMO2 (EMC Update) v0.25_NRA_model_for_NEMO2 (EMC Update) v0.26_NRA_model_for_NEMO2 (EMC Update) v0.29.4" xfId="1212"/>
    <cellStyle name="%_NRA_model_for_NEMO2 (EMC Update) v0.21_NRA_model_for_NEMO2 (EMC Update) v0.22_NRA_model_for_NEMO2 (EMC Update) v0.25_NRA_model_for_NEMO2 (EMC Update) v0.26_NRA_model_for_NEMO2 (EMC Update) v0.29.4_NRA_model_for_NEMO2 (EMC Update) v0 30 1" xfId="1213"/>
    <cellStyle name="%_NRA_model_for_NEMO2 (EMC Update) v0.21_NRA_model_for_NEMO2 (EMC Update) v0.22_NRA_model_for_NEMO2 (EMC Update) v0.25_NRA_model_for_NEMO2 (EMC Update) v0.26_NRA_model_for_NEMO2 (EMC Update) v0.29.4_NRA_model_for_NEMO2 (EMC Update) v0.29.5" xfId="1214"/>
    <cellStyle name="%_NRA_model_for_NEMO2 (EMC Update) v0.21_NRA_model_for_NEMO2 (EMC Update) v0.22_NRA_model_for_NEMO2 (EMC Update) v0.25_NRA_model_for_NEMO2 (EMC Update) v0.26_NRA_model_for_NEMO2 (EMC Update) v0.29.5" xfId="1215"/>
    <cellStyle name="%_NRA_model_for_NEMO2 (EMC Update) v0.21_NRA_model_for_NEMO2 (EMC Update) v0.22_NRA_model_for_NEMO2 (EMC Update) v0.25_NRA_model_for_NEMO2 (EMC Update) v0.26_NRA_model_for_NEMO2 (EMC Update) v0.29.5_NRA_model_for_NEMO2 (EMC Update) v0 30 1" xfId="1216"/>
    <cellStyle name="%_NRA_model_for_NEMO2 (EMC Update) v0.21_NRA_model_for_NEMO2 (EMC Update) v0.22_NRA_model_for_NEMO2 (EMC Update) v0.25_NRA_model_for_NEMO2 (EMC Update) v0.26_NRA_model_for_NEMO2 (EMC Update) v0.29_NRA_model_for_NEMO2 (EMC Update) v0 30 1" xfId="1217"/>
    <cellStyle name="%_NRA_model_for_NEMO2 (EMC Update) v0.21_NRA_model_for_NEMO2 (EMC Update) v0.22_NRA_model_for_NEMO2 (EMC Update) v0.25_NRA_model_for_NEMO2 (EMC Update) v0.26_NRA_model_for_NEMO2 (EMC Update) v0.29_NRA_model_for_NEMO2 (EMC Update) v0.29.2" xfId="1218"/>
    <cellStyle name="%_NRA_model_for_NEMO2 (EMC Update) v0.21_NRA_model_for_NEMO2 (EMC Update) v0.22_NRA_model_for_NEMO2 (EMC Update) v0.25_NRA_model_for_NEMO2 (EMC Update) v0.26_NRA_model_for_NEMO2 (EMC Update) v0.29_NRA_model_for_NEMO2 (EMC Update) v0.29.3" xfId="1219"/>
    <cellStyle name="%_NRA_model_for_NEMO2 (EMC Update) v0.21_NRA_model_for_NEMO2 (EMC Update) v0.22_NRA_model_for_NEMO2 (EMC Update) v0.25_NRA_model_for_NEMO2 (EMC Update) v0.26_NRA_model_for_NEMO2 (EMC Update) v0.29_NRA_model_for_NEMO2 (EMC Update) v0.29.4" xfId="1220"/>
    <cellStyle name="%_NRA_model_for_NEMO2 (EMC Update) v0.21_NRA_model_for_NEMO2 (EMC Update) v0.22_NRA_model_for_NEMO2 (EMC Update) v0.25_NRA_model_for_NEMO2 (EMC Update) v0.26_NRA_model_for_NEMO2 (EMC Update) v0.29_NRA_model_for_NEMO2 (EMC Update) v0.29.5" xfId="1221"/>
    <cellStyle name="%_NRA_model_for_NEMO2 (EMC Update) v0.21_NRA_model_for_NEMO2 (EMC Update) v0.22_NRA_model_for_NEMO2 (EMC Update) v0.25_NRA_model_for_NEMO2 (EMC Update) v0.29" xfId="1222"/>
    <cellStyle name="%_NRA_model_for_NEMO2 (EMC Update) v0.21_NRA_model_for_NEMO2 (EMC Update) v0.22_NRA_model_for_NEMO2 (EMC Update) v0.25_NRA_model_for_NEMO2 (EMC Update) v0.29.2" xfId="1223"/>
    <cellStyle name="%_NRA_model_for_NEMO2 (EMC Update) v0.21_NRA_model_for_NEMO2 (EMC Update) v0.22_NRA_model_for_NEMO2 (EMC Update) v0.25_NRA_model_for_NEMO2 (EMC Update) v0.29.2_NRA_model_for_NEMO2 (EMC Update) v0 30 1" xfId="1224"/>
    <cellStyle name="%_NRA_model_for_NEMO2 (EMC Update) v0.21_NRA_model_for_NEMO2 (EMC Update) v0.22_NRA_model_for_NEMO2 (EMC Update) v0.25_NRA_model_for_NEMO2 (EMC Update) v0.29.2_NRA_model_for_NEMO2 (EMC Update) v0.29.3" xfId="1225"/>
    <cellStyle name="%_NRA_model_for_NEMO2 (EMC Update) v0.21_NRA_model_for_NEMO2 (EMC Update) v0.22_NRA_model_for_NEMO2 (EMC Update) v0.25_NRA_model_for_NEMO2 (EMC Update) v0.29.2_NRA_model_for_NEMO2 (EMC Update) v0.29.3_NRA_model_for_NEMO2 (EMC Update) v0 30 1" xfId="1226"/>
    <cellStyle name="%_NRA_model_for_NEMO2 (EMC Update) v0.21_NRA_model_for_NEMO2 (EMC Update) v0.22_NRA_model_for_NEMO2 (EMC Update) v0.25_NRA_model_for_NEMO2 (EMC Update) v0.29.2_NRA_model_for_NEMO2 (EMC Update) v0.29.3_NRA_model_for_NEMO2 (EMC Update) v0.29.5" xfId="1227"/>
    <cellStyle name="%_NRA_model_for_NEMO2 (EMC Update) v0.21_NRA_model_for_NEMO2 (EMC Update) v0.22_NRA_model_for_NEMO2 (EMC Update) v0.25_NRA_model_for_NEMO2 (EMC Update) v0.29.2_NRA_model_for_NEMO2 (EMC Update) v0.29.4" xfId="1228"/>
    <cellStyle name="%_NRA_model_for_NEMO2 (EMC Update) v0.21_NRA_model_for_NEMO2 (EMC Update) v0.22_NRA_model_for_NEMO2 (EMC Update) v0.25_NRA_model_for_NEMO2 (EMC Update) v0.29.2_NRA_model_for_NEMO2 (EMC Update) v0.29.4_NRA_model_for_NEMO2 (EMC Update) v0 30 1" xfId="1229"/>
    <cellStyle name="%_NRA_model_for_NEMO2 (EMC Update) v0.21_NRA_model_for_NEMO2 (EMC Update) v0.22_NRA_model_for_NEMO2 (EMC Update) v0.25_NRA_model_for_NEMO2 (EMC Update) v0.29.2_NRA_model_for_NEMO2 (EMC Update) v0.29.4_NRA_model_for_NEMO2 (EMC Update) v0.29.5" xfId="1230"/>
    <cellStyle name="%_NRA_model_for_NEMO2 (EMC Update) v0.21_NRA_model_for_NEMO2 (EMC Update) v0.22_NRA_model_for_NEMO2 (EMC Update) v0.25_NRA_model_for_NEMO2 (EMC Update) v0.29.2_NRA_model_for_NEMO2 (EMC Update) v0.29.5" xfId="1231"/>
    <cellStyle name="%_NRA_model_for_NEMO2 (EMC Update) v0.21_NRA_model_for_NEMO2 (EMC Update) v0.22_NRA_model_for_NEMO2 (EMC Update) v0.25_NRA_model_for_NEMO2 (EMC Update) v0.29.2_NRA_model_for_NEMO2 (EMC Update) v0.29.5_NRA_model_for_NEMO2 (EMC Update) v0 30 1" xfId="1232"/>
    <cellStyle name="%_NRA_model_for_NEMO2 (EMC Update) v0.21_NRA_model_for_NEMO2 (EMC Update) v0.22_NRA_model_for_NEMO2 (EMC Update) v0.25_NRA_model_for_NEMO2 (EMC Update) v0.29.3" xfId="1233"/>
    <cellStyle name="%_NRA_model_for_NEMO2 (EMC Update) v0.21_NRA_model_for_NEMO2 (EMC Update) v0.22_NRA_model_for_NEMO2 (EMC Update) v0.25_NRA_model_for_NEMO2 (EMC Update) v0.29.3_NRA_model_for_NEMO2 (EMC Update) v0 30 1" xfId="1234"/>
    <cellStyle name="%_NRA_model_for_NEMO2 (EMC Update) v0.21_NRA_model_for_NEMO2 (EMC Update) v0.22_NRA_model_for_NEMO2 (EMC Update) v0.25_NRA_model_for_NEMO2 (EMC Update) v0.29.3_NRA_model_for_NEMO2 (EMC Update) v0.29.5" xfId="1235"/>
    <cellStyle name="%_NRA_model_for_NEMO2 (EMC Update) v0.21_NRA_model_for_NEMO2 (EMC Update) v0.22_NRA_model_for_NEMO2 (EMC Update) v0.25_NRA_model_for_NEMO2 (EMC Update) v0.29.3_NRA_model_for_NEMO2 (EMC Update) v0.29.5_NRA_model_for_NEMO2 (EMC Update) v0 30 1" xfId="1236"/>
    <cellStyle name="%_NRA_model_for_NEMO2 (EMC Update) v0.21_NRA_model_for_NEMO2 (EMC Update) v0.22_NRA_model_for_NEMO2 (EMC Update) v0.25_NRA_model_for_NEMO2 (EMC Update) v0.29.4" xfId="1237"/>
    <cellStyle name="%_NRA_model_for_NEMO2 (EMC Update) v0.21_NRA_model_for_NEMO2 (EMC Update) v0.22_NRA_model_for_NEMO2 (EMC Update) v0.25_NRA_model_for_NEMO2 (EMC Update) v0.29.4_NRA_model_for_NEMO2 (EMC Update) v0 30 1" xfId="1238"/>
    <cellStyle name="%_NRA_model_for_NEMO2 (EMC Update) v0.21_NRA_model_for_NEMO2 (EMC Update) v0.22_NRA_model_for_NEMO2 (EMC Update) v0.25_NRA_model_for_NEMO2 (EMC Update) v0.29.4_NRA_model_for_NEMO2 (EMC Update) v0.29.5" xfId="1239"/>
    <cellStyle name="%_NRA_model_for_NEMO2 (EMC Update) v0.21_NRA_model_for_NEMO2 (EMC Update) v0.22_NRA_model_for_NEMO2 (EMC Update) v0.25_NRA_model_for_NEMO2 (EMC Update) v0.29.4_NRA_model_for_NEMO2 (EMC Update) v0.29.5_NRA_model_for_NEMO2 (EMC Update) v0 30 1" xfId="1240"/>
    <cellStyle name="%_NRA_model_for_NEMO2 (EMC Update) v0.21_NRA_model_for_NEMO2 (EMC Update) v0.22_NRA_model_for_NEMO2 (EMC Update) v0.25_NRA_model_for_NEMO2 (EMC Update) v0.29.5" xfId="1241"/>
    <cellStyle name="%_NRA_model_for_NEMO2 (EMC Update) v0.21_NRA_model_for_NEMO2 (EMC Update) v0.22_NRA_model_for_NEMO2 (EMC Update) v0.25_NRA_model_for_NEMO2 (EMC Update) v0.29.5_NRA_model_for_NEMO2 (EMC Update) v0 30 1" xfId="1242"/>
    <cellStyle name="%_NRA_model_for_NEMO2 (EMC Update) v0.21_NRA_model_for_NEMO2 (EMC Update) v0.22_NRA_model_for_NEMO2 (EMC Update) v0.25_NRA_model_for_NEMO2 (EMC Update) v0.29_NRA_model_for_NEMO2 (EMC Update) v0 30 1" xfId="1243"/>
    <cellStyle name="%_NRA_model_for_NEMO2 (EMC Update) v0.21_NRA_model_for_NEMO2 (EMC Update) v0.22_NRA_model_for_NEMO2 (EMC Update) v0.25_NRA_model_for_NEMO2 (EMC Update) v0.29_NRA_model_for_NEMO2 (EMC Update) v0.29.2" xfId="1244"/>
    <cellStyle name="%_NRA_model_for_NEMO2 (EMC Update) v0.21_NRA_model_for_NEMO2 (EMC Update) v0.22_NRA_model_for_NEMO2 (EMC Update) v0.25_NRA_model_for_NEMO2 (EMC Update) v0.29_NRA_model_for_NEMO2 (EMC Update) v0.29.2_NRA_model_for_NEMO2 (EMC Update) v0 30 1" xfId="1245"/>
    <cellStyle name="%_NRA_model_for_NEMO2 (EMC Update) v0.21_NRA_model_for_NEMO2 (EMC Update) v0.22_NRA_model_for_NEMO2 (EMC Update) v0.25_NRA_model_for_NEMO2 (EMC Update) v0.29_NRA_model_for_NEMO2 (EMC Update) v0.29.2_NRA_model_for_NEMO2 (EMC Update) v0.29.3" xfId="1246"/>
    <cellStyle name="%_NRA_model_for_NEMO2 (EMC Update) v0.21_NRA_model_for_NEMO2 (EMC Update) v0.22_NRA_model_for_NEMO2 (EMC Update) v0.25_NRA_model_for_NEMO2 (EMC Update) v0.29_NRA_model_for_NEMO2 (EMC Update) v0.29.2_NRA_model_for_NEMO2 (EMC Update) v0.29.4" xfId="1247"/>
    <cellStyle name="%_NRA_model_for_NEMO2 (EMC Update) v0.21_NRA_model_for_NEMO2 (EMC Update) v0.22_NRA_model_for_NEMO2 (EMC Update) v0.25_NRA_model_for_NEMO2 (EMC Update) v0.29_NRA_model_for_NEMO2 (EMC Update) v0.29.2_NRA_model_for_NEMO2 (EMC Update) v0.29.5" xfId="1248"/>
    <cellStyle name="%_NRA_model_for_NEMO2 (EMC Update) v0.21_NRA_model_for_NEMO2 (EMC Update) v0.22_NRA_model_for_NEMO2 (EMC Update) v0.25_NRA_model_for_NEMO2 (EMC Update) v0.29_NRA_model_for_NEMO2 (EMC Update) v0.29.3" xfId="1249"/>
    <cellStyle name="%_NRA_model_for_NEMO2 (EMC Update) v0.21_NRA_model_for_NEMO2 (EMC Update) v0.22_NRA_model_for_NEMO2 (EMC Update) v0.25_NRA_model_for_NEMO2 (EMC Update) v0.29_NRA_model_for_NEMO2 (EMC Update) v0.29.3_NRA_model_for_NEMO2 (EMC Update) v0 30 1" xfId="1250"/>
    <cellStyle name="%_NRA_model_for_NEMO2 (EMC Update) v0.21_NRA_model_for_NEMO2 (EMC Update) v0.22_NRA_model_for_NEMO2 (EMC Update) v0.25_NRA_model_for_NEMO2 (EMC Update) v0.29_NRA_model_for_NEMO2 (EMC Update) v0.29.3_NRA_model_for_NEMO2 (EMC Update) v0.29.5" xfId="1251"/>
    <cellStyle name="%_NRA_model_for_NEMO2 (EMC Update) v0.21_NRA_model_for_NEMO2 (EMC Update) v0.22_NRA_model_for_NEMO2 (EMC Update) v0.25_NRA_model_for_NEMO2 (EMC Update) v0.29_NRA_model_for_NEMO2 (EMC Update) v0.29.4" xfId="1252"/>
    <cellStyle name="%_NRA_model_for_NEMO2 (EMC Update) v0.21_NRA_model_for_NEMO2 (EMC Update) v0.22_NRA_model_for_NEMO2 (EMC Update) v0.25_NRA_model_for_NEMO2 (EMC Update) v0.29_NRA_model_for_NEMO2 (EMC Update) v0.29.4_NRA_model_for_NEMO2 (EMC Update) v0 30 1" xfId="1253"/>
    <cellStyle name="%_NRA_model_for_NEMO2 (EMC Update) v0.21_NRA_model_for_NEMO2 (EMC Update) v0.22_NRA_model_for_NEMO2 (EMC Update) v0.25_NRA_model_for_NEMO2 (EMC Update) v0.29_NRA_model_for_NEMO2 (EMC Update) v0.29.4_NRA_model_for_NEMO2 (EMC Update) v0.29.5" xfId="1254"/>
    <cellStyle name="%_NRA_model_for_NEMO2 (EMC Update) v0.21_NRA_model_for_NEMO2 (EMC Update) v0.22_NRA_model_for_NEMO2 (EMC Update) v0.25_NRA_model_for_NEMO2 (EMC Update) v0.29_NRA_model_for_NEMO2 (EMC Update) v0.29.5" xfId="1255"/>
    <cellStyle name="%_NRA_model_for_NEMO2 (EMC Update) v0.21_NRA_model_for_NEMO2 (EMC Update) v0.22_NRA_model_for_NEMO2 (EMC Update) v0.25_NRA_model_for_NEMO2 (EMC Update) v0.29_NRA_model_for_NEMO2 (EMC Update) v0.29.5_NRA_model_for_NEMO2 (EMC Update) v0 30 1" xfId="1256"/>
    <cellStyle name="%_NRA_model_for_NEMO2 (EMC Update) v0.21_NRA_model_for_NEMO2 (EMC Update) v0.22_NRA_model_for_NEMO2 (EMC Update) v0.26" xfId="1257"/>
    <cellStyle name="%_NRA_model_for_NEMO2 (EMC Update) v0.21_NRA_model_for_NEMO2 (EMC Update) v0.22_NRA_model_for_NEMO2 (EMC Update) v0.26_NRA_model_for_NEMO2 (EMC Update) v0 30 1" xfId="1258"/>
    <cellStyle name="%_NRA_model_for_NEMO2 (EMC Update) v0.21_NRA_model_for_NEMO2 (EMC Update) v0.22_NRA_model_for_NEMO2 (EMC Update) v0.26_NRA_model_for_NEMO2 (EMC Update) v0.29" xfId="1259"/>
    <cellStyle name="%_NRA_model_for_NEMO2 (EMC Update) v0.21_NRA_model_for_NEMO2 (EMC Update) v0.22_NRA_model_for_NEMO2 (EMC Update) v0.26_NRA_model_for_NEMO2 (EMC Update) v0.29.2" xfId="1260"/>
    <cellStyle name="%_NRA_model_for_NEMO2 (EMC Update) v0.21_NRA_model_for_NEMO2 (EMC Update) v0.22_NRA_model_for_NEMO2 (EMC Update) v0.26_NRA_model_for_NEMO2 (EMC Update) v0.29.2_NRA_model_for_NEMO2 (EMC Update) v0 30 1" xfId="1261"/>
    <cellStyle name="%_NRA_model_for_NEMO2 (EMC Update) v0.21_NRA_model_for_NEMO2 (EMC Update) v0.22_NRA_model_for_NEMO2 (EMC Update) v0.26_NRA_model_for_NEMO2 (EMC Update) v0.29.2_NRA_model_for_NEMO2 (EMC Update) v0.29.3" xfId="1262"/>
    <cellStyle name="%_NRA_model_for_NEMO2 (EMC Update) v0.21_NRA_model_for_NEMO2 (EMC Update) v0.22_NRA_model_for_NEMO2 (EMC Update) v0.26_NRA_model_for_NEMO2 (EMC Update) v0.29.2_NRA_model_for_NEMO2 (EMC Update) v0.29.3_NRA_model_for_NEMO2 (EMC Update) v0 30 1" xfId="1263"/>
    <cellStyle name="%_NRA_model_for_NEMO2 (EMC Update) v0.21_NRA_model_for_NEMO2 (EMC Update) v0.22_NRA_model_for_NEMO2 (EMC Update) v0.26_NRA_model_for_NEMO2 (EMC Update) v0.29.2_NRA_model_for_NEMO2 (EMC Update) v0.29.3_NRA_model_for_NEMO2 (EMC Update) v0.29.5" xfId="1264"/>
    <cellStyle name="%_NRA_model_for_NEMO2 (EMC Update) v0.21_NRA_model_for_NEMO2 (EMC Update) v0.22_NRA_model_for_NEMO2 (EMC Update) v0.26_NRA_model_for_NEMO2 (EMC Update) v0.29.2_NRA_model_for_NEMO2 (EMC Update) v0.29.4" xfId="1265"/>
    <cellStyle name="%_NRA_model_for_NEMO2 (EMC Update) v0.21_NRA_model_for_NEMO2 (EMC Update) v0.22_NRA_model_for_NEMO2 (EMC Update) v0.26_NRA_model_for_NEMO2 (EMC Update) v0.29.2_NRA_model_for_NEMO2 (EMC Update) v0.29.4_NRA_model_for_NEMO2 (EMC Update) v0 30 1" xfId="1266"/>
    <cellStyle name="%_NRA_model_for_NEMO2 (EMC Update) v0.21_NRA_model_for_NEMO2 (EMC Update) v0.22_NRA_model_for_NEMO2 (EMC Update) v0.26_NRA_model_for_NEMO2 (EMC Update) v0.29.2_NRA_model_for_NEMO2 (EMC Update) v0.29.4_NRA_model_for_NEMO2 (EMC Update) v0.29.5" xfId="1267"/>
    <cellStyle name="%_NRA_model_for_NEMO2 (EMC Update) v0.21_NRA_model_for_NEMO2 (EMC Update) v0.22_NRA_model_for_NEMO2 (EMC Update) v0.26_NRA_model_for_NEMO2 (EMC Update) v0.29.2_NRA_model_for_NEMO2 (EMC Update) v0.29.5" xfId="1268"/>
    <cellStyle name="%_NRA_model_for_NEMO2 (EMC Update) v0.21_NRA_model_for_NEMO2 (EMC Update) v0.22_NRA_model_for_NEMO2 (EMC Update) v0.26_NRA_model_for_NEMO2 (EMC Update) v0.29.2_NRA_model_for_NEMO2 (EMC Update) v0.29.5_NRA_model_for_NEMO2 (EMC Update) v0 30 1" xfId="1269"/>
    <cellStyle name="%_NRA_model_for_NEMO2 (EMC Update) v0.21_NRA_model_for_NEMO2 (EMC Update) v0.22_NRA_model_for_NEMO2 (EMC Update) v0.26_NRA_model_for_NEMO2 (EMC Update) v0.29.3" xfId="1270"/>
    <cellStyle name="%_NRA_model_for_NEMO2 (EMC Update) v0.21_NRA_model_for_NEMO2 (EMC Update) v0.22_NRA_model_for_NEMO2 (EMC Update) v0.26_NRA_model_for_NEMO2 (EMC Update) v0.29.3_NRA_model_for_NEMO2 (EMC Update) v0 30 1" xfId="1271"/>
    <cellStyle name="%_NRA_model_for_NEMO2 (EMC Update) v0.21_NRA_model_for_NEMO2 (EMC Update) v0.22_NRA_model_for_NEMO2 (EMC Update) v0.26_NRA_model_for_NEMO2 (EMC Update) v0.29.3_NRA_model_for_NEMO2 (EMC Update) v0.29.5" xfId="1272"/>
    <cellStyle name="%_NRA_model_for_NEMO2 (EMC Update) v0.21_NRA_model_for_NEMO2 (EMC Update) v0.22_NRA_model_for_NEMO2 (EMC Update) v0.26_NRA_model_for_NEMO2 (EMC Update) v0.29.3_NRA_model_for_NEMO2 (EMC Update) v0.29.5_NRA_model_for_NEMO2 (EMC Update) v0 30 1" xfId="1273"/>
    <cellStyle name="%_NRA_model_for_NEMO2 (EMC Update) v0.21_NRA_model_for_NEMO2 (EMC Update) v0.22_NRA_model_for_NEMO2 (EMC Update) v0.26_NRA_model_for_NEMO2 (EMC Update) v0.29.4" xfId="1274"/>
    <cellStyle name="%_NRA_model_for_NEMO2 (EMC Update) v0.21_NRA_model_for_NEMO2 (EMC Update) v0.22_NRA_model_for_NEMO2 (EMC Update) v0.26_NRA_model_for_NEMO2 (EMC Update) v0.29.4_NRA_model_for_NEMO2 (EMC Update) v0 30 1" xfId="1275"/>
    <cellStyle name="%_NRA_model_for_NEMO2 (EMC Update) v0.21_NRA_model_for_NEMO2 (EMC Update) v0.22_NRA_model_for_NEMO2 (EMC Update) v0.26_NRA_model_for_NEMO2 (EMC Update) v0.29.4_NRA_model_for_NEMO2 (EMC Update) v0.29.5" xfId="1276"/>
    <cellStyle name="%_NRA_model_for_NEMO2 (EMC Update) v0.21_NRA_model_for_NEMO2 (EMC Update) v0.22_NRA_model_for_NEMO2 (EMC Update) v0.26_NRA_model_for_NEMO2 (EMC Update) v0.29.4_NRA_model_for_NEMO2 (EMC Update) v0.29.5_NRA_model_for_NEMO2 (EMC Update) v0 30 1" xfId="1277"/>
    <cellStyle name="%_NRA_model_for_NEMO2 (EMC Update) v0.21_NRA_model_for_NEMO2 (EMC Update) v0.22_NRA_model_for_NEMO2 (EMC Update) v0.26_NRA_model_for_NEMO2 (EMC Update) v0.29.5" xfId="1278"/>
    <cellStyle name="%_NRA_model_for_NEMO2 (EMC Update) v0.21_NRA_model_for_NEMO2 (EMC Update) v0.22_NRA_model_for_NEMO2 (EMC Update) v0.26_NRA_model_for_NEMO2 (EMC Update) v0.29.5_NRA_model_for_NEMO2 (EMC Update) v0 30 1" xfId="1279"/>
    <cellStyle name="%_NRA_model_for_NEMO2 (EMC Update) v0.21_NRA_model_for_NEMO2 (EMC Update) v0.22_NRA_model_for_NEMO2 (EMC Update) v0.26_NRA_model_for_NEMO2 (EMC Update) v0.29_NRA_model_for_NEMO2 (EMC Update) v0 30 1" xfId="1280"/>
    <cellStyle name="%_NRA_model_for_NEMO2 (EMC Update) v0.21_NRA_model_for_NEMO2 (EMC Update) v0.22_NRA_model_for_NEMO2 (EMC Update) v0.26_NRA_model_for_NEMO2 (EMC Update) v0.29_NRA_model_for_NEMO2 (EMC Update) v0.29.2" xfId="1281"/>
    <cellStyle name="%_NRA_model_for_NEMO2 (EMC Update) v0.21_NRA_model_for_NEMO2 (EMC Update) v0.22_NRA_model_for_NEMO2 (EMC Update) v0.26_NRA_model_for_NEMO2 (EMC Update) v0.29_NRA_model_for_NEMO2 (EMC Update) v0.29.2_NRA_model_for_NEMO2 (EMC Update) v0 30 1" xfId="1282"/>
    <cellStyle name="%_NRA_model_for_NEMO2 (EMC Update) v0.21_NRA_model_for_NEMO2 (EMC Update) v0.22_NRA_model_for_NEMO2 (EMC Update) v0.26_NRA_model_for_NEMO2 (EMC Update) v0.29_NRA_model_for_NEMO2 (EMC Update) v0.29.2_NRA_model_for_NEMO2 (EMC Update) v0.29.3" xfId="1283"/>
    <cellStyle name="%_NRA_model_for_NEMO2 (EMC Update) v0.21_NRA_model_for_NEMO2 (EMC Update) v0.22_NRA_model_for_NEMO2 (EMC Update) v0.26_NRA_model_for_NEMO2 (EMC Update) v0.29_NRA_model_for_NEMO2 (EMC Update) v0.29.2_NRA_model_for_NEMO2 (EMC Update) v0.29.4" xfId="1284"/>
    <cellStyle name="%_NRA_model_for_NEMO2 (EMC Update) v0.21_NRA_model_for_NEMO2 (EMC Update) v0.22_NRA_model_for_NEMO2 (EMC Update) v0.26_NRA_model_for_NEMO2 (EMC Update) v0.29_NRA_model_for_NEMO2 (EMC Update) v0.29.2_NRA_model_for_NEMO2 (EMC Update) v0.29.5" xfId="1285"/>
    <cellStyle name="%_NRA_model_for_NEMO2 (EMC Update) v0.21_NRA_model_for_NEMO2 (EMC Update) v0.22_NRA_model_for_NEMO2 (EMC Update) v0.26_NRA_model_for_NEMO2 (EMC Update) v0.29_NRA_model_for_NEMO2 (EMC Update) v0.29.3" xfId="1286"/>
    <cellStyle name="%_NRA_model_for_NEMO2 (EMC Update) v0.21_NRA_model_for_NEMO2 (EMC Update) v0.22_NRA_model_for_NEMO2 (EMC Update) v0.26_NRA_model_for_NEMO2 (EMC Update) v0.29_NRA_model_for_NEMO2 (EMC Update) v0.29.3_NRA_model_for_NEMO2 (EMC Update) v0 30 1" xfId="1287"/>
    <cellStyle name="%_NRA_model_for_NEMO2 (EMC Update) v0.21_NRA_model_for_NEMO2 (EMC Update) v0.22_NRA_model_for_NEMO2 (EMC Update) v0.26_NRA_model_for_NEMO2 (EMC Update) v0.29_NRA_model_for_NEMO2 (EMC Update) v0.29.3_NRA_model_for_NEMO2 (EMC Update) v0.29.5" xfId="1288"/>
    <cellStyle name="%_NRA_model_for_NEMO2 (EMC Update) v0.21_NRA_model_for_NEMO2 (EMC Update) v0.22_NRA_model_for_NEMO2 (EMC Update) v0.26_NRA_model_for_NEMO2 (EMC Update) v0.29_NRA_model_for_NEMO2 (EMC Update) v0.29.4" xfId="1289"/>
    <cellStyle name="%_NRA_model_for_NEMO2 (EMC Update) v0.21_NRA_model_for_NEMO2 (EMC Update) v0.22_NRA_model_for_NEMO2 (EMC Update) v0.26_NRA_model_for_NEMO2 (EMC Update) v0.29_NRA_model_for_NEMO2 (EMC Update) v0.29.4_NRA_model_for_NEMO2 (EMC Update) v0 30 1" xfId="1290"/>
    <cellStyle name="%_NRA_model_for_NEMO2 (EMC Update) v0.21_NRA_model_for_NEMO2 (EMC Update) v0.22_NRA_model_for_NEMO2 (EMC Update) v0.26_NRA_model_for_NEMO2 (EMC Update) v0.29_NRA_model_for_NEMO2 (EMC Update) v0.29.4_NRA_model_for_NEMO2 (EMC Update) v0.29.5" xfId="1291"/>
    <cellStyle name="%_NRA_model_for_NEMO2 (EMC Update) v0.21_NRA_model_for_NEMO2 (EMC Update) v0.22_NRA_model_for_NEMO2 (EMC Update) v0.26_NRA_model_for_NEMO2 (EMC Update) v0.29_NRA_model_for_NEMO2 (EMC Update) v0.29.5" xfId="1292"/>
    <cellStyle name="%_NRA_model_for_NEMO2 (EMC Update) v0.21_NRA_model_for_NEMO2 (EMC Update) v0.22_NRA_model_for_NEMO2 (EMC Update) v0.26_NRA_model_for_NEMO2 (EMC Update) v0.29_NRA_model_for_NEMO2 (EMC Update) v0.29.5_NRA_model_for_NEMO2 (EMC Update) v0 30 1" xfId="1293"/>
    <cellStyle name="%_NRA_model_for_NEMO2 (EMC Update) v0.21_NRA_model_for_NEMO2 (EMC Update) v0.22_NRA_model_for_NEMO2 (EMC Update) v0.29" xfId="1294"/>
    <cellStyle name="%_NRA_model_for_NEMO2 (EMC Update) v0.21_NRA_model_for_NEMO2 (EMC Update) v0.22_NRA_model_for_NEMO2 (EMC Update) v0.29.2" xfId="1295"/>
    <cellStyle name="%_NRA_model_for_NEMO2 (EMC Update) v0.21_NRA_model_for_NEMO2 (EMC Update) v0.22_NRA_model_for_NEMO2 (EMC Update) v0.29.2_NRA_model_for_NEMO2 (EMC Update) v0 30 1" xfId="1296"/>
    <cellStyle name="%_NRA_model_for_NEMO2 (EMC Update) v0.21_NRA_model_for_NEMO2 (EMC Update) v0.22_NRA_model_for_NEMO2 (EMC Update) v0.29.2_NRA_model_for_NEMO2 (EMC Update) v0.29.3" xfId="1297"/>
    <cellStyle name="%_NRA_model_for_NEMO2 (EMC Update) v0.21_NRA_model_for_NEMO2 (EMC Update) v0.22_NRA_model_for_NEMO2 (EMC Update) v0.29.2_NRA_model_for_NEMO2 (EMC Update) v0.29.3_NRA_model_for_NEMO2 (EMC Update) v0 30 1" xfId="1298"/>
    <cellStyle name="%_NRA_model_for_NEMO2 (EMC Update) v0.21_NRA_model_for_NEMO2 (EMC Update) v0.22_NRA_model_for_NEMO2 (EMC Update) v0.29.2_NRA_model_for_NEMO2 (EMC Update) v0.29.3_NRA_model_for_NEMO2 (EMC Update) v0.29.5" xfId="1299"/>
    <cellStyle name="%_NRA_model_for_NEMO2 (EMC Update) v0.21_NRA_model_for_NEMO2 (EMC Update) v0.22_NRA_model_for_NEMO2 (EMC Update) v0.29.2_NRA_model_for_NEMO2 (EMC Update) v0.29.3_NRA_model_for_NEMO2 (EMC Update) v0.29.5_NRA_model_for_NEMO2 (EMC Update) v0 30 1" xfId="1300"/>
    <cellStyle name="%_NRA_model_for_NEMO2 (EMC Update) v0.21_NRA_model_for_NEMO2 (EMC Update) v0.22_NRA_model_for_NEMO2 (EMC Update) v0.29.2_NRA_model_for_NEMO2 (EMC Update) v0.29.4" xfId="1301"/>
    <cellStyle name="%_NRA_model_for_NEMO2 (EMC Update) v0.21_NRA_model_for_NEMO2 (EMC Update) v0.22_NRA_model_for_NEMO2 (EMC Update) v0.29.2_NRA_model_for_NEMO2 (EMC Update) v0.29.4_NRA_model_for_NEMO2 (EMC Update) v0 30 1" xfId="1302"/>
    <cellStyle name="%_NRA_model_for_NEMO2 (EMC Update) v0.21_NRA_model_for_NEMO2 (EMC Update) v0.22_NRA_model_for_NEMO2 (EMC Update) v0.29.2_NRA_model_for_NEMO2 (EMC Update) v0.29.4_NRA_model_for_NEMO2 (EMC Update) v0.29.5" xfId="1303"/>
    <cellStyle name="%_NRA_model_for_NEMO2 (EMC Update) v0.21_NRA_model_for_NEMO2 (EMC Update) v0.22_NRA_model_for_NEMO2 (EMC Update) v0.29.2_NRA_model_for_NEMO2 (EMC Update) v0.29.4_NRA_model_for_NEMO2 (EMC Update) v0.29.5_NRA_model_for_NEMO2 (EMC Update) v0 30 1" xfId="1304"/>
    <cellStyle name="%_NRA_model_for_NEMO2 (EMC Update) v0.21_NRA_model_for_NEMO2 (EMC Update) v0.22_NRA_model_for_NEMO2 (EMC Update) v0.29.2_NRA_model_for_NEMO2 (EMC Update) v0.29.5" xfId="1305"/>
    <cellStyle name="%_NRA_model_for_NEMO2 (EMC Update) v0.21_NRA_model_for_NEMO2 (EMC Update) v0.22_NRA_model_for_NEMO2 (EMC Update) v0.29.2_NRA_model_for_NEMO2 (EMC Update) v0.29.5_NRA_model_for_NEMO2 (EMC Update) v0 30 1" xfId="1306"/>
    <cellStyle name="%_NRA_model_for_NEMO2 (EMC Update) v0.21_NRA_model_for_NEMO2 (EMC Update) v0.22_NRA_model_for_NEMO2 (EMC Update) v0.29.3" xfId="1307"/>
    <cellStyle name="%_NRA_model_for_NEMO2 (EMC Update) v0.21_NRA_model_for_NEMO2 (EMC Update) v0.22_NRA_model_for_NEMO2 (EMC Update) v0.29.3_NRA_model_for_NEMO2 (EMC Update) v0 30 1" xfId="1308"/>
    <cellStyle name="%_NRA_model_for_NEMO2 (EMC Update) v0.21_NRA_model_for_NEMO2 (EMC Update) v0.22_NRA_model_for_NEMO2 (EMC Update) v0.29.3_NRA_model_for_NEMO2 (EMC Update) v0.29.5" xfId="1309"/>
    <cellStyle name="%_NRA_model_for_NEMO2 (EMC Update) v0.21_NRA_model_for_NEMO2 (EMC Update) v0.22_NRA_model_for_NEMO2 (EMC Update) v0.29.3_NRA_model_for_NEMO2 (EMC Update) v0.29.5_NRA_model_for_NEMO2 (EMC Update) v0 30 1" xfId="1310"/>
    <cellStyle name="%_NRA_model_for_NEMO2 (EMC Update) v0.21_NRA_model_for_NEMO2 (EMC Update) v0.22_NRA_model_for_NEMO2 (EMC Update) v0.29.4" xfId="1311"/>
    <cellStyle name="%_NRA_model_for_NEMO2 (EMC Update) v0.21_NRA_model_for_NEMO2 (EMC Update) v0.22_NRA_model_for_NEMO2 (EMC Update) v0.29.4_NRA_model_for_NEMO2 (EMC Update) v0 30 1" xfId="1312"/>
    <cellStyle name="%_NRA_model_for_NEMO2 (EMC Update) v0.21_NRA_model_for_NEMO2 (EMC Update) v0.22_NRA_model_for_NEMO2 (EMC Update) v0.29.4_NRA_model_for_NEMO2 (EMC Update) v0.29.5" xfId="1313"/>
    <cellStyle name="%_NRA_model_for_NEMO2 (EMC Update) v0.21_NRA_model_for_NEMO2 (EMC Update) v0.22_NRA_model_for_NEMO2 (EMC Update) v0.29.4_NRA_model_for_NEMO2 (EMC Update) v0.29.5_NRA_model_for_NEMO2 (EMC Update) v0 30 1" xfId="1314"/>
    <cellStyle name="%_NRA_model_for_NEMO2 (EMC Update) v0.21_NRA_model_for_NEMO2 (EMC Update) v0.22_NRA_model_for_NEMO2 (EMC Update) v0.29.5" xfId="1315"/>
    <cellStyle name="%_NRA_model_for_NEMO2 (EMC Update) v0.21_NRA_model_for_NEMO2 (EMC Update) v0.22_NRA_model_for_NEMO2 (EMC Update) v0.29.5_NRA_model_for_NEMO2 (EMC Update) v0 30 1" xfId="1316"/>
    <cellStyle name="%_NRA_model_for_NEMO2 (EMC Update) v0.21_NRA_model_for_NEMO2 (EMC Update) v0.22_NRA_model_for_NEMO2 (EMC Update) v0.29_NRA_model_for_NEMO2 (EMC Update) v0 30 1" xfId="1317"/>
    <cellStyle name="%_NRA_model_for_NEMO2 (EMC Update) v0.21_NRA_model_for_NEMO2 (EMC Update) v0.22_NRA_model_for_NEMO2 (EMC Update) v0.29_NRA_model_for_NEMO2 (EMC Update) v0.29.2" xfId="1318"/>
    <cellStyle name="%_NRA_model_for_NEMO2 (EMC Update) v0.21_NRA_model_for_NEMO2 (EMC Update) v0.22_NRA_model_for_NEMO2 (EMC Update) v0.29_NRA_model_for_NEMO2 (EMC Update) v0.29.2_NRA_model_for_NEMO2 (EMC Update) v0 30 1" xfId="1319"/>
    <cellStyle name="%_NRA_model_for_NEMO2 (EMC Update) v0.21_NRA_model_for_NEMO2 (EMC Update) v0.22_NRA_model_for_NEMO2 (EMC Update) v0.29_NRA_model_for_NEMO2 (EMC Update) v0.29.2_NRA_model_for_NEMO2 (EMC Update) v0.29.3" xfId="1320"/>
    <cellStyle name="%_NRA_model_for_NEMO2 (EMC Update) v0.21_NRA_model_for_NEMO2 (EMC Update) v0.22_NRA_model_for_NEMO2 (EMC Update) v0.29_NRA_model_for_NEMO2 (EMC Update) v0.29.2_NRA_model_for_NEMO2 (EMC Update) v0.29.3_NRA_model_for_NEMO2 (EMC Update) v0 30 1" xfId="1321"/>
    <cellStyle name="%_NRA_model_for_NEMO2 (EMC Update) v0.21_NRA_model_for_NEMO2 (EMC Update) v0.22_NRA_model_for_NEMO2 (EMC Update) v0.29_NRA_model_for_NEMO2 (EMC Update) v0.29.2_NRA_model_for_NEMO2 (EMC Update) v0.29.3_NRA_model_for_NEMO2 (EMC Update) v0.29.5" xfId="1322"/>
    <cellStyle name="%_NRA_model_for_NEMO2 (EMC Update) v0.21_NRA_model_for_NEMO2 (EMC Update) v0.22_NRA_model_for_NEMO2 (EMC Update) v0.29_NRA_model_for_NEMO2 (EMC Update) v0.29.2_NRA_model_for_NEMO2 (EMC Update) v0.29.4" xfId="1323"/>
    <cellStyle name="%_NRA_model_for_NEMO2 (EMC Update) v0.21_NRA_model_for_NEMO2 (EMC Update) v0.22_NRA_model_for_NEMO2 (EMC Update) v0.29_NRA_model_for_NEMO2 (EMC Update) v0.29.2_NRA_model_for_NEMO2 (EMC Update) v0.29.4_NRA_model_for_NEMO2 (EMC Update) v0 30 1" xfId="1324"/>
    <cellStyle name="%_NRA_model_for_NEMO2 (EMC Update) v0.21_NRA_model_for_NEMO2 (EMC Update) v0.22_NRA_model_for_NEMO2 (EMC Update) v0.29_NRA_model_for_NEMO2 (EMC Update) v0.29.2_NRA_model_for_NEMO2 (EMC Update) v0.29.4_NRA_model_for_NEMO2 (EMC Update) v0.29.5" xfId="1325"/>
    <cellStyle name="%_NRA_model_for_NEMO2 (EMC Update) v0.21_NRA_model_for_NEMO2 (EMC Update) v0.22_NRA_model_for_NEMO2 (EMC Update) v0.29_NRA_model_for_NEMO2 (EMC Update) v0.29.2_NRA_model_for_NEMO2 (EMC Update) v0.29.5" xfId="1326"/>
    <cellStyle name="%_NRA_model_for_NEMO2 (EMC Update) v0.21_NRA_model_for_NEMO2 (EMC Update) v0.22_NRA_model_for_NEMO2 (EMC Update) v0.29_NRA_model_for_NEMO2 (EMC Update) v0.29.2_NRA_model_for_NEMO2 (EMC Update) v0.29.5_NRA_model_for_NEMO2 (EMC Update) v0 30 1" xfId="1327"/>
    <cellStyle name="%_NRA_model_for_NEMO2 (EMC Update) v0.21_NRA_model_for_NEMO2 (EMC Update) v0.22_NRA_model_for_NEMO2 (EMC Update) v0.29_NRA_model_for_NEMO2 (EMC Update) v0.29.3" xfId="1328"/>
    <cellStyle name="%_NRA_model_for_NEMO2 (EMC Update) v0.21_NRA_model_for_NEMO2 (EMC Update) v0.22_NRA_model_for_NEMO2 (EMC Update) v0.29_NRA_model_for_NEMO2 (EMC Update) v0.29.3_NRA_model_for_NEMO2 (EMC Update) v0 30 1" xfId="1329"/>
    <cellStyle name="%_NRA_model_for_NEMO2 (EMC Update) v0.21_NRA_model_for_NEMO2 (EMC Update) v0.22_NRA_model_for_NEMO2 (EMC Update) v0.29_NRA_model_for_NEMO2 (EMC Update) v0.29.3_NRA_model_for_NEMO2 (EMC Update) v0.29.5" xfId="1330"/>
    <cellStyle name="%_NRA_model_for_NEMO2 (EMC Update) v0.21_NRA_model_for_NEMO2 (EMC Update) v0.22_NRA_model_for_NEMO2 (EMC Update) v0.29_NRA_model_for_NEMO2 (EMC Update) v0.29.3_NRA_model_for_NEMO2 (EMC Update) v0.29.5_NRA_model_for_NEMO2 (EMC Update) v0 30 1" xfId="1331"/>
    <cellStyle name="%_NRA_model_for_NEMO2 (EMC Update) v0.21_NRA_model_for_NEMO2 (EMC Update) v0.22_NRA_model_for_NEMO2 (EMC Update) v0.29_NRA_model_for_NEMO2 (EMC Update) v0.29.4" xfId="1332"/>
    <cellStyle name="%_NRA_model_for_NEMO2 (EMC Update) v0.21_NRA_model_for_NEMO2 (EMC Update) v0.22_NRA_model_for_NEMO2 (EMC Update) v0.29_NRA_model_for_NEMO2 (EMC Update) v0.29.4_NRA_model_for_NEMO2 (EMC Update) v0 30 1" xfId="1333"/>
    <cellStyle name="%_NRA_model_for_NEMO2 (EMC Update) v0.21_NRA_model_for_NEMO2 (EMC Update) v0.22_NRA_model_for_NEMO2 (EMC Update) v0.29_NRA_model_for_NEMO2 (EMC Update) v0.29.4_NRA_model_for_NEMO2 (EMC Update) v0.29.5" xfId="1334"/>
    <cellStyle name="%_NRA_model_for_NEMO2 (EMC Update) v0.21_NRA_model_for_NEMO2 (EMC Update) v0.22_NRA_model_for_NEMO2 (EMC Update) v0.29_NRA_model_for_NEMO2 (EMC Update) v0.29.4_NRA_model_for_NEMO2 (EMC Update) v0.29.5_NRA_model_for_NEMO2 (EMC Update) v0 30 1" xfId="1335"/>
    <cellStyle name="%_NRA_model_for_NEMO2 (EMC Update) v0.21_NRA_model_for_NEMO2 (EMC Update) v0.22_NRA_model_for_NEMO2 (EMC Update) v0.29_NRA_model_for_NEMO2 (EMC Update) v0.29.5" xfId="1336"/>
    <cellStyle name="%_NRA_model_for_NEMO2 (EMC Update) v0.21_NRA_model_for_NEMO2 (EMC Update) v0.22_NRA_model_for_NEMO2 (EMC Update) v0.29_NRA_model_for_NEMO2 (EMC Update) v0.29.5_NRA_model_for_NEMO2 (EMC Update) v0 30 1" xfId="1337"/>
    <cellStyle name="%_NRA_model_for_NEMO2 (EMC Update) v0.21_NRA_model_for_NEMO2 (EMC Update) v0.25" xfId="1338"/>
    <cellStyle name="%_NRA_model_for_NEMO2 (EMC Update) v0.21_NRA_model_for_NEMO2 (EMC Update) v0.25_NRA_model_for_NEMO2 (EMC Update) v0 30 1" xfId="1339"/>
    <cellStyle name="%_NRA_model_for_NEMO2 (EMC Update) v0.21_NRA_model_for_NEMO2 (EMC Update) v0.25_NRA_model_for_NEMO2 (EMC Update) v0.26" xfId="1340"/>
    <cellStyle name="%_NRA_model_for_NEMO2 (EMC Update) v0.21_NRA_model_for_NEMO2 (EMC Update) v0.25_NRA_model_for_NEMO2 (EMC Update) v0.26_NRA_model_for_NEMO2 (EMC Update) v0 30 1" xfId="1341"/>
    <cellStyle name="%_NRA_model_for_NEMO2 (EMC Update) v0.21_NRA_model_for_NEMO2 (EMC Update) v0.25_NRA_model_for_NEMO2 (EMC Update) v0.26_NRA_model_for_NEMO2 (EMC Update) v0.29" xfId="1342"/>
    <cellStyle name="%_NRA_model_for_NEMO2 (EMC Update) v0.21_NRA_model_for_NEMO2 (EMC Update) v0.25_NRA_model_for_NEMO2 (EMC Update) v0.26_NRA_model_for_NEMO2 (EMC Update) v0.29.2" xfId="1343"/>
    <cellStyle name="%_NRA_model_for_NEMO2 (EMC Update) v0.21_NRA_model_for_NEMO2 (EMC Update) v0.25_NRA_model_for_NEMO2 (EMC Update) v0.26_NRA_model_for_NEMO2 (EMC Update) v0.29.2_NRA_model_for_NEMO2 (EMC Update) v0 30 1" xfId="1344"/>
    <cellStyle name="%_NRA_model_for_NEMO2 (EMC Update) v0.21_NRA_model_for_NEMO2 (EMC Update) v0.25_NRA_model_for_NEMO2 (EMC Update) v0.26_NRA_model_for_NEMO2 (EMC Update) v0.29.2_NRA_model_for_NEMO2 (EMC Update) v0.29.3" xfId="1345"/>
    <cellStyle name="%_NRA_model_for_NEMO2 (EMC Update) v0.21_NRA_model_for_NEMO2 (EMC Update) v0.25_NRA_model_for_NEMO2 (EMC Update) v0.26_NRA_model_for_NEMO2 (EMC Update) v0.29.2_NRA_model_for_NEMO2 (EMC Update) v0.29.3_NRA_model_for_NEMO2 (EMC Update) v0 30 1" xfId="1346"/>
    <cellStyle name="%_NRA_model_for_NEMO2 (EMC Update) v0.21_NRA_model_for_NEMO2 (EMC Update) v0.25_NRA_model_for_NEMO2 (EMC Update) v0.26_NRA_model_for_NEMO2 (EMC Update) v0.29.2_NRA_model_for_NEMO2 (EMC Update) v0.29.3_NRA_model_for_NEMO2 (EMC Update) v0.29.5" xfId="1347"/>
    <cellStyle name="%_NRA_model_for_NEMO2 (EMC Update) v0.21_NRA_model_for_NEMO2 (EMC Update) v0.25_NRA_model_for_NEMO2 (EMC Update) v0.26_NRA_model_for_NEMO2 (EMC Update) v0.29.2_NRA_model_for_NEMO2 (EMC Update) v0.29.4" xfId="1348"/>
    <cellStyle name="%_NRA_model_for_NEMO2 (EMC Update) v0.21_NRA_model_for_NEMO2 (EMC Update) v0.25_NRA_model_for_NEMO2 (EMC Update) v0.26_NRA_model_for_NEMO2 (EMC Update) v0.29.2_NRA_model_for_NEMO2 (EMC Update) v0.29.4_NRA_model_for_NEMO2 (EMC Update) v0 30 1" xfId="1349"/>
    <cellStyle name="%_NRA_model_for_NEMO2 (EMC Update) v0.21_NRA_model_for_NEMO2 (EMC Update) v0.25_NRA_model_for_NEMO2 (EMC Update) v0.26_NRA_model_for_NEMO2 (EMC Update) v0.29.2_NRA_model_for_NEMO2 (EMC Update) v0.29.4_NRA_model_for_NEMO2 (EMC Update) v0.29.5" xfId="1350"/>
    <cellStyle name="%_NRA_model_for_NEMO2 (EMC Update) v0.21_NRA_model_for_NEMO2 (EMC Update) v0.25_NRA_model_for_NEMO2 (EMC Update) v0.26_NRA_model_for_NEMO2 (EMC Update) v0.29.2_NRA_model_for_NEMO2 (EMC Update) v0.29.5" xfId="1351"/>
    <cellStyle name="%_NRA_model_for_NEMO2 (EMC Update) v0.21_NRA_model_for_NEMO2 (EMC Update) v0.25_NRA_model_for_NEMO2 (EMC Update) v0.26_NRA_model_for_NEMO2 (EMC Update) v0.29.2_NRA_model_for_NEMO2 (EMC Update) v0.29.5_NRA_model_for_NEMO2 (EMC Update) v0 30 1" xfId="1352"/>
    <cellStyle name="%_NRA_model_for_NEMO2 (EMC Update) v0.21_NRA_model_for_NEMO2 (EMC Update) v0.25_NRA_model_for_NEMO2 (EMC Update) v0.26_NRA_model_for_NEMO2 (EMC Update) v0.29.3" xfId="1353"/>
    <cellStyle name="%_NRA_model_for_NEMO2 (EMC Update) v0.21_NRA_model_for_NEMO2 (EMC Update) v0.25_NRA_model_for_NEMO2 (EMC Update) v0.26_NRA_model_for_NEMO2 (EMC Update) v0.29.3_NRA_model_for_NEMO2 (EMC Update) v0 30 1" xfId="1354"/>
    <cellStyle name="%_NRA_model_for_NEMO2 (EMC Update) v0.21_NRA_model_for_NEMO2 (EMC Update) v0.25_NRA_model_for_NEMO2 (EMC Update) v0.26_NRA_model_for_NEMO2 (EMC Update) v0.29.3_NRA_model_for_NEMO2 (EMC Update) v0.29.5" xfId="1355"/>
    <cellStyle name="%_NRA_model_for_NEMO2 (EMC Update) v0.21_NRA_model_for_NEMO2 (EMC Update) v0.25_NRA_model_for_NEMO2 (EMC Update) v0.26_NRA_model_for_NEMO2 (EMC Update) v0.29.3_NRA_model_for_NEMO2 (EMC Update) v0.29.5_NRA_model_for_NEMO2 (EMC Update) v0 30 1" xfId="1356"/>
    <cellStyle name="%_NRA_model_for_NEMO2 (EMC Update) v0.21_NRA_model_for_NEMO2 (EMC Update) v0.25_NRA_model_for_NEMO2 (EMC Update) v0.26_NRA_model_for_NEMO2 (EMC Update) v0.29.4" xfId="1357"/>
    <cellStyle name="%_NRA_model_for_NEMO2 (EMC Update) v0.21_NRA_model_for_NEMO2 (EMC Update) v0.25_NRA_model_for_NEMO2 (EMC Update) v0.26_NRA_model_for_NEMO2 (EMC Update) v0.29.4_NRA_model_for_NEMO2 (EMC Update) v0 30 1" xfId="1358"/>
    <cellStyle name="%_NRA_model_for_NEMO2 (EMC Update) v0.21_NRA_model_for_NEMO2 (EMC Update) v0.25_NRA_model_for_NEMO2 (EMC Update) v0.26_NRA_model_for_NEMO2 (EMC Update) v0.29.4_NRA_model_for_NEMO2 (EMC Update) v0.29.5" xfId="1359"/>
    <cellStyle name="%_NRA_model_for_NEMO2 (EMC Update) v0.21_NRA_model_for_NEMO2 (EMC Update) v0.25_NRA_model_for_NEMO2 (EMC Update) v0.26_NRA_model_for_NEMO2 (EMC Update) v0.29.4_NRA_model_for_NEMO2 (EMC Update) v0.29.5_NRA_model_for_NEMO2 (EMC Update) v0 30 1" xfId="1360"/>
    <cellStyle name="%_NRA_model_for_NEMO2 (EMC Update) v0.21_NRA_model_for_NEMO2 (EMC Update) v0.25_NRA_model_for_NEMO2 (EMC Update) v0.26_NRA_model_for_NEMO2 (EMC Update) v0.29.5" xfId="1361"/>
    <cellStyle name="%_NRA_model_for_NEMO2 (EMC Update) v0.21_NRA_model_for_NEMO2 (EMC Update) v0.25_NRA_model_for_NEMO2 (EMC Update) v0.26_NRA_model_for_NEMO2 (EMC Update) v0.29.5_NRA_model_for_NEMO2 (EMC Update) v0 30 1" xfId="1362"/>
    <cellStyle name="%_NRA_model_for_NEMO2 (EMC Update) v0.21_NRA_model_for_NEMO2 (EMC Update) v0.25_NRA_model_for_NEMO2 (EMC Update) v0.26_NRA_model_for_NEMO2 (EMC Update) v0.29_NRA_model_for_NEMO2 (EMC Update) v0 30 1" xfId="1363"/>
    <cellStyle name="%_NRA_model_for_NEMO2 (EMC Update) v0.21_NRA_model_for_NEMO2 (EMC Update) v0.25_NRA_model_for_NEMO2 (EMC Update) v0.26_NRA_model_for_NEMO2 (EMC Update) v0.29_NRA_model_for_NEMO2 (EMC Update) v0.29.2" xfId="1364"/>
    <cellStyle name="%_NRA_model_for_NEMO2 (EMC Update) v0.21_NRA_model_for_NEMO2 (EMC Update) v0.25_NRA_model_for_NEMO2 (EMC Update) v0.26_NRA_model_for_NEMO2 (EMC Update) v0.29_NRA_model_for_NEMO2 (EMC Update) v0.29.2_NRA_model_for_NEMO2 (EMC Update) v0 30 1" xfId="1365"/>
    <cellStyle name="%_NRA_model_for_NEMO2 (EMC Update) v0.21_NRA_model_for_NEMO2 (EMC Update) v0.25_NRA_model_for_NEMO2 (EMC Update) v0.26_NRA_model_for_NEMO2 (EMC Update) v0.29_NRA_model_for_NEMO2 (EMC Update) v0.29.2_NRA_model_for_NEMO2 (EMC Update) v0.29.3" xfId="1366"/>
    <cellStyle name="%_NRA_model_for_NEMO2 (EMC Update) v0.21_NRA_model_for_NEMO2 (EMC Update) v0.25_NRA_model_for_NEMO2 (EMC Update) v0.26_NRA_model_for_NEMO2 (EMC Update) v0.29_NRA_model_for_NEMO2 (EMC Update) v0.29.2_NRA_model_for_NEMO2 (EMC Update) v0.29.4" xfId="1367"/>
    <cellStyle name="%_NRA_model_for_NEMO2 (EMC Update) v0.21_NRA_model_for_NEMO2 (EMC Update) v0.25_NRA_model_for_NEMO2 (EMC Update) v0.26_NRA_model_for_NEMO2 (EMC Update) v0.29_NRA_model_for_NEMO2 (EMC Update) v0.29.2_NRA_model_for_NEMO2 (EMC Update) v0.29.5" xfId="1368"/>
    <cellStyle name="%_NRA_model_for_NEMO2 (EMC Update) v0.21_NRA_model_for_NEMO2 (EMC Update) v0.25_NRA_model_for_NEMO2 (EMC Update) v0.26_NRA_model_for_NEMO2 (EMC Update) v0.29_NRA_model_for_NEMO2 (EMC Update) v0.29.3" xfId="1369"/>
    <cellStyle name="%_NRA_model_for_NEMO2 (EMC Update) v0.21_NRA_model_for_NEMO2 (EMC Update) v0.25_NRA_model_for_NEMO2 (EMC Update) v0.26_NRA_model_for_NEMO2 (EMC Update) v0.29_NRA_model_for_NEMO2 (EMC Update) v0.29.3_NRA_model_for_NEMO2 (EMC Update) v0 30 1" xfId="1370"/>
    <cellStyle name="%_NRA_model_for_NEMO2 (EMC Update) v0.21_NRA_model_for_NEMO2 (EMC Update) v0.25_NRA_model_for_NEMO2 (EMC Update) v0.26_NRA_model_for_NEMO2 (EMC Update) v0.29_NRA_model_for_NEMO2 (EMC Update) v0.29.3_NRA_model_for_NEMO2 (EMC Update) v0.29.5" xfId="1371"/>
    <cellStyle name="%_NRA_model_for_NEMO2 (EMC Update) v0.21_NRA_model_for_NEMO2 (EMC Update) v0.25_NRA_model_for_NEMO2 (EMC Update) v0.26_NRA_model_for_NEMO2 (EMC Update) v0.29_NRA_model_for_NEMO2 (EMC Update) v0.29.4" xfId="1372"/>
    <cellStyle name="%_NRA_model_for_NEMO2 (EMC Update) v0.21_NRA_model_for_NEMO2 (EMC Update) v0.25_NRA_model_for_NEMO2 (EMC Update) v0.26_NRA_model_for_NEMO2 (EMC Update) v0.29_NRA_model_for_NEMO2 (EMC Update) v0.29.4_NRA_model_for_NEMO2 (EMC Update) v0 30 1" xfId="1373"/>
    <cellStyle name="%_NRA_model_for_NEMO2 (EMC Update) v0.21_NRA_model_for_NEMO2 (EMC Update) v0.25_NRA_model_for_NEMO2 (EMC Update) v0.26_NRA_model_for_NEMO2 (EMC Update) v0.29_NRA_model_for_NEMO2 (EMC Update) v0.29.4_NRA_model_for_NEMO2 (EMC Update) v0.29.5" xfId="1374"/>
    <cellStyle name="%_NRA_model_for_NEMO2 (EMC Update) v0.21_NRA_model_for_NEMO2 (EMC Update) v0.25_NRA_model_for_NEMO2 (EMC Update) v0.26_NRA_model_for_NEMO2 (EMC Update) v0.29_NRA_model_for_NEMO2 (EMC Update) v0.29.5" xfId="1375"/>
    <cellStyle name="%_NRA_model_for_NEMO2 (EMC Update) v0.21_NRA_model_for_NEMO2 (EMC Update) v0.25_NRA_model_for_NEMO2 (EMC Update) v0.26_NRA_model_for_NEMO2 (EMC Update) v0.29_NRA_model_for_NEMO2 (EMC Update) v0.29.5_NRA_model_for_NEMO2 (EMC Update) v0 30 1" xfId="1376"/>
    <cellStyle name="%_NRA_model_for_NEMO2 (EMC Update) v0.21_NRA_model_for_NEMO2 (EMC Update) v0.25_NRA_model_for_NEMO2 (EMC Update) v0.29" xfId="1377"/>
    <cellStyle name="%_NRA_model_for_NEMO2 (EMC Update) v0.21_NRA_model_for_NEMO2 (EMC Update) v0.25_NRA_model_for_NEMO2 (EMC Update) v0.29.2" xfId="1378"/>
    <cellStyle name="%_NRA_model_for_NEMO2 (EMC Update) v0.21_NRA_model_for_NEMO2 (EMC Update) v0.25_NRA_model_for_NEMO2 (EMC Update) v0.29.2_NRA_model_for_NEMO2 (EMC Update) v0 30 1" xfId="1379"/>
    <cellStyle name="%_NRA_model_for_NEMO2 (EMC Update) v0.21_NRA_model_for_NEMO2 (EMC Update) v0.25_NRA_model_for_NEMO2 (EMC Update) v0.29.2_NRA_model_for_NEMO2 (EMC Update) v0.29.3" xfId="1380"/>
    <cellStyle name="%_NRA_model_for_NEMO2 (EMC Update) v0.21_NRA_model_for_NEMO2 (EMC Update) v0.25_NRA_model_for_NEMO2 (EMC Update) v0.29.2_NRA_model_for_NEMO2 (EMC Update) v0.29.3_NRA_model_for_NEMO2 (EMC Update) v0 30 1" xfId="1381"/>
    <cellStyle name="%_NRA_model_for_NEMO2 (EMC Update) v0.21_NRA_model_for_NEMO2 (EMC Update) v0.25_NRA_model_for_NEMO2 (EMC Update) v0.29.2_NRA_model_for_NEMO2 (EMC Update) v0.29.3_NRA_model_for_NEMO2 (EMC Update) v0.29.5" xfId="1382"/>
    <cellStyle name="%_NRA_model_for_NEMO2 (EMC Update) v0.21_NRA_model_for_NEMO2 (EMC Update) v0.25_NRA_model_for_NEMO2 (EMC Update) v0.29.2_NRA_model_for_NEMO2 (EMC Update) v0.29.3_NRA_model_for_NEMO2 (EMC Update) v0.29.5_NRA_model_for_NEMO2 (EMC Update) v0 30 1" xfId="1383"/>
    <cellStyle name="%_NRA_model_for_NEMO2 (EMC Update) v0.21_NRA_model_for_NEMO2 (EMC Update) v0.25_NRA_model_for_NEMO2 (EMC Update) v0.29.2_NRA_model_for_NEMO2 (EMC Update) v0.29.4" xfId="1384"/>
    <cellStyle name="%_NRA_model_for_NEMO2 (EMC Update) v0.21_NRA_model_for_NEMO2 (EMC Update) v0.25_NRA_model_for_NEMO2 (EMC Update) v0.29.2_NRA_model_for_NEMO2 (EMC Update) v0.29.4_NRA_model_for_NEMO2 (EMC Update) v0 30 1" xfId="1385"/>
    <cellStyle name="%_NRA_model_for_NEMO2 (EMC Update) v0.21_NRA_model_for_NEMO2 (EMC Update) v0.25_NRA_model_for_NEMO2 (EMC Update) v0.29.2_NRA_model_for_NEMO2 (EMC Update) v0.29.4_NRA_model_for_NEMO2 (EMC Update) v0.29.5" xfId="1386"/>
    <cellStyle name="%_NRA_model_for_NEMO2 (EMC Update) v0.21_NRA_model_for_NEMO2 (EMC Update) v0.25_NRA_model_for_NEMO2 (EMC Update) v0.29.2_NRA_model_for_NEMO2 (EMC Update) v0.29.4_NRA_model_for_NEMO2 (EMC Update) v0.29.5_NRA_model_for_NEMO2 (EMC Update) v0 30 1" xfId="1387"/>
    <cellStyle name="%_NRA_model_for_NEMO2 (EMC Update) v0.21_NRA_model_for_NEMO2 (EMC Update) v0.25_NRA_model_for_NEMO2 (EMC Update) v0.29.2_NRA_model_for_NEMO2 (EMC Update) v0.29.5" xfId="1388"/>
    <cellStyle name="%_NRA_model_for_NEMO2 (EMC Update) v0.21_NRA_model_for_NEMO2 (EMC Update) v0.25_NRA_model_for_NEMO2 (EMC Update) v0.29.2_NRA_model_for_NEMO2 (EMC Update) v0.29.5_NRA_model_for_NEMO2 (EMC Update) v0 30 1" xfId="1389"/>
    <cellStyle name="%_NRA_model_for_NEMO2 (EMC Update) v0.21_NRA_model_for_NEMO2 (EMC Update) v0.25_NRA_model_for_NEMO2 (EMC Update) v0.29.3" xfId="1390"/>
    <cellStyle name="%_NRA_model_for_NEMO2 (EMC Update) v0.21_NRA_model_for_NEMO2 (EMC Update) v0.25_NRA_model_for_NEMO2 (EMC Update) v0.29.3_NRA_model_for_NEMO2 (EMC Update) v0 30 1" xfId="1391"/>
    <cellStyle name="%_NRA_model_for_NEMO2 (EMC Update) v0.21_NRA_model_for_NEMO2 (EMC Update) v0.25_NRA_model_for_NEMO2 (EMC Update) v0.29.3_NRA_model_for_NEMO2 (EMC Update) v0.29.5" xfId="1392"/>
    <cellStyle name="%_NRA_model_for_NEMO2 (EMC Update) v0.21_NRA_model_for_NEMO2 (EMC Update) v0.25_NRA_model_for_NEMO2 (EMC Update) v0.29.3_NRA_model_for_NEMO2 (EMC Update) v0.29.5_NRA_model_for_NEMO2 (EMC Update) v0 30 1" xfId="1393"/>
    <cellStyle name="%_NRA_model_for_NEMO2 (EMC Update) v0.21_NRA_model_for_NEMO2 (EMC Update) v0.25_NRA_model_for_NEMO2 (EMC Update) v0.29.4" xfId="1394"/>
    <cellStyle name="%_NRA_model_for_NEMO2 (EMC Update) v0.21_NRA_model_for_NEMO2 (EMC Update) v0.25_NRA_model_for_NEMO2 (EMC Update) v0.29.4_NRA_model_for_NEMO2 (EMC Update) v0 30 1" xfId="1395"/>
    <cellStyle name="%_NRA_model_for_NEMO2 (EMC Update) v0.21_NRA_model_for_NEMO2 (EMC Update) v0.25_NRA_model_for_NEMO2 (EMC Update) v0.29.4_NRA_model_for_NEMO2 (EMC Update) v0.29.5" xfId="1396"/>
    <cellStyle name="%_NRA_model_for_NEMO2 (EMC Update) v0.21_NRA_model_for_NEMO2 (EMC Update) v0.25_NRA_model_for_NEMO2 (EMC Update) v0.29.4_NRA_model_for_NEMO2 (EMC Update) v0.29.5_NRA_model_for_NEMO2 (EMC Update) v0 30 1" xfId="1397"/>
    <cellStyle name="%_NRA_model_for_NEMO2 (EMC Update) v0.21_NRA_model_for_NEMO2 (EMC Update) v0.25_NRA_model_for_NEMO2 (EMC Update) v0.29.5" xfId="1398"/>
    <cellStyle name="%_NRA_model_for_NEMO2 (EMC Update) v0.21_NRA_model_for_NEMO2 (EMC Update) v0.25_NRA_model_for_NEMO2 (EMC Update) v0.29.5_NRA_model_for_NEMO2 (EMC Update) v0 30 1" xfId="1399"/>
    <cellStyle name="%_NRA_model_for_NEMO2 (EMC Update) v0.21_NRA_model_for_NEMO2 (EMC Update) v0.25_NRA_model_for_NEMO2 (EMC Update) v0.29_NRA_model_for_NEMO2 (EMC Update) v0 30 1" xfId="1400"/>
    <cellStyle name="%_NRA_model_for_NEMO2 (EMC Update) v0.21_NRA_model_for_NEMO2 (EMC Update) v0.25_NRA_model_for_NEMO2 (EMC Update) v0.29_NRA_model_for_NEMO2 (EMC Update) v0.29.2" xfId="1401"/>
    <cellStyle name="%_NRA_model_for_NEMO2 (EMC Update) v0.21_NRA_model_for_NEMO2 (EMC Update) v0.25_NRA_model_for_NEMO2 (EMC Update) v0.29_NRA_model_for_NEMO2 (EMC Update) v0.29.2_NRA_model_for_NEMO2 (EMC Update) v0 30 1" xfId="1402"/>
    <cellStyle name="%_NRA_model_for_NEMO2 (EMC Update) v0.21_NRA_model_for_NEMO2 (EMC Update) v0.25_NRA_model_for_NEMO2 (EMC Update) v0.29_NRA_model_for_NEMO2 (EMC Update) v0.29.2_NRA_model_for_NEMO2 (EMC Update) v0.29.3" xfId="1403"/>
    <cellStyle name="%_NRA_model_for_NEMO2 (EMC Update) v0.21_NRA_model_for_NEMO2 (EMC Update) v0.25_NRA_model_for_NEMO2 (EMC Update) v0.29_NRA_model_for_NEMO2 (EMC Update) v0.29.2_NRA_model_for_NEMO2 (EMC Update) v0.29.3_NRA_model_for_NEMO2 (EMC Update) v0 30 1" xfId="1404"/>
    <cellStyle name="%_NRA_model_for_NEMO2 (EMC Update) v0.21_NRA_model_for_NEMO2 (EMC Update) v0.25_NRA_model_for_NEMO2 (EMC Update) v0.29_NRA_model_for_NEMO2 (EMC Update) v0.29.2_NRA_model_for_NEMO2 (EMC Update) v0.29.3_NRA_model_for_NEMO2 (EMC Update) v0.29.5" xfId="1405"/>
    <cellStyle name="%_NRA_model_for_NEMO2 (EMC Update) v0.21_NRA_model_for_NEMO2 (EMC Update) v0.25_NRA_model_for_NEMO2 (EMC Update) v0.29_NRA_model_for_NEMO2 (EMC Update) v0.29.2_NRA_model_for_NEMO2 (EMC Update) v0.29.4" xfId="1406"/>
    <cellStyle name="%_NRA_model_for_NEMO2 (EMC Update) v0.21_NRA_model_for_NEMO2 (EMC Update) v0.25_NRA_model_for_NEMO2 (EMC Update) v0.29_NRA_model_for_NEMO2 (EMC Update) v0.29.2_NRA_model_for_NEMO2 (EMC Update) v0.29.4_NRA_model_for_NEMO2 (EMC Update) v0 30 1" xfId="1407"/>
    <cellStyle name="%_NRA_model_for_NEMO2 (EMC Update) v0.21_NRA_model_for_NEMO2 (EMC Update) v0.25_NRA_model_for_NEMO2 (EMC Update) v0.29_NRA_model_for_NEMO2 (EMC Update) v0.29.2_NRA_model_for_NEMO2 (EMC Update) v0.29.4_NRA_model_for_NEMO2 (EMC Update) v0.29.5" xfId="1408"/>
    <cellStyle name="%_NRA_model_for_NEMO2 (EMC Update) v0.21_NRA_model_for_NEMO2 (EMC Update) v0.25_NRA_model_for_NEMO2 (EMC Update) v0.29_NRA_model_for_NEMO2 (EMC Update) v0.29.2_NRA_model_for_NEMO2 (EMC Update) v0.29.5" xfId="1409"/>
    <cellStyle name="%_NRA_model_for_NEMO2 (EMC Update) v0.21_NRA_model_for_NEMO2 (EMC Update) v0.25_NRA_model_for_NEMO2 (EMC Update) v0.29_NRA_model_for_NEMO2 (EMC Update) v0.29.2_NRA_model_for_NEMO2 (EMC Update) v0.29.5_NRA_model_for_NEMO2 (EMC Update) v0 30 1" xfId="1410"/>
    <cellStyle name="%_NRA_model_for_NEMO2 (EMC Update) v0.21_NRA_model_for_NEMO2 (EMC Update) v0.25_NRA_model_for_NEMO2 (EMC Update) v0.29_NRA_model_for_NEMO2 (EMC Update) v0.29.3" xfId="1411"/>
    <cellStyle name="%_NRA_model_for_NEMO2 (EMC Update) v0.21_NRA_model_for_NEMO2 (EMC Update) v0.25_NRA_model_for_NEMO2 (EMC Update) v0.29_NRA_model_for_NEMO2 (EMC Update) v0.29.3_NRA_model_for_NEMO2 (EMC Update) v0 30 1" xfId="1412"/>
    <cellStyle name="%_NRA_model_for_NEMO2 (EMC Update) v0.21_NRA_model_for_NEMO2 (EMC Update) v0.25_NRA_model_for_NEMO2 (EMC Update) v0.29_NRA_model_for_NEMO2 (EMC Update) v0.29.3_NRA_model_for_NEMO2 (EMC Update) v0.29.5" xfId="1413"/>
    <cellStyle name="%_NRA_model_for_NEMO2 (EMC Update) v0.21_NRA_model_for_NEMO2 (EMC Update) v0.25_NRA_model_for_NEMO2 (EMC Update) v0.29_NRA_model_for_NEMO2 (EMC Update) v0.29.3_NRA_model_for_NEMO2 (EMC Update) v0.29.5_NRA_model_for_NEMO2 (EMC Update) v0 30 1" xfId="1414"/>
    <cellStyle name="%_NRA_model_for_NEMO2 (EMC Update) v0.21_NRA_model_for_NEMO2 (EMC Update) v0.25_NRA_model_for_NEMO2 (EMC Update) v0.29_NRA_model_for_NEMO2 (EMC Update) v0.29.4" xfId="1415"/>
    <cellStyle name="%_NRA_model_for_NEMO2 (EMC Update) v0.21_NRA_model_for_NEMO2 (EMC Update) v0.25_NRA_model_for_NEMO2 (EMC Update) v0.29_NRA_model_for_NEMO2 (EMC Update) v0.29.4_NRA_model_for_NEMO2 (EMC Update) v0 30 1" xfId="1416"/>
    <cellStyle name="%_NRA_model_for_NEMO2 (EMC Update) v0.21_NRA_model_for_NEMO2 (EMC Update) v0.25_NRA_model_for_NEMO2 (EMC Update) v0.29_NRA_model_for_NEMO2 (EMC Update) v0.29.4_NRA_model_for_NEMO2 (EMC Update) v0.29.5" xfId="1417"/>
    <cellStyle name="%_NRA_model_for_NEMO2 (EMC Update) v0.21_NRA_model_for_NEMO2 (EMC Update) v0.25_NRA_model_for_NEMO2 (EMC Update) v0.29_NRA_model_for_NEMO2 (EMC Update) v0.29.4_NRA_model_for_NEMO2 (EMC Update) v0.29.5_NRA_model_for_NEMO2 (EMC Update) v0 30 1" xfId="1418"/>
    <cellStyle name="%_NRA_model_for_NEMO2 (EMC Update) v0.21_NRA_model_for_NEMO2 (EMC Update) v0.25_NRA_model_for_NEMO2 (EMC Update) v0.29_NRA_model_for_NEMO2 (EMC Update) v0.29.5" xfId="1419"/>
    <cellStyle name="%_NRA_model_for_NEMO2 (EMC Update) v0.21_NRA_model_for_NEMO2 (EMC Update) v0.25_NRA_model_for_NEMO2 (EMC Update) v0.29_NRA_model_for_NEMO2 (EMC Update) v0.29.5_NRA_model_for_NEMO2 (EMC Update) v0 30 1" xfId="1420"/>
    <cellStyle name="%_NRA_model_for_NEMO2 (EMC Update) v0.21_NRA_model_for_NEMO2 (EMC Update) v0.26" xfId="1421"/>
    <cellStyle name="%_NRA_model_for_NEMO2 (EMC Update) v0.21_NRA_model_for_NEMO2 (EMC Update) v0.26_NRA_model_for_NEMO2 (EMC Update) v0 30 1" xfId="1422"/>
    <cellStyle name="%_NRA_model_for_NEMO2 (EMC Update) v0.21_NRA_model_for_NEMO2 (EMC Update) v0.26_NRA_model_for_NEMO2 (EMC Update) v0.29" xfId="1423"/>
    <cellStyle name="%_NRA_model_for_NEMO2 (EMC Update) v0.21_NRA_model_for_NEMO2 (EMC Update) v0.26_NRA_model_for_NEMO2 (EMC Update) v0.29.2" xfId="1424"/>
    <cellStyle name="%_NRA_model_for_NEMO2 (EMC Update) v0.21_NRA_model_for_NEMO2 (EMC Update) v0.26_NRA_model_for_NEMO2 (EMC Update) v0.29.2_NRA_model_for_NEMO2 (EMC Update) v0 30 1" xfId="1425"/>
    <cellStyle name="%_NRA_model_for_NEMO2 (EMC Update) v0.21_NRA_model_for_NEMO2 (EMC Update) v0.26_NRA_model_for_NEMO2 (EMC Update) v0.29.2_NRA_model_for_NEMO2 (EMC Update) v0.29.3" xfId="1426"/>
    <cellStyle name="%_NRA_model_for_NEMO2 (EMC Update) v0.21_NRA_model_for_NEMO2 (EMC Update) v0.26_NRA_model_for_NEMO2 (EMC Update) v0.29.2_NRA_model_for_NEMO2 (EMC Update) v0.29.3_NRA_model_for_NEMO2 (EMC Update) v0 30 1" xfId="1427"/>
    <cellStyle name="%_NRA_model_for_NEMO2 (EMC Update) v0.21_NRA_model_for_NEMO2 (EMC Update) v0.26_NRA_model_for_NEMO2 (EMC Update) v0.29.2_NRA_model_for_NEMO2 (EMC Update) v0.29.3_NRA_model_for_NEMO2 (EMC Update) v0.29.5" xfId="1428"/>
    <cellStyle name="%_NRA_model_for_NEMO2 (EMC Update) v0.21_NRA_model_for_NEMO2 (EMC Update) v0.26_NRA_model_for_NEMO2 (EMC Update) v0.29.2_NRA_model_for_NEMO2 (EMC Update) v0.29.3_NRA_model_for_NEMO2 (EMC Update) v0.29.5_NRA_model_for_NEMO2 (EMC Update) v0 30 1" xfId="1429"/>
    <cellStyle name="%_NRA_model_for_NEMO2 (EMC Update) v0.21_NRA_model_for_NEMO2 (EMC Update) v0.26_NRA_model_for_NEMO2 (EMC Update) v0.29.2_NRA_model_for_NEMO2 (EMC Update) v0.29.4" xfId="1430"/>
    <cellStyle name="%_NRA_model_for_NEMO2 (EMC Update) v0.21_NRA_model_for_NEMO2 (EMC Update) v0.26_NRA_model_for_NEMO2 (EMC Update) v0.29.2_NRA_model_for_NEMO2 (EMC Update) v0.29.4_NRA_model_for_NEMO2 (EMC Update) v0 30 1" xfId="1431"/>
    <cellStyle name="%_NRA_model_for_NEMO2 (EMC Update) v0.21_NRA_model_for_NEMO2 (EMC Update) v0.26_NRA_model_for_NEMO2 (EMC Update) v0.29.2_NRA_model_for_NEMO2 (EMC Update) v0.29.4_NRA_model_for_NEMO2 (EMC Update) v0.29.5" xfId="1432"/>
    <cellStyle name="%_NRA_model_for_NEMO2 (EMC Update) v0.21_NRA_model_for_NEMO2 (EMC Update) v0.26_NRA_model_for_NEMO2 (EMC Update) v0.29.2_NRA_model_for_NEMO2 (EMC Update) v0.29.4_NRA_model_for_NEMO2 (EMC Update) v0.29.5_NRA_model_for_NEMO2 (EMC Update) v0 30 1" xfId="1433"/>
    <cellStyle name="%_NRA_model_for_NEMO2 (EMC Update) v0.21_NRA_model_for_NEMO2 (EMC Update) v0.26_NRA_model_for_NEMO2 (EMC Update) v0.29.2_NRA_model_for_NEMO2 (EMC Update) v0.29.5" xfId="1434"/>
    <cellStyle name="%_NRA_model_for_NEMO2 (EMC Update) v0.21_NRA_model_for_NEMO2 (EMC Update) v0.26_NRA_model_for_NEMO2 (EMC Update) v0.29.2_NRA_model_for_NEMO2 (EMC Update) v0.29.5_NRA_model_for_NEMO2 (EMC Update) v0 30 1" xfId="1435"/>
    <cellStyle name="%_NRA_model_for_NEMO2 (EMC Update) v0.21_NRA_model_for_NEMO2 (EMC Update) v0.26_NRA_model_for_NEMO2 (EMC Update) v0.29.3" xfId="1436"/>
    <cellStyle name="%_NRA_model_for_NEMO2 (EMC Update) v0.21_NRA_model_for_NEMO2 (EMC Update) v0.26_NRA_model_for_NEMO2 (EMC Update) v0.29.3_NRA_model_for_NEMO2 (EMC Update) v0 30 1" xfId="1437"/>
    <cellStyle name="%_NRA_model_for_NEMO2 (EMC Update) v0.21_NRA_model_for_NEMO2 (EMC Update) v0.26_NRA_model_for_NEMO2 (EMC Update) v0.29.3_NRA_model_for_NEMO2 (EMC Update) v0.29.5" xfId="1438"/>
    <cellStyle name="%_NRA_model_for_NEMO2 (EMC Update) v0.21_NRA_model_for_NEMO2 (EMC Update) v0.26_NRA_model_for_NEMO2 (EMC Update) v0.29.3_NRA_model_for_NEMO2 (EMC Update) v0.29.5_NRA_model_for_NEMO2 (EMC Update) v0 30 1" xfId="1439"/>
    <cellStyle name="%_NRA_model_for_NEMO2 (EMC Update) v0.21_NRA_model_for_NEMO2 (EMC Update) v0.26_NRA_model_for_NEMO2 (EMC Update) v0.29.4" xfId="1440"/>
    <cellStyle name="%_NRA_model_for_NEMO2 (EMC Update) v0.21_NRA_model_for_NEMO2 (EMC Update) v0.26_NRA_model_for_NEMO2 (EMC Update) v0.29.4_NRA_model_for_NEMO2 (EMC Update) v0 30 1" xfId="1441"/>
    <cellStyle name="%_NRA_model_for_NEMO2 (EMC Update) v0.21_NRA_model_for_NEMO2 (EMC Update) v0.26_NRA_model_for_NEMO2 (EMC Update) v0.29.4_NRA_model_for_NEMO2 (EMC Update) v0.29.5" xfId="1442"/>
    <cellStyle name="%_NRA_model_for_NEMO2 (EMC Update) v0.21_NRA_model_for_NEMO2 (EMC Update) v0.26_NRA_model_for_NEMO2 (EMC Update) v0.29.4_NRA_model_for_NEMO2 (EMC Update) v0.29.5_NRA_model_for_NEMO2 (EMC Update) v0 30 1" xfId="1443"/>
    <cellStyle name="%_NRA_model_for_NEMO2 (EMC Update) v0.21_NRA_model_for_NEMO2 (EMC Update) v0.26_NRA_model_for_NEMO2 (EMC Update) v0.29.5" xfId="1444"/>
    <cellStyle name="%_NRA_model_for_NEMO2 (EMC Update) v0.21_NRA_model_for_NEMO2 (EMC Update) v0.26_NRA_model_for_NEMO2 (EMC Update) v0.29.5_NRA_model_for_NEMO2 (EMC Update) v0 30 1" xfId="1445"/>
    <cellStyle name="%_NRA_model_for_NEMO2 (EMC Update) v0.21_NRA_model_for_NEMO2 (EMC Update) v0.26_NRA_model_for_NEMO2 (EMC Update) v0.29_NRA_model_for_NEMO2 (EMC Update) v0 30 1" xfId="1446"/>
    <cellStyle name="%_NRA_model_for_NEMO2 (EMC Update) v0.21_NRA_model_for_NEMO2 (EMC Update) v0.26_NRA_model_for_NEMO2 (EMC Update) v0.29_NRA_model_for_NEMO2 (EMC Update) v0.29.2" xfId="1447"/>
    <cellStyle name="%_NRA_model_for_NEMO2 (EMC Update) v0.21_NRA_model_for_NEMO2 (EMC Update) v0.26_NRA_model_for_NEMO2 (EMC Update) v0.29_NRA_model_for_NEMO2 (EMC Update) v0.29.2_NRA_model_for_NEMO2 (EMC Update) v0 30 1" xfId="1448"/>
    <cellStyle name="%_NRA_model_for_NEMO2 (EMC Update) v0.21_NRA_model_for_NEMO2 (EMC Update) v0.26_NRA_model_for_NEMO2 (EMC Update) v0.29_NRA_model_for_NEMO2 (EMC Update) v0.29.2_NRA_model_for_NEMO2 (EMC Update) v0.29.3" xfId="1449"/>
    <cellStyle name="%_NRA_model_for_NEMO2 (EMC Update) v0.21_NRA_model_for_NEMO2 (EMC Update) v0.26_NRA_model_for_NEMO2 (EMC Update) v0.29_NRA_model_for_NEMO2 (EMC Update) v0.29.2_NRA_model_for_NEMO2 (EMC Update) v0.29.3_NRA_model_for_NEMO2 (EMC Update) v0 30 1" xfId="1450"/>
    <cellStyle name="%_NRA_model_for_NEMO2 (EMC Update) v0.21_NRA_model_for_NEMO2 (EMC Update) v0.26_NRA_model_for_NEMO2 (EMC Update) v0.29_NRA_model_for_NEMO2 (EMC Update) v0.29.2_NRA_model_for_NEMO2 (EMC Update) v0.29.3_NRA_model_for_NEMO2 (EMC Update) v0.29.5" xfId="1451"/>
    <cellStyle name="%_NRA_model_for_NEMO2 (EMC Update) v0.21_NRA_model_for_NEMO2 (EMC Update) v0.26_NRA_model_for_NEMO2 (EMC Update) v0.29_NRA_model_for_NEMO2 (EMC Update) v0.29.2_NRA_model_for_NEMO2 (EMC Update) v0.29.4" xfId="1452"/>
    <cellStyle name="%_NRA_model_for_NEMO2 (EMC Update) v0.21_NRA_model_for_NEMO2 (EMC Update) v0.26_NRA_model_for_NEMO2 (EMC Update) v0.29_NRA_model_for_NEMO2 (EMC Update) v0.29.2_NRA_model_for_NEMO2 (EMC Update) v0.29.4_NRA_model_for_NEMO2 (EMC Update) v0 30 1" xfId="1453"/>
    <cellStyle name="%_NRA_model_for_NEMO2 (EMC Update) v0.21_NRA_model_for_NEMO2 (EMC Update) v0.26_NRA_model_for_NEMO2 (EMC Update) v0.29_NRA_model_for_NEMO2 (EMC Update) v0.29.2_NRA_model_for_NEMO2 (EMC Update) v0.29.4_NRA_model_for_NEMO2 (EMC Update) v0.29.5" xfId="1454"/>
    <cellStyle name="%_NRA_model_for_NEMO2 (EMC Update) v0.21_NRA_model_for_NEMO2 (EMC Update) v0.26_NRA_model_for_NEMO2 (EMC Update) v0.29_NRA_model_for_NEMO2 (EMC Update) v0.29.2_NRA_model_for_NEMO2 (EMC Update) v0.29.5" xfId="1455"/>
    <cellStyle name="%_NRA_model_for_NEMO2 (EMC Update) v0.21_NRA_model_for_NEMO2 (EMC Update) v0.26_NRA_model_for_NEMO2 (EMC Update) v0.29_NRA_model_for_NEMO2 (EMC Update) v0.29.2_NRA_model_for_NEMO2 (EMC Update) v0.29.5_NRA_model_for_NEMO2 (EMC Update) v0 30 1" xfId="1456"/>
    <cellStyle name="%_NRA_model_for_NEMO2 (EMC Update) v0.21_NRA_model_for_NEMO2 (EMC Update) v0.26_NRA_model_for_NEMO2 (EMC Update) v0.29_NRA_model_for_NEMO2 (EMC Update) v0.29.3" xfId="1457"/>
    <cellStyle name="%_NRA_model_for_NEMO2 (EMC Update) v0.21_NRA_model_for_NEMO2 (EMC Update) v0.26_NRA_model_for_NEMO2 (EMC Update) v0.29_NRA_model_for_NEMO2 (EMC Update) v0.29.3_NRA_model_for_NEMO2 (EMC Update) v0 30 1" xfId="1458"/>
    <cellStyle name="%_NRA_model_for_NEMO2 (EMC Update) v0.21_NRA_model_for_NEMO2 (EMC Update) v0.26_NRA_model_for_NEMO2 (EMC Update) v0.29_NRA_model_for_NEMO2 (EMC Update) v0.29.3_NRA_model_for_NEMO2 (EMC Update) v0.29.5" xfId="1459"/>
    <cellStyle name="%_NRA_model_for_NEMO2 (EMC Update) v0.21_NRA_model_for_NEMO2 (EMC Update) v0.26_NRA_model_for_NEMO2 (EMC Update) v0.29_NRA_model_for_NEMO2 (EMC Update) v0.29.3_NRA_model_for_NEMO2 (EMC Update) v0.29.5_NRA_model_for_NEMO2 (EMC Update) v0 30 1" xfId="1460"/>
    <cellStyle name="%_NRA_model_for_NEMO2 (EMC Update) v0.21_NRA_model_for_NEMO2 (EMC Update) v0.26_NRA_model_for_NEMO2 (EMC Update) v0.29_NRA_model_for_NEMO2 (EMC Update) v0.29.4" xfId="1461"/>
    <cellStyle name="%_NRA_model_for_NEMO2 (EMC Update) v0.21_NRA_model_for_NEMO2 (EMC Update) v0.26_NRA_model_for_NEMO2 (EMC Update) v0.29_NRA_model_for_NEMO2 (EMC Update) v0.29.4_NRA_model_for_NEMO2 (EMC Update) v0 30 1" xfId="1462"/>
    <cellStyle name="%_NRA_model_for_NEMO2 (EMC Update) v0.21_NRA_model_for_NEMO2 (EMC Update) v0.26_NRA_model_for_NEMO2 (EMC Update) v0.29_NRA_model_for_NEMO2 (EMC Update) v0.29.4_NRA_model_for_NEMO2 (EMC Update) v0.29.5" xfId="1463"/>
    <cellStyle name="%_NRA_model_for_NEMO2 (EMC Update) v0.21_NRA_model_for_NEMO2 (EMC Update) v0.26_NRA_model_for_NEMO2 (EMC Update) v0.29_NRA_model_for_NEMO2 (EMC Update) v0.29.4_NRA_model_for_NEMO2 (EMC Update) v0.29.5_NRA_model_for_NEMO2 (EMC Update) v0 30 1" xfId="1464"/>
    <cellStyle name="%_NRA_model_for_NEMO2 (EMC Update) v0.21_NRA_model_for_NEMO2 (EMC Update) v0.26_NRA_model_for_NEMO2 (EMC Update) v0.29_NRA_model_for_NEMO2 (EMC Update) v0.29.5" xfId="1465"/>
    <cellStyle name="%_NRA_model_for_NEMO2 (EMC Update) v0.21_NRA_model_for_NEMO2 (EMC Update) v0.26_NRA_model_for_NEMO2 (EMC Update) v0.29_NRA_model_for_NEMO2 (EMC Update) v0.29.5_NRA_model_for_NEMO2 (EMC Update) v0 30 1" xfId="1466"/>
    <cellStyle name="%_NRA_model_for_NEMO2 (EMC Update) v0.21_NRA_model_for_NEMO2 (EMC Update) v0.29" xfId="1467"/>
    <cellStyle name="%_NRA_model_for_NEMO2 (EMC Update) v0.21_NRA_model_for_NEMO2 (EMC Update) v0.29.2" xfId="1468"/>
    <cellStyle name="%_NRA_model_for_NEMO2 (EMC Update) v0.21_NRA_model_for_NEMO2 (EMC Update) v0.29.2_NRA_model_for_NEMO2 (EMC Update) v0 30 1" xfId="1469"/>
    <cellStyle name="%_NRA_model_for_NEMO2 (EMC Update) v0.21_NRA_model_for_NEMO2 (EMC Update) v0.29.2_NRA_model_for_NEMO2 (EMC Update) v0.29.3" xfId="1470"/>
    <cellStyle name="%_NRA_model_for_NEMO2 (EMC Update) v0.21_NRA_model_for_NEMO2 (EMC Update) v0.29.2_NRA_model_for_NEMO2 (EMC Update) v0.29.3_NRA_model_for_NEMO2 (EMC Update) v0 30 1" xfId="1471"/>
    <cellStyle name="%_NRA_model_for_NEMO2 (EMC Update) v0.21_NRA_model_for_NEMO2 (EMC Update) v0.29.2_NRA_model_for_NEMO2 (EMC Update) v0.29.3_NRA_model_for_NEMO2 (EMC Update) v0.29.5" xfId="1472"/>
    <cellStyle name="%_NRA_model_for_NEMO2 (EMC Update) v0.21_NRA_model_for_NEMO2 (EMC Update) v0.29.2_NRA_model_for_NEMO2 (EMC Update) v0.29.3_NRA_model_for_NEMO2 (EMC Update) v0.29.5_NRA_model_for_NEMO2 (EMC Update) v0 30 1" xfId="1473"/>
    <cellStyle name="%_NRA_model_for_NEMO2 (EMC Update) v0.21_NRA_model_for_NEMO2 (EMC Update) v0.29.2_NRA_model_for_NEMO2 (EMC Update) v0.29.4" xfId="1474"/>
    <cellStyle name="%_NRA_model_for_NEMO2 (EMC Update) v0.21_NRA_model_for_NEMO2 (EMC Update) v0.29.2_NRA_model_for_NEMO2 (EMC Update) v0.29.4_NRA_model_for_NEMO2 (EMC Update) v0 30 1" xfId="1475"/>
    <cellStyle name="%_NRA_model_for_NEMO2 (EMC Update) v0.21_NRA_model_for_NEMO2 (EMC Update) v0.29.2_NRA_model_for_NEMO2 (EMC Update) v0.29.4_NRA_model_for_NEMO2 (EMC Update) v0.29.5" xfId="1476"/>
    <cellStyle name="%_NRA_model_for_NEMO2 (EMC Update) v0.21_NRA_model_for_NEMO2 (EMC Update) v0.29.2_NRA_model_for_NEMO2 (EMC Update) v0.29.4_NRA_model_for_NEMO2 (EMC Update) v0.29.5_NRA_model_for_NEMO2 (EMC Update) v0 30 1" xfId="1477"/>
    <cellStyle name="%_NRA_model_for_NEMO2 (EMC Update) v0.21_NRA_model_for_NEMO2 (EMC Update) v0.29.2_NRA_model_for_NEMO2 (EMC Update) v0.29.5" xfId="1478"/>
    <cellStyle name="%_NRA_model_for_NEMO2 (EMC Update) v0.21_NRA_model_for_NEMO2 (EMC Update) v0.29.2_NRA_model_for_NEMO2 (EMC Update) v0.29.5_NRA_model_for_NEMO2 (EMC Update) v0 30 1" xfId="1479"/>
    <cellStyle name="%_NRA_model_for_NEMO2 (EMC Update) v0.21_NRA_model_for_NEMO2 (EMC Update) v0.29.3" xfId="1480"/>
    <cellStyle name="%_NRA_model_for_NEMO2 (EMC Update) v0.21_NRA_model_for_NEMO2 (EMC Update) v0.29.3_NRA_model_for_NEMO2 (EMC Update) v0 30 1" xfId="1481"/>
    <cellStyle name="%_NRA_model_for_NEMO2 (EMC Update) v0.21_NRA_model_for_NEMO2 (EMC Update) v0.29.3_NRA_model_for_NEMO2 (EMC Update) v0.29.5" xfId="1482"/>
    <cellStyle name="%_NRA_model_for_NEMO2 (EMC Update) v0.21_NRA_model_for_NEMO2 (EMC Update) v0.29.3_NRA_model_for_NEMO2 (EMC Update) v0.29.5_NRA_model_for_NEMO2 (EMC Update) v0 30 1" xfId="1483"/>
    <cellStyle name="%_NRA_model_for_NEMO2 (EMC Update) v0.21_NRA_model_for_NEMO2 (EMC Update) v0.29.4" xfId="1484"/>
    <cellStyle name="%_NRA_model_for_NEMO2 (EMC Update) v0.21_NRA_model_for_NEMO2 (EMC Update) v0.29.4_NRA_model_for_NEMO2 (EMC Update) v0 30 1" xfId="1485"/>
    <cellStyle name="%_NRA_model_for_NEMO2 (EMC Update) v0.21_NRA_model_for_NEMO2 (EMC Update) v0.29.4_NRA_model_for_NEMO2 (EMC Update) v0.29.5" xfId="1486"/>
    <cellStyle name="%_NRA_model_for_NEMO2 (EMC Update) v0.21_NRA_model_for_NEMO2 (EMC Update) v0.29.4_NRA_model_for_NEMO2 (EMC Update) v0.29.5_NRA_model_for_NEMO2 (EMC Update) v0 30 1" xfId="1487"/>
    <cellStyle name="%_NRA_model_for_NEMO2 (EMC Update) v0.21_NRA_model_for_NEMO2 (EMC Update) v0.29.5" xfId="1488"/>
    <cellStyle name="%_NRA_model_for_NEMO2 (EMC Update) v0.21_NRA_model_for_NEMO2 (EMC Update) v0.29.5_NRA_model_for_NEMO2 (EMC Update) v0 30 1" xfId="1489"/>
    <cellStyle name="%_NRA_model_for_NEMO2 (EMC Update) v0.21_NRA_model_for_NEMO2 (EMC Update) v0.29_NRA_model_for_NEMO2 (EMC Update) v0 30 1" xfId="1490"/>
    <cellStyle name="%_NRA_model_for_NEMO2 (EMC Update) v0.21_NRA_model_for_NEMO2 (EMC Update) v0.29_NRA_model_for_NEMO2 (EMC Update) v0.29.2" xfId="1491"/>
    <cellStyle name="%_NRA_model_for_NEMO2 (EMC Update) v0.21_NRA_model_for_NEMO2 (EMC Update) v0.29_NRA_model_for_NEMO2 (EMC Update) v0.29.2_NRA_model_for_NEMO2 (EMC Update) v0 30 1" xfId="1492"/>
    <cellStyle name="%_NRA_model_for_NEMO2 (EMC Update) v0.21_NRA_model_for_NEMO2 (EMC Update) v0.29_NRA_model_for_NEMO2 (EMC Update) v0.29.2_NRA_model_for_NEMO2 (EMC Update) v0.29.3" xfId="1493"/>
    <cellStyle name="%_NRA_model_for_NEMO2 (EMC Update) v0.21_NRA_model_for_NEMO2 (EMC Update) v0.29_NRA_model_for_NEMO2 (EMC Update) v0.29.2_NRA_model_for_NEMO2 (EMC Update) v0.29.3_NRA_model_for_NEMO2 (EMC Update) v0 30 1" xfId="1494"/>
    <cellStyle name="%_NRA_model_for_NEMO2 (EMC Update) v0.21_NRA_model_for_NEMO2 (EMC Update) v0.29_NRA_model_for_NEMO2 (EMC Update) v0.29.2_NRA_model_for_NEMO2 (EMC Update) v0.29.3_NRA_model_for_NEMO2 (EMC Update) v0.29.5" xfId="1495"/>
    <cellStyle name="%_NRA_model_for_NEMO2 (EMC Update) v0.21_NRA_model_for_NEMO2 (EMC Update) v0.29_NRA_model_for_NEMO2 (EMC Update) v0.29.2_NRA_model_for_NEMO2 (EMC Update) v0.29.3_NRA_model_for_NEMO2 (EMC Update) v0.29.5_NRA_model_for_NEMO2 (EMC Update) v0 30 1" xfId="1496"/>
    <cellStyle name="%_NRA_model_for_NEMO2 (EMC Update) v0.21_NRA_model_for_NEMO2 (EMC Update) v0.29_NRA_model_for_NEMO2 (EMC Update) v0.29.2_NRA_model_for_NEMO2 (EMC Update) v0.29.4" xfId="1497"/>
    <cellStyle name="%_NRA_model_for_NEMO2 (EMC Update) v0.21_NRA_model_for_NEMO2 (EMC Update) v0.29_NRA_model_for_NEMO2 (EMC Update) v0.29.2_NRA_model_for_NEMO2 (EMC Update) v0.29.4_NRA_model_for_NEMO2 (EMC Update) v0 30 1" xfId="1498"/>
    <cellStyle name="%_NRA_model_for_NEMO2 (EMC Update) v0.21_NRA_model_for_NEMO2 (EMC Update) v0.29_NRA_model_for_NEMO2 (EMC Update) v0.29.2_NRA_model_for_NEMO2 (EMC Update) v0.29.4_NRA_model_for_NEMO2 (EMC Update) v0.29.5" xfId="1499"/>
    <cellStyle name="%_NRA_model_for_NEMO2 (EMC Update) v0.21_NRA_model_for_NEMO2 (EMC Update) v0.29_NRA_model_for_NEMO2 (EMC Update) v0.29.2_NRA_model_for_NEMO2 (EMC Update) v0.29.4_NRA_model_for_NEMO2 (EMC Update) v0.29.5_NRA_model_for_NEMO2 (EMC Update) v0 30 1" xfId="1500"/>
    <cellStyle name="%_NRA_model_for_NEMO2 (EMC Update) v0.21_NRA_model_for_NEMO2 (EMC Update) v0.29_NRA_model_for_NEMO2 (EMC Update) v0.29.2_NRA_model_for_NEMO2 (EMC Update) v0.29.5" xfId="1501"/>
    <cellStyle name="%_NRA_model_for_NEMO2 (EMC Update) v0.21_NRA_model_for_NEMO2 (EMC Update) v0.29_NRA_model_for_NEMO2 (EMC Update) v0.29.2_NRA_model_for_NEMO2 (EMC Update) v0.29.5_NRA_model_for_NEMO2 (EMC Update) v0 30 1" xfId="1502"/>
    <cellStyle name="%_NRA_model_for_NEMO2 (EMC Update) v0.21_NRA_model_for_NEMO2 (EMC Update) v0.29_NRA_model_for_NEMO2 (EMC Update) v0.29.3" xfId="1503"/>
    <cellStyle name="%_NRA_model_for_NEMO2 (EMC Update) v0.21_NRA_model_for_NEMO2 (EMC Update) v0.29_NRA_model_for_NEMO2 (EMC Update) v0.29.3_NRA_model_for_NEMO2 (EMC Update) v0 30 1" xfId="1504"/>
    <cellStyle name="%_NRA_model_for_NEMO2 (EMC Update) v0.21_NRA_model_for_NEMO2 (EMC Update) v0.29_NRA_model_for_NEMO2 (EMC Update) v0.29.3_NRA_model_for_NEMO2 (EMC Update) v0.29.5" xfId="1505"/>
    <cellStyle name="%_NRA_model_for_NEMO2 (EMC Update) v0.21_NRA_model_for_NEMO2 (EMC Update) v0.29_NRA_model_for_NEMO2 (EMC Update) v0.29.3_NRA_model_for_NEMO2 (EMC Update) v0.29.5_NRA_model_for_NEMO2 (EMC Update) v0 30 1" xfId="1506"/>
    <cellStyle name="%_NRA_model_for_NEMO2 (EMC Update) v0.21_NRA_model_for_NEMO2 (EMC Update) v0.29_NRA_model_for_NEMO2 (EMC Update) v0.29.4" xfId="1507"/>
    <cellStyle name="%_NRA_model_for_NEMO2 (EMC Update) v0.21_NRA_model_for_NEMO2 (EMC Update) v0.29_NRA_model_for_NEMO2 (EMC Update) v0.29.4_NRA_model_for_NEMO2 (EMC Update) v0 30 1" xfId="1508"/>
    <cellStyle name="%_NRA_model_for_NEMO2 (EMC Update) v0.21_NRA_model_for_NEMO2 (EMC Update) v0.29_NRA_model_for_NEMO2 (EMC Update) v0.29.4_NRA_model_for_NEMO2 (EMC Update) v0.29.5" xfId="1509"/>
    <cellStyle name="%_NRA_model_for_NEMO2 (EMC Update) v0.21_NRA_model_for_NEMO2 (EMC Update) v0.29_NRA_model_for_NEMO2 (EMC Update) v0.29.4_NRA_model_for_NEMO2 (EMC Update) v0.29.5_NRA_model_for_NEMO2 (EMC Update) v0 30 1" xfId="1510"/>
    <cellStyle name="%_NRA_model_for_NEMO2 (EMC Update) v0.21_NRA_model_for_NEMO2 (EMC Update) v0.29_NRA_model_for_NEMO2 (EMC Update) v0.29.5" xfId="1511"/>
    <cellStyle name="%_NRA_model_for_NEMO2 (EMC Update) v0.21_NRA_model_for_NEMO2 (EMC Update) v0.29_NRA_model_for_NEMO2 (EMC Update) v0.29.5_NRA_model_for_NEMO2 (EMC Update) v0 30 1" xfId="1512"/>
    <cellStyle name="%_NRA_model_for_NEMO2 (EMC Update) v0.22" xfId="1513"/>
    <cellStyle name="%_NRA_model_for_NEMO2 (EMC Update) v0.22_NRA_model_for_NEMO2 (EMC Update) v0 30 1" xfId="1514"/>
    <cellStyle name="%_NRA_model_for_NEMO2 (EMC Update) v0.22_NRA_model_for_NEMO2 (EMC Update) v0.25" xfId="1515"/>
    <cellStyle name="%_NRA_model_for_NEMO2 (EMC Update) v0.22_NRA_model_for_NEMO2 (EMC Update) v0.25_NRA_model_for_NEMO2 (EMC Update) v0 30 1" xfId="1516"/>
    <cellStyle name="%_NRA_model_for_NEMO2 (EMC Update) v0.22_NRA_model_for_NEMO2 (EMC Update) v0.25_NRA_model_for_NEMO2 (EMC Update) v0.26" xfId="1517"/>
    <cellStyle name="%_NRA_model_for_NEMO2 (EMC Update) v0.22_NRA_model_for_NEMO2 (EMC Update) v0.25_NRA_model_for_NEMO2 (EMC Update) v0.26_NRA_model_for_NEMO2 (EMC Update) v0 30 1" xfId="1518"/>
    <cellStyle name="%_NRA_model_for_NEMO2 (EMC Update) v0.22_NRA_model_for_NEMO2 (EMC Update) v0.25_NRA_model_for_NEMO2 (EMC Update) v0.26_NRA_model_for_NEMO2 (EMC Update) v0.29" xfId="1519"/>
    <cellStyle name="%_NRA_model_for_NEMO2 (EMC Update) v0.22_NRA_model_for_NEMO2 (EMC Update) v0.25_NRA_model_for_NEMO2 (EMC Update) v0.26_NRA_model_for_NEMO2 (EMC Update) v0.29.2" xfId="1520"/>
    <cellStyle name="%_NRA_model_for_NEMO2 (EMC Update) v0.22_NRA_model_for_NEMO2 (EMC Update) v0.25_NRA_model_for_NEMO2 (EMC Update) v0.26_NRA_model_for_NEMO2 (EMC Update) v0.29.2_NRA_model_for_NEMO2 (EMC Update) v0 30 1" xfId="1521"/>
    <cellStyle name="%_NRA_model_for_NEMO2 (EMC Update) v0.22_NRA_model_for_NEMO2 (EMC Update) v0.25_NRA_model_for_NEMO2 (EMC Update) v0.26_NRA_model_for_NEMO2 (EMC Update) v0.29.2_NRA_model_for_NEMO2 (EMC Update) v0.29.3" xfId="1522"/>
    <cellStyle name="%_NRA_model_for_NEMO2 (EMC Update) v0.22_NRA_model_for_NEMO2 (EMC Update) v0.25_NRA_model_for_NEMO2 (EMC Update) v0.26_NRA_model_for_NEMO2 (EMC Update) v0.29.2_NRA_model_for_NEMO2 (EMC Update) v0.29.3_NRA_model_for_NEMO2 (EMC Update) v0 30 1" xfId="1523"/>
    <cellStyle name="%_NRA_model_for_NEMO2 (EMC Update) v0.22_NRA_model_for_NEMO2 (EMC Update) v0.25_NRA_model_for_NEMO2 (EMC Update) v0.26_NRA_model_for_NEMO2 (EMC Update) v0.29.2_NRA_model_for_NEMO2 (EMC Update) v0.29.3_NRA_model_for_NEMO2 (EMC Update) v0.29.5" xfId="1524"/>
    <cellStyle name="%_NRA_model_for_NEMO2 (EMC Update) v0.22_NRA_model_for_NEMO2 (EMC Update) v0.25_NRA_model_for_NEMO2 (EMC Update) v0.26_NRA_model_for_NEMO2 (EMC Update) v0.29.2_NRA_model_for_NEMO2 (EMC Update) v0.29.4" xfId="1525"/>
    <cellStyle name="%_NRA_model_for_NEMO2 (EMC Update) v0.22_NRA_model_for_NEMO2 (EMC Update) v0.25_NRA_model_for_NEMO2 (EMC Update) v0.26_NRA_model_for_NEMO2 (EMC Update) v0.29.2_NRA_model_for_NEMO2 (EMC Update) v0.29.4_NRA_model_for_NEMO2 (EMC Update) v0 30 1" xfId="1526"/>
    <cellStyle name="%_NRA_model_for_NEMO2 (EMC Update) v0.22_NRA_model_for_NEMO2 (EMC Update) v0.25_NRA_model_for_NEMO2 (EMC Update) v0.26_NRA_model_for_NEMO2 (EMC Update) v0.29.2_NRA_model_for_NEMO2 (EMC Update) v0.29.4_NRA_model_for_NEMO2 (EMC Update) v0.29.5" xfId="1527"/>
    <cellStyle name="%_NRA_model_for_NEMO2 (EMC Update) v0.22_NRA_model_for_NEMO2 (EMC Update) v0.25_NRA_model_for_NEMO2 (EMC Update) v0.26_NRA_model_for_NEMO2 (EMC Update) v0.29.2_NRA_model_for_NEMO2 (EMC Update) v0.29.5" xfId="1528"/>
    <cellStyle name="%_NRA_model_for_NEMO2 (EMC Update) v0.22_NRA_model_for_NEMO2 (EMC Update) v0.25_NRA_model_for_NEMO2 (EMC Update) v0.26_NRA_model_for_NEMO2 (EMC Update) v0.29.2_NRA_model_for_NEMO2 (EMC Update) v0.29.5_NRA_model_for_NEMO2 (EMC Update) v0 30 1" xfId="1529"/>
    <cellStyle name="%_NRA_model_for_NEMO2 (EMC Update) v0.22_NRA_model_for_NEMO2 (EMC Update) v0.25_NRA_model_for_NEMO2 (EMC Update) v0.26_NRA_model_for_NEMO2 (EMC Update) v0.29.3" xfId="1530"/>
    <cellStyle name="%_NRA_model_for_NEMO2 (EMC Update) v0.22_NRA_model_for_NEMO2 (EMC Update) v0.25_NRA_model_for_NEMO2 (EMC Update) v0.26_NRA_model_for_NEMO2 (EMC Update) v0.29.3_NRA_model_for_NEMO2 (EMC Update) v0 30 1" xfId="1531"/>
    <cellStyle name="%_NRA_model_for_NEMO2 (EMC Update) v0.22_NRA_model_for_NEMO2 (EMC Update) v0.25_NRA_model_for_NEMO2 (EMC Update) v0.26_NRA_model_for_NEMO2 (EMC Update) v0.29.3_NRA_model_for_NEMO2 (EMC Update) v0.29.5" xfId="1532"/>
    <cellStyle name="%_NRA_model_for_NEMO2 (EMC Update) v0.22_NRA_model_for_NEMO2 (EMC Update) v0.25_NRA_model_for_NEMO2 (EMC Update) v0.26_NRA_model_for_NEMO2 (EMC Update) v0.29.3_NRA_model_for_NEMO2 (EMC Update) v0.29.5_NRA_model_for_NEMO2 (EMC Update) v0 30 1" xfId="1533"/>
    <cellStyle name="%_NRA_model_for_NEMO2 (EMC Update) v0.22_NRA_model_for_NEMO2 (EMC Update) v0.25_NRA_model_for_NEMO2 (EMC Update) v0.26_NRA_model_for_NEMO2 (EMC Update) v0.29.4" xfId="1534"/>
    <cellStyle name="%_NRA_model_for_NEMO2 (EMC Update) v0.22_NRA_model_for_NEMO2 (EMC Update) v0.25_NRA_model_for_NEMO2 (EMC Update) v0.26_NRA_model_for_NEMO2 (EMC Update) v0.29.4_NRA_model_for_NEMO2 (EMC Update) v0 30 1" xfId="1535"/>
    <cellStyle name="%_NRA_model_for_NEMO2 (EMC Update) v0.22_NRA_model_for_NEMO2 (EMC Update) v0.25_NRA_model_for_NEMO2 (EMC Update) v0.26_NRA_model_for_NEMO2 (EMC Update) v0.29.4_NRA_model_for_NEMO2 (EMC Update) v0.29.5" xfId="1536"/>
    <cellStyle name="%_NRA_model_for_NEMO2 (EMC Update) v0.22_NRA_model_for_NEMO2 (EMC Update) v0.25_NRA_model_for_NEMO2 (EMC Update) v0.26_NRA_model_for_NEMO2 (EMC Update) v0.29.4_NRA_model_for_NEMO2 (EMC Update) v0.29.5_NRA_model_for_NEMO2 (EMC Update) v0 30 1" xfId="1537"/>
    <cellStyle name="%_NRA_model_for_NEMO2 (EMC Update) v0.22_NRA_model_for_NEMO2 (EMC Update) v0.25_NRA_model_for_NEMO2 (EMC Update) v0.26_NRA_model_for_NEMO2 (EMC Update) v0.29.5" xfId="1538"/>
    <cellStyle name="%_NRA_model_for_NEMO2 (EMC Update) v0.22_NRA_model_for_NEMO2 (EMC Update) v0.25_NRA_model_for_NEMO2 (EMC Update) v0.26_NRA_model_for_NEMO2 (EMC Update) v0.29.5_NRA_model_for_NEMO2 (EMC Update) v0 30 1" xfId="1539"/>
    <cellStyle name="%_NRA_model_for_NEMO2 (EMC Update) v0.22_NRA_model_for_NEMO2 (EMC Update) v0.25_NRA_model_for_NEMO2 (EMC Update) v0.26_NRA_model_for_NEMO2 (EMC Update) v0.29_NRA_model_for_NEMO2 (EMC Update) v0 30 1" xfId="1540"/>
    <cellStyle name="%_NRA_model_for_NEMO2 (EMC Update) v0.22_NRA_model_for_NEMO2 (EMC Update) v0.25_NRA_model_for_NEMO2 (EMC Update) v0.26_NRA_model_for_NEMO2 (EMC Update) v0.29_NRA_model_for_NEMO2 (EMC Update) v0.29.2" xfId="1541"/>
    <cellStyle name="%_NRA_model_for_NEMO2 (EMC Update) v0.22_NRA_model_for_NEMO2 (EMC Update) v0.25_NRA_model_for_NEMO2 (EMC Update) v0.26_NRA_model_for_NEMO2 (EMC Update) v0.29_NRA_model_for_NEMO2 (EMC Update) v0.29.2_NRA_model_for_NEMO2 (EMC Update) v0 30 1" xfId="1542"/>
    <cellStyle name="%_NRA_model_for_NEMO2 (EMC Update) v0.22_NRA_model_for_NEMO2 (EMC Update) v0.25_NRA_model_for_NEMO2 (EMC Update) v0.26_NRA_model_for_NEMO2 (EMC Update) v0.29_NRA_model_for_NEMO2 (EMC Update) v0.29.2_NRA_model_for_NEMO2 (EMC Update) v0.29.3" xfId="1543"/>
    <cellStyle name="%_NRA_model_for_NEMO2 (EMC Update) v0.22_NRA_model_for_NEMO2 (EMC Update) v0.25_NRA_model_for_NEMO2 (EMC Update) v0.26_NRA_model_for_NEMO2 (EMC Update) v0.29_NRA_model_for_NEMO2 (EMC Update) v0.29.2_NRA_model_for_NEMO2 (EMC Update) v0.29.4" xfId="1544"/>
    <cellStyle name="%_NRA_model_for_NEMO2 (EMC Update) v0.22_NRA_model_for_NEMO2 (EMC Update) v0.25_NRA_model_for_NEMO2 (EMC Update) v0.26_NRA_model_for_NEMO2 (EMC Update) v0.29_NRA_model_for_NEMO2 (EMC Update) v0.29.2_NRA_model_for_NEMO2 (EMC Update) v0.29.5" xfId="1545"/>
    <cellStyle name="%_NRA_model_for_NEMO2 (EMC Update) v0.22_NRA_model_for_NEMO2 (EMC Update) v0.25_NRA_model_for_NEMO2 (EMC Update) v0.26_NRA_model_for_NEMO2 (EMC Update) v0.29_NRA_model_for_NEMO2 (EMC Update) v0.29.3" xfId="1546"/>
    <cellStyle name="%_NRA_model_for_NEMO2 (EMC Update) v0.22_NRA_model_for_NEMO2 (EMC Update) v0.25_NRA_model_for_NEMO2 (EMC Update) v0.26_NRA_model_for_NEMO2 (EMC Update) v0.29_NRA_model_for_NEMO2 (EMC Update) v0.29.3_NRA_model_for_NEMO2 (EMC Update) v0 30 1" xfId="1547"/>
    <cellStyle name="%_NRA_model_for_NEMO2 (EMC Update) v0.22_NRA_model_for_NEMO2 (EMC Update) v0.25_NRA_model_for_NEMO2 (EMC Update) v0.26_NRA_model_for_NEMO2 (EMC Update) v0.29_NRA_model_for_NEMO2 (EMC Update) v0.29.3_NRA_model_for_NEMO2 (EMC Update) v0.29.5" xfId="1548"/>
    <cellStyle name="%_NRA_model_for_NEMO2 (EMC Update) v0.22_NRA_model_for_NEMO2 (EMC Update) v0.25_NRA_model_for_NEMO2 (EMC Update) v0.26_NRA_model_for_NEMO2 (EMC Update) v0.29_NRA_model_for_NEMO2 (EMC Update) v0.29.4" xfId="1549"/>
    <cellStyle name="%_NRA_model_for_NEMO2 (EMC Update) v0.22_NRA_model_for_NEMO2 (EMC Update) v0.25_NRA_model_for_NEMO2 (EMC Update) v0.26_NRA_model_for_NEMO2 (EMC Update) v0.29_NRA_model_for_NEMO2 (EMC Update) v0.29.4_NRA_model_for_NEMO2 (EMC Update) v0 30 1" xfId="1550"/>
    <cellStyle name="%_NRA_model_for_NEMO2 (EMC Update) v0.22_NRA_model_for_NEMO2 (EMC Update) v0.25_NRA_model_for_NEMO2 (EMC Update) v0.26_NRA_model_for_NEMO2 (EMC Update) v0.29_NRA_model_for_NEMO2 (EMC Update) v0.29.4_NRA_model_for_NEMO2 (EMC Update) v0.29.5" xfId="1551"/>
    <cellStyle name="%_NRA_model_for_NEMO2 (EMC Update) v0.22_NRA_model_for_NEMO2 (EMC Update) v0.25_NRA_model_for_NEMO2 (EMC Update) v0.26_NRA_model_for_NEMO2 (EMC Update) v0.29_NRA_model_for_NEMO2 (EMC Update) v0.29.5" xfId="1552"/>
    <cellStyle name="%_NRA_model_for_NEMO2 (EMC Update) v0.22_NRA_model_for_NEMO2 (EMC Update) v0.25_NRA_model_for_NEMO2 (EMC Update) v0.26_NRA_model_for_NEMO2 (EMC Update) v0.29_NRA_model_for_NEMO2 (EMC Update) v0.29.5_NRA_model_for_NEMO2 (EMC Update) v0 30 1" xfId="1553"/>
    <cellStyle name="%_NRA_model_for_NEMO2 (EMC Update) v0.22_NRA_model_for_NEMO2 (EMC Update) v0.25_NRA_model_for_NEMO2 (EMC Update) v0.29" xfId="1554"/>
    <cellStyle name="%_NRA_model_for_NEMO2 (EMC Update) v0.22_NRA_model_for_NEMO2 (EMC Update) v0.25_NRA_model_for_NEMO2 (EMC Update) v0.29.2" xfId="1555"/>
    <cellStyle name="%_NRA_model_for_NEMO2 (EMC Update) v0.22_NRA_model_for_NEMO2 (EMC Update) v0.25_NRA_model_for_NEMO2 (EMC Update) v0.29.2_NRA_model_for_NEMO2 (EMC Update) v0 30 1" xfId="1556"/>
    <cellStyle name="%_NRA_model_for_NEMO2 (EMC Update) v0.22_NRA_model_for_NEMO2 (EMC Update) v0.25_NRA_model_for_NEMO2 (EMC Update) v0.29.2_NRA_model_for_NEMO2 (EMC Update) v0.29.3" xfId="1557"/>
    <cellStyle name="%_NRA_model_for_NEMO2 (EMC Update) v0.22_NRA_model_for_NEMO2 (EMC Update) v0.25_NRA_model_for_NEMO2 (EMC Update) v0.29.2_NRA_model_for_NEMO2 (EMC Update) v0.29.3_NRA_model_for_NEMO2 (EMC Update) v0 30 1" xfId="1558"/>
    <cellStyle name="%_NRA_model_for_NEMO2 (EMC Update) v0.22_NRA_model_for_NEMO2 (EMC Update) v0.25_NRA_model_for_NEMO2 (EMC Update) v0.29.2_NRA_model_for_NEMO2 (EMC Update) v0.29.3_NRA_model_for_NEMO2 (EMC Update) v0.29.5" xfId="1559"/>
    <cellStyle name="%_NRA_model_for_NEMO2 (EMC Update) v0.22_NRA_model_for_NEMO2 (EMC Update) v0.25_NRA_model_for_NEMO2 (EMC Update) v0.29.2_NRA_model_for_NEMO2 (EMC Update) v0.29.3_NRA_model_for_NEMO2 (EMC Update) v0.29.5_NRA_model_for_NEMO2 (EMC Update) v0 30 1" xfId="1560"/>
    <cellStyle name="%_NRA_model_for_NEMO2 (EMC Update) v0.22_NRA_model_for_NEMO2 (EMC Update) v0.25_NRA_model_for_NEMO2 (EMC Update) v0.29.2_NRA_model_for_NEMO2 (EMC Update) v0.29.4" xfId="1561"/>
    <cellStyle name="%_NRA_model_for_NEMO2 (EMC Update) v0.22_NRA_model_for_NEMO2 (EMC Update) v0.25_NRA_model_for_NEMO2 (EMC Update) v0.29.2_NRA_model_for_NEMO2 (EMC Update) v0.29.4_NRA_model_for_NEMO2 (EMC Update) v0 30 1" xfId="1562"/>
    <cellStyle name="%_NRA_model_for_NEMO2 (EMC Update) v0.22_NRA_model_for_NEMO2 (EMC Update) v0.25_NRA_model_for_NEMO2 (EMC Update) v0.29.2_NRA_model_for_NEMO2 (EMC Update) v0.29.4_NRA_model_for_NEMO2 (EMC Update) v0.29.5" xfId="1563"/>
    <cellStyle name="%_NRA_model_for_NEMO2 (EMC Update) v0.22_NRA_model_for_NEMO2 (EMC Update) v0.25_NRA_model_for_NEMO2 (EMC Update) v0.29.2_NRA_model_for_NEMO2 (EMC Update) v0.29.4_NRA_model_for_NEMO2 (EMC Update) v0.29.5_NRA_model_for_NEMO2 (EMC Update) v0 30 1" xfId="1564"/>
    <cellStyle name="%_NRA_model_for_NEMO2 (EMC Update) v0.22_NRA_model_for_NEMO2 (EMC Update) v0.25_NRA_model_for_NEMO2 (EMC Update) v0.29.2_NRA_model_for_NEMO2 (EMC Update) v0.29.5" xfId="1565"/>
    <cellStyle name="%_NRA_model_for_NEMO2 (EMC Update) v0.22_NRA_model_for_NEMO2 (EMC Update) v0.25_NRA_model_for_NEMO2 (EMC Update) v0.29.2_NRA_model_for_NEMO2 (EMC Update) v0.29.5_NRA_model_for_NEMO2 (EMC Update) v0 30 1" xfId="1566"/>
    <cellStyle name="%_NRA_model_for_NEMO2 (EMC Update) v0.22_NRA_model_for_NEMO2 (EMC Update) v0.25_NRA_model_for_NEMO2 (EMC Update) v0.29.3" xfId="1567"/>
    <cellStyle name="%_NRA_model_for_NEMO2 (EMC Update) v0.22_NRA_model_for_NEMO2 (EMC Update) v0.25_NRA_model_for_NEMO2 (EMC Update) v0.29.3_NRA_model_for_NEMO2 (EMC Update) v0 30 1" xfId="1568"/>
    <cellStyle name="%_NRA_model_for_NEMO2 (EMC Update) v0.22_NRA_model_for_NEMO2 (EMC Update) v0.25_NRA_model_for_NEMO2 (EMC Update) v0.29.3_NRA_model_for_NEMO2 (EMC Update) v0.29.5" xfId="1569"/>
    <cellStyle name="%_NRA_model_for_NEMO2 (EMC Update) v0.22_NRA_model_for_NEMO2 (EMC Update) v0.25_NRA_model_for_NEMO2 (EMC Update) v0.29.3_NRA_model_for_NEMO2 (EMC Update) v0.29.5_NRA_model_for_NEMO2 (EMC Update) v0 30 1" xfId="1570"/>
    <cellStyle name="%_NRA_model_for_NEMO2 (EMC Update) v0.22_NRA_model_for_NEMO2 (EMC Update) v0.25_NRA_model_for_NEMO2 (EMC Update) v0.29.4" xfId="1571"/>
    <cellStyle name="%_NRA_model_for_NEMO2 (EMC Update) v0.22_NRA_model_for_NEMO2 (EMC Update) v0.25_NRA_model_for_NEMO2 (EMC Update) v0.29.4_NRA_model_for_NEMO2 (EMC Update) v0 30 1" xfId="1572"/>
    <cellStyle name="%_NRA_model_for_NEMO2 (EMC Update) v0.22_NRA_model_for_NEMO2 (EMC Update) v0.25_NRA_model_for_NEMO2 (EMC Update) v0.29.4_NRA_model_for_NEMO2 (EMC Update) v0.29.5" xfId="1573"/>
    <cellStyle name="%_NRA_model_for_NEMO2 (EMC Update) v0.22_NRA_model_for_NEMO2 (EMC Update) v0.25_NRA_model_for_NEMO2 (EMC Update) v0.29.4_NRA_model_for_NEMO2 (EMC Update) v0.29.5_NRA_model_for_NEMO2 (EMC Update) v0 30 1" xfId="1574"/>
    <cellStyle name="%_NRA_model_for_NEMO2 (EMC Update) v0.22_NRA_model_for_NEMO2 (EMC Update) v0.25_NRA_model_for_NEMO2 (EMC Update) v0.29.5" xfId="1575"/>
    <cellStyle name="%_NRA_model_for_NEMO2 (EMC Update) v0.22_NRA_model_for_NEMO2 (EMC Update) v0.25_NRA_model_for_NEMO2 (EMC Update) v0.29.5_NRA_model_for_NEMO2 (EMC Update) v0 30 1" xfId="1576"/>
    <cellStyle name="%_NRA_model_for_NEMO2 (EMC Update) v0.22_NRA_model_for_NEMO2 (EMC Update) v0.25_NRA_model_for_NEMO2 (EMC Update) v0.29_NRA_model_for_NEMO2 (EMC Update) v0 30 1" xfId="1577"/>
    <cellStyle name="%_NRA_model_for_NEMO2 (EMC Update) v0.22_NRA_model_for_NEMO2 (EMC Update) v0.25_NRA_model_for_NEMO2 (EMC Update) v0.29_NRA_model_for_NEMO2 (EMC Update) v0.29.2" xfId="1578"/>
    <cellStyle name="%_NRA_model_for_NEMO2 (EMC Update) v0.22_NRA_model_for_NEMO2 (EMC Update) v0.25_NRA_model_for_NEMO2 (EMC Update) v0.29_NRA_model_for_NEMO2 (EMC Update) v0.29.2_NRA_model_for_NEMO2 (EMC Update) v0 30 1" xfId="1579"/>
    <cellStyle name="%_NRA_model_for_NEMO2 (EMC Update) v0.22_NRA_model_for_NEMO2 (EMC Update) v0.25_NRA_model_for_NEMO2 (EMC Update) v0.29_NRA_model_for_NEMO2 (EMC Update) v0.29.2_NRA_model_for_NEMO2 (EMC Update) v0.29.3" xfId="1580"/>
    <cellStyle name="%_NRA_model_for_NEMO2 (EMC Update) v0.22_NRA_model_for_NEMO2 (EMC Update) v0.25_NRA_model_for_NEMO2 (EMC Update) v0.29_NRA_model_for_NEMO2 (EMC Update) v0.29.2_NRA_model_for_NEMO2 (EMC Update) v0.29.3_NRA_model_for_NEMO2 (EMC Update) v0 30 1" xfId="1581"/>
    <cellStyle name="%_NRA_model_for_NEMO2 (EMC Update) v0.22_NRA_model_for_NEMO2 (EMC Update) v0.25_NRA_model_for_NEMO2 (EMC Update) v0.29_NRA_model_for_NEMO2 (EMC Update) v0.29.2_NRA_model_for_NEMO2 (EMC Update) v0.29.3_NRA_model_for_NEMO2 (EMC Update) v0.29.5" xfId="1582"/>
    <cellStyle name="%_NRA_model_for_NEMO2 (EMC Update) v0.22_NRA_model_for_NEMO2 (EMC Update) v0.25_NRA_model_for_NEMO2 (EMC Update) v0.29_NRA_model_for_NEMO2 (EMC Update) v0.29.2_NRA_model_for_NEMO2 (EMC Update) v0.29.4" xfId="1583"/>
    <cellStyle name="%_NRA_model_for_NEMO2 (EMC Update) v0.22_NRA_model_for_NEMO2 (EMC Update) v0.25_NRA_model_for_NEMO2 (EMC Update) v0.29_NRA_model_for_NEMO2 (EMC Update) v0.29.2_NRA_model_for_NEMO2 (EMC Update) v0.29.4_NRA_model_for_NEMO2 (EMC Update) v0 30 1" xfId="1584"/>
    <cellStyle name="%_NRA_model_for_NEMO2 (EMC Update) v0.22_NRA_model_for_NEMO2 (EMC Update) v0.25_NRA_model_for_NEMO2 (EMC Update) v0.29_NRA_model_for_NEMO2 (EMC Update) v0.29.2_NRA_model_for_NEMO2 (EMC Update) v0.29.4_NRA_model_for_NEMO2 (EMC Update) v0.29.5" xfId="1585"/>
    <cellStyle name="%_NRA_model_for_NEMO2 (EMC Update) v0.22_NRA_model_for_NEMO2 (EMC Update) v0.25_NRA_model_for_NEMO2 (EMC Update) v0.29_NRA_model_for_NEMO2 (EMC Update) v0.29.2_NRA_model_for_NEMO2 (EMC Update) v0.29.5" xfId="1586"/>
    <cellStyle name="%_NRA_model_for_NEMO2 (EMC Update) v0.22_NRA_model_for_NEMO2 (EMC Update) v0.25_NRA_model_for_NEMO2 (EMC Update) v0.29_NRA_model_for_NEMO2 (EMC Update) v0.29.2_NRA_model_for_NEMO2 (EMC Update) v0.29.5_NRA_model_for_NEMO2 (EMC Update) v0 30 1" xfId="1587"/>
    <cellStyle name="%_NRA_model_for_NEMO2 (EMC Update) v0.22_NRA_model_for_NEMO2 (EMC Update) v0.25_NRA_model_for_NEMO2 (EMC Update) v0.29_NRA_model_for_NEMO2 (EMC Update) v0.29.3" xfId="1588"/>
    <cellStyle name="%_NRA_model_for_NEMO2 (EMC Update) v0.22_NRA_model_for_NEMO2 (EMC Update) v0.25_NRA_model_for_NEMO2 (EMC Update) v0.29_NRA_model_for_NEMO2 (EMC Update) v0.29.3_NRA_model_for_NEMO2 (EMC Update) v0 30 1" xfId="1589"/>
    <cellStyle name="%_NRA_model_for_NEMO2 (EMC Update) v0.22_NRA_model_for_NEMO2 (EMC Update) v0.25_NRA_model_for_NEMO2 (EMC Update) v0.29_NRA_model_for_NEMO2 (EMC Update) v0.29.3_NRA_model_for_NEMO2 (EMC Update) v0.29.5" xfId="1590"/>
    <cellStyle name="%_NRA_model_for_NEMO2 (EMC Update) v0.22_NRA_model_for_NEMO2 (EMC Update) v0.25_NRA_model_for_NEMO2 (EMC Update) v0.29_NRA_model_for_NEMO2 (EMC Update) v0.29.3_NRA_model_for_NEMO2 (EMC Update) v0.29.5_NRA_model_for_NEMO2 (EMC Update) v0 30 1" xfId="1591"/>
    <cellStyle name="%_NRA_model_for_NEMO2 (EMC Update) v0.22_NRA_model_for_NEMO2 (EMC Update) v0.25_NRA_model_for_NEMO2 (EMC Update) v0.29_NRA_model_for_NEMO2 (EMC Update) v0.29.4" xfId="1592"/>
    <cellStyle name="%_NRA_model_for_NEMO2 (EMC Update) v0.22_NRA_model_for_NEMO2 (EMC Update) v0.25_NRA_model_for_NEMO2 (EMC Update) v0.29_NRA_model_for_NEMO2 (EMC Update) v0.29.4_NRA_model_for_NEMO2 (EMC Update) v0 30 1" xfId="1593"/>
    <cellStyle name="%_NRA_model_for_NEMO2 (EMC Update) v0.22_NRA_model_for_NEMO2 (EMC Update) v0.25_NRA_model_for_NEMO2 (EMC Update) v0.29_NRA_model_for_NEMO2 (EMC Update) v0.29.4_NRA_model_for_NEMO2 (EMC Update) v0.29.5" xfId="1594"/>
    <cellStyle name="%_NRA_model_for_NEMO2 (EMC Update) v0.22_NRA_model_for_NEMO2 (EMC Update) v0.25_NRA_model_for_NEMO2 (EMC Update) v0.29_NRA_model_for_NEMO2 (EMC Update) v0.29.4_NRA_model_for_NEMO2 (EMC Update) v0.29.5_NRA_model_for_NEMO2 (EMC Update) v0 30 1" xfId="1595"/>
    <cellStyle name="%_NRA_model_for_NEMO2 (EMC Update) v0.22_NRA_model_for_NEMO2 (EMC Update) v0.25_NRA_model_for_NEMO2 (EMC Update) v0.29_NRA_model_for_NEMO2 (EMC Update) v0.29.5" xfId="1596"/>
    <cellStyle name="%_NRA_model_for_NEMO2 (EMC Update) v0.22_NRA_model_for_NEMO2 (EMC Update) v0.25_NRA_model_for_NEMO2 (EMC Update) v0.29_NRA_model_for_NEMO2 (EMC Update) v0.29.5_NRA_model_for_NEMO2 (EMC Update) v0 30 1" xfId="1597"/>
    <cellStyle name="%_NRA_model_for_NEMO2 (EMC Update) v0.22_NRA_model_for_NEMO2 (EMC Update) v0.26" xfId="1598"/>
    <cellStyle name="%_NRA_model_for_NEMO2 (EMC Update) v0.22_NRA_model_for_NEMO2 (EMC Update) v0.26_NRA_model_for_NEMO2 (EMC Update) v0 30 1" xfId="1599"/>
    <cellStyle name="%_NRA_model_for_NEMO2 (EMC Update) v0.22_NRA_model_for_NEMO2 (EMC Update) v0.26_NRA_model_for_NEMO2 (EMC Update) v0.29" xfId="1600"/>
    <cellStyle name="%_NRA_model_for_NEMO2 (EMC Update) v0.22_NRA_model_for_NEMO2 (EMC Update) v0.26_NRA_model_for_NEMO2 (EMC Update) v0.29.2" xfId="1601"/>
    <cellStyle name="%_NRA_model_for_NEMO2 (EMC Update) v0.22_NRA_model_for_NEMO2 (EMC Update) v0.26_NRA_model_for_NEMO2 (EMC Update) v0.29.2_NRA_model_for_NEMO2 (EMC Update) v0 30 1" xfId="1602"/>
    <cellStyle name="%_NRA_model_for_NEMO2 (EMC Update) v0.22_NRA_model_for_NEMO2 (EMC Update) v0.26_NRA_model_for_NEMO2 (EMC Update) v0.29.2_NRA_model_for_NEMO2 (EMC Update) v0.29.3" xfId="1603"/>
    <cellStyle name="%_NRA_model_for_NEMO2 (EMC Update) v0.22_NRA_model_for_NEMO2 (EMC Update) v0.26_NRA_model_for_NEMO2 (EMC Update) v0.29.2_NRA_model_for_NEMO2 (EMC Update) v0.29.3_NRA_model_for_NEMO2 (EMC Update) v0 30 1" xfId="1604"/>
    <cellStyle name="%_NRA_model_for_NEMO2 (EMC Update) v0.22_NRA_model_for_NEMO2 (EMC Update) v0.26_NRA_model_for_NEMO2 (EMC Update) v0.29.2_NRA_model_for_NEMO2 (EMC Update) v0.29.3_NRA_model_for_NEMO2 (EMC Update) v0.29.5" xfId="1605"/>
    <cellStyle name="%_NRA_model_for_NEMO2 (EMC Update) v0.22_NRA_model_for_NEMO2 (EMC Update) v0.26_NRA_model_for_NEMO2 (EMC Update) v0.29.2_NRA_model_for_NEMO2 (EMC Update) v0.29.3_NRA_model_for_NEMO2 (EMC Update) v0.29.5_NRA_model_for_NEMO2 (EMC Update) v0 30 1" xfId="1606"/>
    <cellStyle name="%_NRA_model_for_NEMO2 (EMC Update) v0.22_NRA_model_for_NEMO2 (EMC Update) v0.26_NRA_model_for_NEMO2 (EMC Update) v0.29.2_NRA_model_for_NEMO2 (EMC Update) v0.29.4" xfId="1607"/>
    <cellStyle name="%_NRA_model_for_NEMO2 (EMC Update) v0.22_NRA_model_for_NEMO2 (EMC Update) v0.26_NRA_model_for_NEMO2 (EMC Update) v0.29.2_NRA_model_for_NEMO2 (EMC Update) v0.29.4_NRA_model_for_NEMO2 (EMC Update) v0 30 1" xfId="1608"/>
    <cellStyle name="%_NRA_model_for_NEMO2 (EMC Update) v0.22_NRA_model_for_NEMO2 (EMC Update) v0.26_NRA_model_for_NEMO2 (EMC Update) v0.29.2_NRA_model_for_NEMO2 (EMC Update) v0.29.4_NRA_model_for_NEMO2 (EMC Update) v0.29.5" xfId="1609"/>
    <cellStyle name="%_NRA_model_for_NEMO2 (EMC Update) v0.22_NRA_model_for_NEMO2 (EMC Update) v0.26_NRA_model_for_NEMO2 (EMC Update) v0.29.2_NRA_model_for_NEMO2 (EMC Update) v0.29.4_NRA_model_for_NEMO2 (EMC Update) v0.29.5_NRA_model_for_NEMO2 (EMC Update) v0 30 1" xfId="1610"/>
    <cellStyle name="%_NRA_model_for_NEMO2 (EMC Update) v0.22_NRA_model_for_NEMO2 (EMC Update) v0.26_NRA_model_for_NEMO2 (EMC Update) v0.29.2_NRA_model_for_NEMO2 (EMC Update) v0.29.5" xfId="1611"/>
    <cellStyle name="%_NRA_model_for_NEMO2 (EMC Update) v0.22_NRA_model_for_NEMO2 (EMC Update) v0.26_NRA_model_for_NEMO2 (EMC Update) v0.29.2_NRA_model_for_NEMO2 (EMC Update) v0.29.5_NRA_model_for_NEMO2 (EMC Update) v0 30 1" xfId="1612"/>
    <cellStyle name="%_NRA_model_for_NEMO2 (EMC Update) v0.22_NRA_model_for_NEMO2 (EMC Update) v0.26_NRA_model_for_NEMO2 (EMC Update) v0.29.3" xfId="1613"/>
    <cellStyle name="%_NRA_model_for_NEMO2 (EMC Update) v0.22_NRA_model_for_NEMO2 (EMC Update) v0.26_NRA_model_for_NEMO2 (EMC Update) v0.29.3_NRA_model_for_NEMO2 (EMC Update) v0 30 1" xfId="1614"/>
    <cellStyle name="%_NRA_model_for_NEMO2 (EMC Update) v0.22_NRA_model_for_NEMO2 (EMC Update) v0.26_NRA_model_for_NEMO2 (EMC Update) v0.29.3_NRA_model_for_NEMO2 (EMC Update) v0.29.5" xfId="1615"/>
    <cellStyle name="%_NRA_model_for_NEMO2 (EMC Update) v0.22_NRA_model_for_NEMO2 (EMC Update) v0.26_NRA_model_for_NEMO2 (EMC Update) v0.29.3_NRA_model_for_NEMO2 (EMC Update) v0.29.5_NRA_model_for_NEMO2 (EMC Update) v0 30 1" xfId="1616"/>
    <cellStyle name="%_NRA_model_for_NEMO2 (EMC Update) v0.22_NRA_model_for_NEMO2 (EMC Update) v0.26_NRA_model_for_NEMO2 (EMC Update) v0.29.4" xfId="1617"/>
    <cellStyle name="%_NRA_model_for_NEMO2 (EMC Update) v0.22_NRA_model_for_NEMO2 (EMC Update) v0.26_NRA_model_for_NEMO2 (EMC Update) v0.29.4_NRA_model_for_NEMO2 (EMC Update) v0 30 1" xfId="1618"/>
    <cellStyle name="%_NRA_model_for_NEMO2 (EMC Update) v0.22_NRA_model_for_NEMO2 (EMC Update) v0.26_NRA_model_for_NEMO2 (EMC Update) v0.29.4_NRA_model_for_NEMO2 (EMC Update) v0.29.5" xfId="1619"/>
    <cellStyle name="%_NRA_model_for_NEMO2 (EMC Update) v0.22_NRA_model_for_NEMO2 (EMC Update) v0.26_NRA_model_for_NEMO2 (EMC Update) v0.29.4_NRA_model_for_NEMO2 (EMC Update) v0.29.5_NRA_model_for_NEMO2 (EMC Update) v0 30 1" xfId="1620"/>
    <cellStyle name="%_NRA_model_for_NEMO2 (EMC Update) v0.22_NRA_model_for_NEMO2 (EMC Update) v0.26_NRA_model_for_NEMO2 (EMC Update) v0.29.5" xfId="1621"/>
    <cellStyle name="%_NRA_model_for_NEMO2 (EMC Update) v0.22_NRA_model_for_NEMO2 (EMC Update) v0.26_NRA_model_for_NEMO2 (EMC Update) v0.29.5_NRA_model_for_NEMO2 (EMC Update) v0 30 1" xfId="1622"/>
    <cellStyle name="%_NRA_model_for_NEMO2 (EMC Update) v0.22_NRA_model_for_NEMO2 (EMC Update) v0.26_NRA_model_for_NEMO2 (EMC Update) v0.29_NRA_model_for_NEMO2 (EMC Update) v0 30 1" xfId="1623"/>
    <cellStyle name="%_NRA_model_for_NEMO2 (EMC Update) v0.22_NRA_model_for_NEMO2 (EMC Update) v0.26_NRA_model_for_NEMO2 (EMC Update) v0.29_NRA_model_for_NEMO2 (EMC Update) v0.29.2" xfId="1624"/>
    <cellStyle name="%_NRA_model_for_NEMO2 (EMC Update) v0.22_NRA_model_for_NEMO2 (EMC Update) v0.26_NRA_model_for_NEMO2 (EMC Update) v0.29_NRA_model_for_NEMO2 (EMC Update) v0.29.2_NRA_model_for_NEMO2 (EMC Update) v0 30 1" xfId="1625"/>
    <cellStyle name="%_NRA_model_for_NEMO2 (EMC Update) v0.22_NRA_model_for_NEMO2 (EMC Update) v0.26_NRA_model_for_NEMO2 (EMC Update) v0.29_NRA_model_for_NEMO2 (EMC Update) v0.29.2_NRA_model_for_NEMO2 (EMC Update) v0.29.3" xfId="1626"/>
    <cellStyle name="%_NRA_model_for_NEMO2 (EMC Update) v0.22_NRA_model_for_NEMO2 (EMC Update) v0.26_NRA_model_for_NEMO2 (EMC Update) v0.29_NRA_model_for_NEMO2 (EMC Update) v0.29.2_NRA_model_for_NEMO2 (EMC Update) v0.29.3_NRA_model_for_NEMO2 (EMC Update) v0 30 1" xfId="1627"/>
    <cellStyle name="%_NRA_model_for_NEMO2 (EMC Update) v0.22_NRA_model_for_NEMO2 (EMC Update) v0.26_NRA_model_for_NEMO2 (EMC Update) v0.29_NRA_model_for_NEMO2 (EMC Update) v0.29.2_NRA_model_for_NEMO2 (EMC Update) v0.29.3_NRA_model_for_NEMO2 (EMC Update) v0.29.5" xfId="1628"/>
    <cellStyle name="%_NRA_model_for_NEMO2 (EMC Update) v0.22_NRA_model_for_NEMO2 (EMC Update) v0.26_NRA_model_for_NEMO2 (EMC Update) v0.29_NRA_model_for_NEMO2 (EMC Update) v0.29.2_NRA_model_for_NEMO2 (EMC Update) v0.29.4" xfId="1629"/>
    <cellStyle name="%_NRA_model_for_NEMO2 (EMC Update) v0.22_NRA_model_for_NEMO2 (EMC Update) v0.26_NRA_model_for_NEMO2 (EMC Update) v0.29_NRA_model_for_NEMO2 (EMC Update) v0.29.2_NRA_model_for_NEMO2 (EMC Update) v0.29.4_NRA_model_for_NEMO2 (EMC Update) v0 30 1" xfId="1630"/>
    <cellStyle name="%_NRA_model_for_NEMO2 (EMC Update) v0.22_NRA_model_for_NEMO2 (EMC Update) v0.26_NRA_model_for_NEMO2 (EMC Update) v0.29_NRA_model_for_NEMO2 (EMC Update) v0.29.2_NRA_model_for_NEMO2 (EMC Update) v0.29.4_NRA_model_for_NEMO2 (EMC Update) v0.29.5" xfId="1631"/>
    <cellStyle name="%_NRA_model_for_NEMO2 (EMC Update) v0.22_NRA_model_for_NEMO2 (EMC Update) v0.26_NRA_model_for_NEMO2 (EMC Update) v0.29_NRA_model_for_NEMO2 (EMC Update) v0.29.2_NRA_model_for_NEMO2 (EMC Update) v0.29.5" xfId="1632"/>
    <cellStyle name="%_NRA_model_for_NEMO2 (EMC Update) v0.22_NRA_model_for_NEMO2 (EMC Update) v0.26_NRA_model_for_NEMO2 (EMC Update) v0.29_NRA_model_for_NEMO2 (EMC Update) v0.29.2_NRA_model_for_NEMO2 (EMC Update) v0.29.5_NRA_model_for_NEMO2 (EMC Update) v0 30 1" xfId="1633"/>
    <cellStyle name="%_NRA_model_for_NEMO2 (EMC Update) v0.22_NRA_model_for_NEMO2 (EMC Update) v0.26_NRA_model_for_NEMO2 (EMC Update) v0.29_NRA_model_for_NEMO2 (EMC Update) v0.29.3" xfId="1634"/>
    <cellStyle name="%_NRA_model_for_NEMO2 (EMC Update) v0.22_NRA_model_for_NEMO2 (EMC Update) v0.26_NRA_model_for_NEMO2 (EMC Update) v0.29_NRA_model_for_NEMO2 (EMC Update) v0.29.3_NRA_model_for_NEMO2 (EMC Update) v0 30 1" xfId="1635"/>
    <cellStyle name="%_NRA_model_for_NEMO2 (EMC Update) v0.22_NRA_model_for_NEMO2 (EMC Update) v0.26_NRA_model_for_NEMO2 (EMC Update) v0.29_NRA_model_for_NEMO2 (EMC Update) v0.29.3_NRA_model_for_NEMO2 (EMC Update) v0.29.5" xfId="1636"/>
    <cellStyle name="%_NRA_model_for_NEMO2 (EMC Update) v0.22_NRA_model_for_NEMO2 (EMC Update) v0.26_NRA_model_for_NEMO2 (EMC Update) v0.29_NRA_model_for_NEMO2 (EMC Update) v0.29.3_NRA_model_for_NEMO2 (EMC Update) v0.29.5_NRA_model_for_NEMO2 (EMC Update) v0 30 1" xfId="1637"/>
    <cellStyle name="%_NRA_model_for_NEMO2 (EMC Update) v0.22_NRA_model_for_NEMO2 (EMC Update) v0.26_NRA_model_for_NEMO2 (EMC Update) v0.29_NRA_model_for_NEMO2 (EMC Update) v0.29.4" xfId="1638"/>
    <cellStyle name="%_NRA_model_for_NEMO2 (EMC Update) v0.22_NRA_model_for_NEMO2 (EMC Update) v0.26_NRA_model_for_NEMO2 (EMC Update) v0.29_NRA_model_for_NEMO2 (EMC Update) v0.29.4_NRA_model_for_NEMO2 (EMC Update) v0 30 1" xfId="1639"/>
    <cellStyle name="%_NRA_model_for_NEMO2 (EMC Update) v0.22_NRA_model_for_NEMO2 (EMC Update) v0.26_NRA_model_for_NEMO2 (EMC Update) v0.29_NRA_model_for_NEMO2 (EMC Update) v0.29.4_NRA_model_for_NEMO2 (EMC Update) v0.29.5" xfId="1640"/>
    <cellStyle name="%_NRA_model_for_NEMO2 (EMC Update) v0.22_NRA_model_for_NEMO2 (EMC Update) v0.26_NRA_model_for_NEMO2 (EMC Update) v0.29_NRA_model_for_NEMO2 (EMC Update) v0.29.4_NRA_model_for_NEMO2 (EMC Update) v0.29.5_NRA_model_for_NEMO2 (EMC Update) v0 30 1" xfId="1641"/>
    <cellStyle name="%_NRA_model_for_NEMO2 (EMC Update) v0.22_NRA_model_for_NEMO2 (EMC Update) v0.26_NRA_model_for_NEMO2 (EMC Update) v0.29_NRA_model_for_NEMO2 (EMC Update) v0.29.5" xfId="1642"/>
    <cellStyle name="%_NRA_model_for_NEMO2 (EMC Update) v0.22_NRA_model_for_NEMO2 (EMC Update) v0.26_NRA_model_for_NEMO2 (EMC Update) v0.29_NRA_model_for_NEMO2 (EMC Update) v0.29.5_NRA_model_for_NEMO2 (EMC Update) v0 30 1" xfId="1643"/>
    <cellStyle name="%_NRA_model_for_NEMO2 (EMC Update) v0.22_NRA_model_for_NEMO2 (EMC Update) v0.29" xfId="1644"/>
    <cellStyle name="%_NRA_model_for_NEMO2 (EMC Update) v0.22_NRA_model_for_NEMO2 (EMC Update) v0.29.2" xfId="1645"/>
    <cellStyle name="%_NRA_model_for_NEMO2 (EMC Update) v0.22_NRA_model_for_NEMO2 (EMC Update) v0.29.2_NRA_model_for_NEMO2 (EMC Update) v0 30 1" xfId="1646"/>
    <cellStyle name="%_NRA_model_for_NEMO2 (EMC Update) v0.22_NRA_model_for_NEMO2 (EMC Update) v0.29.2_NRA_model_for_NEMO2 (EMC Update) v0.29.3" xfId="1647"/>
    <cellStyle name="%_NRA_model_for_NEMO2 (EMC Update) v0.22_NRA_model_for_NEMO2 (EMC Update) v0.29.2_NRA_model_for_NEMO2 (EMC Update) v0.29.3_NRA_model_for_NEMO2 (EMC Update) v0 30 1" xfId="1648"/>
    <cellStyle name="%_NRA_model_for_NEMO2 (EMC Update) v0.22_NRA_model_for_NEMO2 (EMC Update) v0.29.2_NRA_model_for_NEMO2 (EMC Update) v0.29.3_NRA_model_for_NEMO2 (EMC Update) v0.29.5" xfId="1649"/>
    <cellStyle name="%_NRA_model_for_NEMO2 (EMC Update) v0.22_NRA_model_for_NEMO2 (EMC Update) v0.29.2_NRA_model_for_NEMO2 (EMC Update) v0.29.3_NRA_model_for_NEMO2 (EMC Update) v0.29.5_NRA_model_for_NEMO2 (EMC Update) v0 30 1" xfId="1650"/>
    <cellStyle name="%_NRA_model_for_NEMO2 (EMC Update) v0.22_NRA_model_for_NEMO2 (EMC Update) v0.29.2_NRA_model_for_NEMO2 (EMC Update) v0.29.4" xfId="1651"/>
    <cellStyle name="%_NRA_model_for_NEMO2 (EMC Update) v0.22_NRA_model_for_NEMO2 (EMC Update) v0.29.2_NRA_model_for_NEMO2 (EMC Update) v0.29.4_NRA_model_for_NEMO2 (EMC Update) v0 30 1" xfId="1652"/>
    <cellStyle name="%_NRA_model_for_NEMO2 (EMC Update) v0.22_NRA_model_for_NEMO2 (EMC Update) v0.29.2_NRA_model_for_NEMO2 (EMC Update) v0.29.4_NRA_model_for_NEMO2 (EMC Update) v0.29.5" xfId="1653"/>
    <cellStyle name="%_NRA_model_for_NEMO2 (EMC Update) v0.22_NRA_model_for_NEMO2 (EMC Update) v0.29.2_NRA_model_for_NEMO2 (EMC Update) v0.29.4_NRA_model_for_NEMO2 (EMC Update) v0.29.5_NRA_model_for_NEMO2 (EMC Update) v0 30 1" xfId="1654"/>
    <cellStyle name="%_NRA_model_for_NEMO2 (EMC Update) v0.22_NRA_model_for_NEMO2 (EMC Update) v0.29.2_NRA_model_for_NEMO2 (EMC Update) v0.29.5" xfId="1655"/>
    <cellStyle name="%_NRA_model_for_NEMO2 (EMC Update) v0.22_NRA_model_for_NEMO2 (EMC Update) v0.29.2_NRA_model_for_NEMO2 (EMC Update) v0.29.5_NRA_model_for_NEMO2 (EMC Update) v0 30 1" xfId="1656"/>
    <cellStyle name="%_NRA_model_for_NEMO2 (EMC Update) v0.22_NRA_model_for_NEMO2 (EMC Update) v0.29.3" xfId="1657"/>
    <cellStyle name="%_NRA_model_for_NEMO2 (EMC Update) v0.22_NRA_model_for_NEMO2 (EMC Update) v0.29.3_NRA_model_for_NEMO2 (EMC Update) v0 30 1" xfId="1658"/>
    <cellStyle name="%_NRA_model_for_NEMO2 (EMC Update) v0.22_NRA_model_for_NEMO2 (EMC Update) v0.29.3_NRA_model_for_NEMO2 (EMC Update) v0.29.5" xfId="1659"/>
    <cellStyle name="%_NRA_model_for_NEMO2 (EMC Update) v0.22_NRA_model_for_NEMO2 (EMC Update) v0.29.3_NRA_model_for_NEMO2 (EMC Update) v0.29.5_NRA_model_for_NEMO2 (EMC Update) v0 30 1" xfId="1660"/>
    <cellStyle name="%_NRA_model_for_NEMO2 (EMC Update) v0.22_NRA_model_for_NEMO2 (EMC Update) v0.29.4" xfId="1661"/>
    <cellStyle name="%_NRA_model_for_NEMO2 (EMC Update) v0.22_NRA_model_for_NEMO2 (EMC Update) v0.29.4_NRA_model_for_NEMO2 (EMC Update) v0 30 1" xfId="1662"/>
    <cellStyle name="%_NRA_model_for_NEMO2 (EMC Update) v0.22_NRA_model_for_NEMO2 (EMC Update) v0.29.4_NRA_model_for_NEMO2 (EMC Update) v0.29.5" xfId="1663"/>
    <cellStyle name="%_NRA_model_for_NEMO2 (EMC Update) v0.22_NRA_model_for_NEMO2 (EMC Update) v0.29.4_NRA_model_for_NEMO2 (EMC Update) v0.29.5_NRA_model_for_NEMO2 (EMC Update) v0 30 1" xfId="1664"/>
    <cellStyle name="%_NRA_model_for_NEMO2 (EMC Update) v0.22_NRA_model_for_NEMO2 (EMC Update) v0.29.5" xfId="1665"/>
    <cellStyle name="%_NRA_model_for_NEMO2 (EMC Update) v0.22_NRA_model_for_NEMO2 (EMC Update) v0.29.5_NRA_model_for_NEMO2 (EMC Update) v0 30 1" xfId="1666"/>
    <cellStyle name="%_NRA_model_for_NEMO2 (EMC Update) v0.22_NRA_model_for_NEMO2 (EMC Update) v0.29_NRA_model_for_NEMO2 (EMC Update) v0 30 1" xfId="1667"/>
    <cellStyle name="%_NRA_model_for_NEMO2 (EMC Update) v0.22_NRA_model_for_NEMO2 (EMC Update) v0.29_NRA_model_for_NEMO2 (EMC Update) v0.29.2" xfId="1668"/>
    <cellStyle name="%_NRA_model_for_NEMO2 (EMC Update) v0.22_NRA_model_for_NEMO2 (EMC Update) v0.29_NRA_model_for_NEMO2 (EMC Update) v0.29.2_NRA_model_for_NEMO2 (EMC Update) v0 30 1" xfId="1669"/>
    <cellStyle name="%_NRA_model_for_NEMO2 (EMC Update) v0.22_NRA_model_for_NEMO2 (EMC Update) v0.29_NRA_model_for_NEMO2 (EMC Update) v0.29.2_NRA_model_for_NEMO2 (EMC Update) v0.29.3" xfId="1670"/>
    <cellStyle name="%_NRA_model_for_NEMO2 (EMC Update) v0.22_NRA_model_for_NEMO2 (EMC Update) v0.29_NRA_model_for_NEMO2 (EMC Update) v0.29.2_NRA_model_for_NEMO2 (EMC Update) v0.29.3_NRA_model_for_NEMO2 (EMC Update) v0 30 1" xfId="1671"/>
    <cellStyle name="%_NRA_model_for_NEMO2 (EMC Update) v0.22_NRA_model_for_NEMO2 (EMC Update) v0.29_NRA_model_for_NEMO2 (EMC Update) v0.29.2_NRA_model_for_NEMO2 (EMC Update) v0.29.3_NRA_model_for_NEMO2 (EMC Update) v0.29.5" xfId="1672"/>
    <cellStyle name="%_NRA_model_for_NEMO2 (EMC Update) v0.22_NRA_model_for_NEMO2 (EMC Update) v0.29_NRA_model_for_NEMO2 (EMC Update) v0.29.2_NRA_model_for_NEMO2 (EMC Update) v0.29.3_NRA_model_for_NEMO2 (EMC Update) v0.29.5_NRA_model_for_NEMO2 (EMC Update) v0 30 1" xfId="1673"/>
    <cellStyle name="%_NRA_model_for_NEMO2 (EMC Update) v0.22_NRA_model_for_NEMO2 (EMC Update) v0.29_NRA_model_for_NEMO2 (EMC Update) v0.29.2_NRA_model_for_NEMO2 (EMC Update) v0.29.4" xfId="1674"/>
    <cellStyle name="%_NRA_model_for_NEMO2 (EMC Update) v0.22_NRA_model_for_NEMO2 (EMC Update) v0.29_NRA_model_for_NEMO2 (EMC Update) v0.29.2_NRA_model_for_NEMO2 (EMC Update) v0.29.4_NRA_model_for_NEMO2 (EMC Update) v0 30 1" xfId="1675"/>
    <cellStyle name="%_NRA_model_for_NEMO2 (EMC Update) v0.22_NRA_model_for_NEMO2 (EMC Update) v0.29_NRA_model_for_NEMO2 (EMC Update) v0.29.2_NRA_model_for_NEMO2 (EMC Update) v0.29.4_NRA_model_for_NEMO2 (EMC Update) v0.29.5" xfId="1676"/>
    <cellStyle name="%_NRA_model_for_NEMO2 (EMC Update) v0.22_NRA_model_for_NEMO2 (EMC Update) v0.29_NRA_model_for_NEMO2 (EMC Update) v0.29.2_NRA_model_for_NEMO2 (EMC Update) v0.29.4_NRA_model_for_NEMO2 (EMC Update) v0.29.5_NRA_model_for_NEMO2 (EMC Update) v0 30 1" xfId="1677"/>
    <cellStyle name="%_NRA_model_for_NEMO2 (EMC Update) v0.22_NRA_model_for_NEMO2 (EMC Update) v0.29_NRA_model_for_NEMO2 (EMC Update) v0.29.2_NRA_model_for_NEMO2 (EMC Update) v0.29.5" xfId="1678"/>
    <cellStyle name="%_NRA_model_for_NEMO2 (EMC Update) v0.22_NRA_model_for_NEMO2 (EMC Update) v0.29_NRA_model_for_NEMO2 (EMC Update) v0.29.2_NRA_model_for_NEMO2 (EMC Update) v0.29.5_NRA_model_for_NEMO2 (EMC Update) v0 30 1" xfId="1679"/>
    <cellStyle name="%_NRA_model_for_NEMO2 (EMC Update) v0.22_NRA_model_for_NEMO2 (EMC Update) v0.29_NRA_model_for_NEMO2 (EMC Update) v0.29.3" xfId="1680"/>
    <cellStyle name="%_NRA_model_for_NEMO2 (EMC Update) v0.22_NRA_model_for_NEMO2 (EMC Update) v0.29_NRA_model_for_NEMO2 (EMC Update) v0.29.3_NRA_model_for_NEMO2 (EMC Update) v0 30 1" xfId="1681"/>
    <cellStyle name="%_NRA_model_for_NEMO2 (EMC Update) v0.22_NRA_model_for_NEMO2 (EMC Update) v0.29_NRA_model_for_NEMO2 (EMC Update) v0.29.3_NRA_model_for_NEMO2 (EMC Update) v0.29.5" xfId="1682"/>
    <cellStyle name="%_NRA_model_for_NEMO2 (EMC Update) v0.22_NRA_model_for_NEMO2 (EMC Update) v0.29_NRA_model_for_NEMO2 (EMC Update) v0.29.3_NRA_model_for_NEMO2 (EMC Update) v0.29.5_NRA_model_for_NEMO2 (EMC Update) v0 30 1" xfId="1683"/>
    <cellStyle name="%_NRA_model_for_NEMO2 (EMC Update) v0.22_NRA_model_for_NEMO2 (EMC Update) v0.29_NRA_model_for_NEMO2 (EMC Update) v0.29.4" xfId="1684"/>
    <cellStyle name="%_NRA_model_for_NEMO2 (EMC Update) v0.22_NRA_model_for_NEMO2 (EMC Update) v0.29_NRA_model_for_NEMO2 (EMC Update) v0.29.4_NRA_model_for_NEMO2 (EMC Update) v0 30 1" xfId="1685"/>
    <cellStyle name="%_NRA_model_for_NEMO2 (EMC Update) v0.22_NRA_model_for_NEMO2 (EMC Update) v0.29_NRA_model_for_NEMO2 (EMC Update) v0.29.4_NRA_model_for_NEMO2 (EMC Update) v0.29.5" xfId="1686"/>
    <cellStyle name="%_NRA_model_for_NEMO2 (EMC Update) v0.22_NRA_model_for_NEMO2 (EMC Update) v0.29_NRA_model_for_NEMO2 (EMC Update) v0.29.4_NRA_model_for_NEMO2 (EMC Update) v0.29.5_NRA_model_for_NEMO2 (EMC Update) v0 30 1" xfId="1687"/>
    <cellStyle name="%_NRA_model_for_NEMO2 (EMC Update) v0.22_NRA_model_for_NEMO2 (EMC Update) v0.29_NRA_model_for_NEMO2 (EMC Update) v0.29.5" xfId="1688"/>
    <cellStyle name="%_NRA_model_for_NEMO2 (EMC Update) v0.22_NRA_model_for_NEMO2 (EMC Update) v0.29_NRA_model_for_NEMO2 (EMC Update) v0.29.5_NRA_model_for_NEMO2 (EMC Update) v0 30 1" xfId="1689"/>
    <cellStyle name="%_NRA_model_for_NEMO2 (EMC Update) v0.25" xfId="1690"/>
    <cellStyle name="%_NRA_model_for_NEMO2 (EMC Update) v0.25_NRA_model_for_NEMO2 (EMC Update) v0 30 1" xfId="1691"/>
    <cellStyle name="%_NRA_model_for_NEMO2 (EMC Update) v0.25_NRA_model_for_NEMO2 (EMC Update) v0.26" xfId="1692"/>
    <cellStyle name="%_NRA_model_for_NEMO2 (EMC Update) v0.25_NRA_model_for_NEMO2 (EMC Update) v0.26_NRA_model_for_NEMO2 (EMC Update) v0 30 1" xfId="1693"/>
    <cellStyle name="%_NRA_model_for_NEMO2 (EMC Update) v0.25_NRA_model_for_NEMO2 (EMC Update) v0.26_NRA_model_for_NEMO2 (EMC Update) v0.29" xfId="1694"/>
    <cellStyle name="%_NRA_model_for_NEMO2 (EMC Update) v0.25_NRA_model_for_NEMO2 (EMC Update) v0.26_NRA_model_for_NEMO2 (EMC Update) v0.29.2" xfId="1695"/>
    <cellStyle name="%_NRA_model_for_NEMO2 (EMC Update) v0.25_NRA_model_for_NEMO2 (EMC Update) v0.26_NRA_model_for_NEMO2 (EMC Update) v0.29.2_NRA_model_for_NEMO2 (EMC Update) v0 30 1" xfId="1696"/>
    <cellStyle name="%_NRA_model_for_NEMO2 (EMC Update) v0.25_NRA_model_for_NEMO2 (EMC Update) v0.26_NRA_model_for_NEMO2 (EMC Update) v0.29.2_NRA_model_for_NEMO2 (EMC Update) v0.29.3" xfId="1697"/>
    <cellStyle name="%_NRA_model_for_NEMO2 (EMC Update) v0.25_NRA_model_for_NEMO2 (EMC Update) v0.26_NRA_model_for_NEMO2 (EMC Update) v0.29.2_NRA_model_for_NEMO2 (EMC Update) v0.29.3_NRA_model_for_NEMO2 (EMC Update) v0 30 1" xfId="1698"/>
    <cellStyle name="%_NRA_model_for_NEMO2 (EMC Update) v0.25_NRA_model_for_NEMO2 (EMC Update) v0.26_NRA_model_for_NEMO2 (EMC Update) v0.29.2_NRA_model_for_NEMO2 (EMC Update) v0.29.3_NRA_model_for_NEMO2 (EMC Update) v0.29.5" xfId="1699"/>
    <cellStyle name="%_NRA_model_for_NEMO2 (EMC Update) v0.25_NRA_model_for_NEMO2 (EMC Update) v0.26_NRA_model_for_NEMO2 (EMC Update) v0.29.2_NRA_model_for_NEMO2 (EMC Update) v0.29.3_NRA_model_for_NEMO2 (EMC Update) v0.29.5_NRA_model_for_NEMO2 (EMC Update) v0 30 1" xfId="1700"/>
    <cellStyle name="%_NRA_model_for_NEMO2 (EMC Update) v0.25_NRA_model_for_NEMO2 (EMC Update) v0.26_NRA_model_for_NEMO2 (EMC Update) v0.29.2_NRA_model_for_NEMO2 (EMC Update) v0.29.4" xfId="1701"/>
    <cellStyle name="%_NRA_model_for_NEMO2 (EMC Update) v0.25_NRA_model_for_NEMO2 (EMC Update) v0.26_NRA_model_for_NEMO2 (EMC Update) v0.29.2_NRA_model_for_NEMO2 (EMC Update) v0.29.4_NRA_model_for_NEMO2 (EMC Update) v0 30 1" xfId="1702"/>
    <cellStyle name="%_NRA_model_for_NEMO2 (EMC Update) v0.25_NRA_model_for_NEMO2 (EMC Update) v0.26_NRA_model_for_NEMO2 (EMC Update) v0.29.2_NRA_model_for_NEMO2 (EMC Update) v0.29.4_NRA_model_for_NEMO2 (EMC Update) v0.29.5" xfId="1703"/>
    <cellStyle name="%_NRA_model_for_NEMO2 (EMC Update) v0.25_NRA_model_for_NEMO2 (EMC Update) v0.26_NRA_model_for_NEMO2 (EMC Update) v0.29.2_NRA_model_for_NEMO2 (EMC Update) v0.29.4_NRA_model_for_NEMO2 (EMC Update) v0.29.5_NRA_model_for_NEMO2 (EMC Update) v0 30 1" xfId="1704"/>
    <cellStyle name="%_NRA_model_for_NEMO2 (EMC Update) v0.25_NRA_model_for_NEMO2 (EMC Update) v0.26_NRA_model_for_NEMO2 (EMC Update) v0.29.2_NRA_model_for_NEMO2 (EMC Update) v0.29.5" xfId="1705"/>
    <cellStyle name="%_NRA_model_for_NEMO2 (EMC Update) v0.25_NRA_model_for_NEMO2 (EMC Update) v0.26_NRA_model_for_NEMO2 (EMC Update) v0.29.2_NRA_model_for_NEMO2 (EMC Update) v0.29.5_NRA_model_for_NEMO2 (EMC Update) v0 30 1" xfId="1706"/>
    <cellStyle name="%_NRA_model_for_NEMO2 (EMC Update) v0.25_NRA_model_for_NEMO2 (EMC Update) v0.26_NRA_model_for_NEMO2 (EMC Update) v0.29.3" xfId="1707"/>
    <cellStyle name="%_NRA_model_for_NEMO2 (EMC Update) v0.25_NRA_model_for_NEMO2 (EMC Update) v0.26_NRA_model_for_NEMO2 (EMC Update) v0.29.3_NRA_model_for_NEMO2 (EMC Update) v0 30 1" xfId="1708"/>
    <cellStyle name="%_NRA_model_for_NEMO2 (EMC Update) v0.25_NRA_model_for_NEMO2 (EMC Update) v0.26_NRA_model_for_NEMO2 (EMC Update) v0.29.3_NRA_model_for_NEMO2 (EMC Update) v0.29.5" xfId="1709"/>
    <cellStyle name="%_NRA_model_for_NEMO2 (EMC Update) v0.25_NRA_model_for_NEMO2 (EMC Update) v0.26_NRA_model_for_NEMO2 (EMC Update) v0.29.3_NRA_model_for_NEMO2 (EMC Update) v0.29.5_NRA_model_for_NEMO2 (EMC Update) v0 30 1" xfId="1710"/>
    <cellStyle name="%_NRA_model_for_NEMO2 (EMC Update) v0.25_NRA_model_for_NEMO2 (EMC Update) v0.26_NRA_model_for_NEMO2 (EMC Update) v0.29.4" xfId="1711"/>
    <cellStyle name="%_NRA_model_for_NEMO2 (EMC Update) v0.25_NRA_model_for_NEMO2 (EMC Update) v0.26_NRA_model_for_NEMO2 (EMC Update) v0.29.4_NRA_model_for_NEMO2 (EMC Update) v0 30 1" xfId="1712"/>
    <cellStyle name="%_NRA_model_for_NEMO2 (EMC Update) v0.25_NRA_model_for_NEMO2 (EMC Update) v0.26_NRA_model_for_NEMO2 (EMC Update) v0.29.4_NRA_model_for_NEMO2 (EMC Update) v0.29.5" xfId="1713"/>
    <cellStyle name="%_NRA_model_for_NEMO2 (EMC Update) v0.25_NRA_model_for_NEMO2 (EMC Update) v0.26_NRA_model_for_NEMO2 (EMC Update) v0.29.4_NRA_model_for_NEMO2 (EMC Update) v0.29.5_NRA_model_for_NEMO2 (EMC Update) v0 30 1" xfId="1714"/>
    <cellStyle name="%_NRA_model_for_NEMO2 (EMC Update) v0.25_NRA_model_for_NEMO2 (EMC Update) v0.26_NRA_model_for_NEMO2 (EMC Update) v0.29.5" xfId="1715"/>
    <cellStyle name="%_NRA_model_for_NEMO2 (EMC Update) v0.25_NRA_model_for_NEMO2 (EMC Update) v0.26_NRA_model_for_NEMO2 (EMC Update) v0.29.5_NRA_model_for_NEMO2 (EMC Update) v0 30 1" xfId="1716"/>
    <cellStyle name="%_NRA_model_for_NEMO2 (EMC Update) v0.25_NRA_model_for_NEMO2 (EMC Update) v0.26_NRA_model_for_NEMO2 (EMC Update) v0.29_NRA_model_for_NEMO2 (EMC Update) v0 30 1" xfId="1717"/>
    <cellStyle name="%_NRA_model_for_NEMO2 (EMC Update) v0.25_NRA_model_for_NEMO2 (EMC Update) v0.26_NRA_model_for_NEMO2 (EMC Update) v0.29_NRA_model_for_NEMO2 (EMC Update) v0.29.2" xfId="1718"/>
    <cellStyle name="%_NRA_model_for_NEMO2 (EMC Update) v0.25_NRA_model_for_NEMO2 (EMC Update) v0.26_NRA_model_for_NEMO2 (EMC Update) v0.29_NRA_model_for_NEMO2 (EMC Update) v0.29.2_NRA_model_for_NEMO2 (EMC Update) v0 30 1" xfId="1719"/>
    <cellStyle name="%_NRA_model_for_NEMO2 (EMC Update) v0.25_NRA_model_for_NEMO2 (EMC Update) v0.26_NRA_model_for_NEMO2 (EMC Update) v0.29_NRA_model_for_NEMO2 (EMC Update) v0.29.2_NRA_model_for_NEMO2 (EMC Update) v0.29.3" xfId="1720"/>
    <cellStyle name="%_NRA_model_for_NEMO2 (EMC Update) v0.25_NRA_model_for_NEMO2 (EMC Update) v0.26_NRA_model_for_NEMO2 (EMC Update) v0.29_NRA_model_for_NEMO2 (EMC Update) v0.29.2_NRA_model_for_NEMO2 (EMC Update) v0.29.3_NRA_model_for_NEMO2 (EMC Update) v0 30 1" xfId="1721"/>
    <cellStyle name="%_NRA_model_for_NEMO2 (EMC Update) v0.25_NRA_model_for_NEMO2 (EMC Update) v0.26_NRA_model_for_NEMO2 (EMC Update) v0.29_NRA_model_for_NEMO2 (EMC Update) v0.29.2_NRA_model_for_NEMO2 (EMC Update) v0.29.3_NRA_model_for_NEMO2 (EMC Update) v0.29.5" xfId="1722"/>
    <cellStyle name="%_NRA_model_for_NEMO2 (EMC Update) v0.25_NRA_model_for_NEMO2 (EMC Update) v0.26_NRA_model_for_NEMO2 (EMC Update) v0.29_NRA_model_for_NEMO2 (EMC Update) v0.29.2_NRA_model_for_NEMO2 (EMC Update) v0.29.4" xfId="1723"/>
    <cellStyle name="%_NRA_model_for_NEMO2 (EMC Update) v0.25_NRA_model_for_NEMO2 (EMC Update) v0.26_NRA_model_for_NEMO2 (EMC Update) v0.29_NRA_model_for_NEMO2 (EMC Update) v0.29.2_NRA_model_for_NEMO2 (EMC Update) v0.29.4_NRA_model_for_NEMO2 (EMC Update) v0 30 1" xfId="1724"/>
    <cellStyle name="%_NRA_model_for_NEMO2 (EMC Update) v0.25_NRA_model_for_NEMO2 (EMC Update) v0.26_NRA_model_for_NEMO2 (EMC Update) v0.29_NRA_model_for_NEMO2 (EMC Update) v0.29.2_NRA_model_for_NEMO2 (EMC Update) v0.29.4_NRA_model_for_NEMO2 (EMC Update) v0.29.5" xfId="1725"/>
    <cellStyle name="%_NRA_model_for_NEMO2 (EMC Update) v0.25_NRA_model_for_NEMO2 (EMC Update) v0.26_NRA_model_for_NEMO2 (EMC Update) v0.29_NRA_model_for_NEMO2 (EMC Update) v0.29.2_NRA_model_for_NEMO2 (EMC Update) v0.29.5" xfId="1726"/>
    <cellStyle name="%_NRA_model_for_NEMO2 (EMC Update) v0.25_NRA_model_for_NEMO2 (EMC Update) v0.26_NRA_model_for_NEMO2 (EMC Update) v0.29_NRA_model_for_NEMO2 (EMC Update) v0.29.2_NRA_model_for_NEMO2 (EMC Update) v0.29.5_NRA_model_for_NEMO2 (EMC Update) v0 30 1" xfId="1727"/>
    <cellStyle name="%_NRA_model_for_NEMO2 (EMC Update) v0.25_NRA_model_for_NEMO2 (EMC Update) v0.26_NRA_model_for_NEMO2 (EMC Update) v0.29_NRA_model_for_NEMO2 (EMC Update) v0.29.3" xfId="1728"/>
    <cellStyle name="%_NRA_model_for_NEMO2 (EMC Update) v0.25_NRA_model_for_NEMO2 (EMC Update) v0.26_NRA_model_for_NEMO2 (EMC Update) v0.29_NRA_model_for_NEMO2 (EMC Update) v0.29.3_NRA_model_for_NEMO2 (EMC Update) v0 30 1" xfId="1729"/>
    <cellStyle name="%_NRA_model_for_NEMO2 (EMC Update) v0.25_NRA_model_for_NEMO2 (EMC Update) v0.26_NRA_model_for_NEMO2 (EMC Update) v0.29_NRA_model_for_NEMO2 (EMC Update) v0.29.3_NRA_model_for_NEMO2 (EMC Update) v0.29.5" xfId="1730"/>
    <cellStyle name="%_NRA_model_for_NEMO2 (EMC Update) v0.25_NRA_model_for_NEMO2 (EMC Update) v0.26_NRA_model_for_NEMO2 (EMC Update) v0.29_NRA_model_for_NEMO2 (EMC Update) v0.29.3_NRA_model_for_NEMO2 (EMC Update) v0.29.5_NRA_model_for_NEMO2 (EMC Update) v0 30 1" xfId="1731"/>
    <cellStyle name="%_NRA_model_for_NEMO2 (EMC Update) v0.25_NRA_model_for_NEMO2 (EMC Update) v0.26_NRA_model_for_NEMO2 (EMC Update) v0.29_NRA_model_for_NEMO2 (EMC Update) v0.29.4" xfId="1732"/>
    <cellStyle name="%_NRA_model_for_NEMO2 (EMC Update) v0.25_NRA_model_for_NEMO2 (EMC Update) v0.26_NRA_model_for_NEMO2 (EMC Update) v0.29_NRA_model_for_NEMO2 (EMC Update) v0.29.4_NRA_model_for_NEMO2 (EMC Update) v0 30 1" xfId="1733"/>
    <cellStyle name="%_NRA_model_for_NEMO2 (EMC Update) v0.25_NRA_model_for_NEMO2 (EMC Update) v0.26_NRA_model_for_NEMO2 (EMC Update) v0.29_NRA_model_for_NEMO2 (EMC Update) v0.29.4_NRA_model_for_NEMO2 (EMC Update) v0.29.5" xfId="1734"/>
    <cellStyle name="%_NRA_model_for_NEMO2 (EMC Update) v0.25_NRA_model_for_NEMO2 (EMC Update) v0.26_NRA_model_for_NEMO2 (EMC Update) v0.29_NRA_model_for_NEMO2 (EMC Update) v0.29.4_NRA_model_for_NEMO2 (EMC Update) v0.29.5_NRA_model_for_NEMO2 (EMC Update) v0 30 1" xfId="1735"/>
    <cellStyle name="%_NRA_model_for_NEMO2 (EMC Update) v0.25_NRA_model_for_NEMO2 (EMC Update) v0.26_NRA_model_for_NEMO2 (EMC Update) v0.29_NRA_model_for_NEMO2 (EMC Update) v0.29.5" xfId="1736"/>
    <cellStyle name="%_NRA_model_for_NEMO2 (EMC Update) v0.25_NRA_model_for_NEMO2 (EMC Update) v0.26_NRA_model_for_NEMO2 (EMC Update) v0.29_NRA_model_for_NEMO2 (EMC Update) v0.29.5_NRA_model_for_NEMO2 (EMC Update) v0 30 1" xfId="1737"/>
    <cellStyle name="%_NRA_model_for_NEMO2 (EMC Update) v0.25_NRA_model_for_NEMO2 (EMC Update) v0.29" xfId="1738"/>
    <cellStyle name="%_NRA_model_for_NEMO2 (EMC Update) v0.25_NRA_model_for_NEMO2 (EMC Update) v0.29.2" xfId="1739"/>
    <cellStyle name="%_NRA_model_for_NEMO2 (EMC Update) v0.25_NRA_model_for_NEMO2 (EMC Update) v0.29.2_NRA_model_for_NEMO2 (EMC Update) v0 30 1" xfId="1740"/>
    <cellStyle name="%_NRA_model_for_NEMO2 (EMC Update) v0.25_NRA_model_for_NEMO2 (EMC Update) v0.29.2_NRA_model_for_NEMO2 (EMC Update) v0.29.3" xfId="1741"/>
    <cellStyle name="%_NRA_model_for_NEMO2 (EMC Update) v0.25_NRA_model_for_NEMO2 (EMC Update) v0.29.2_NRA_model_for_NEMO2 (EMC Update) v0.29.3_NRA_model_for_NEMO2 (EMC Update) v0 30 1" xfId="1742"/>
    <cellStyle name="%_NRA_model_for_NEMO2 (EMC Update) v0.25_NRA_model_for_NEMO2 (EMC Update) v0.29.2_NRA_model_for_NEMO2 (EMC Update) v0.29.3_NRA_model_for_NEMO2 (EMC Update) v0.29.5" xfId="1743"/>
    <cellStyle name="%_NRA_model_for_NEMO2 (EMC Update) v0.25_NRA_model_for_NEMO2 (EMC Update) v0.29.2_NRA_model_for_NEMO2 (EMC Update) v0.29.3_NRA_model_for_NEMO2 (EMC Update) v0.29.5_NRA_model_for_NEMO2 (EMC Update) v0 30 1" xfId="1744"/>
    <cellStyle name="%_NRA_model_for_NEMO2 (EMC Update) v0.25_NRA_model_for_NEMO2 (EMC Update) v0.29.2_NRA_model_for_NEMO2 (EMC Update) v0.29.4" xfId="1745"/>
    <cellStyle name="%_NRA_model_for_NEMO2 (EMC Update) v0.25_NRA_model_for_NEMO2 (EMC Update) v0.29.2_NRA_model_for_NEMO2 (EMC Update) v0.29.4_NRA_model_for_NEMO2 (EMC Update) v0 30 1" xfId="1746"/>
    <cellStyle name="%_NRA_model_for_NEMO2 (EMC Update) v0.25_NRA_model_for_NEMO2 (EMC Update) v0.29.2_NRA_model_for_NEMO2 (EMC Update) v0.29.4_NRA_model_for_NEMO2 (EMC Update) v0.29.5" xfId="1747"/>
    <cellStyle name="%_NRA_model_for_NEMO2 (EMC Update) v0.25_NRA_model_for_NEMO2 (EMC Update) v0.29.2_NRA_model_for_NEMO2 (EMC Update) v0.29.4_NRA_model_for_NEMO2 (EMC Update) v0.29.5_NRA_model_for_NEMO2 (EMC Update) v0 30 1" xfId="1748"/>
    <cellStyle name="%_NRA_model_for_NEMO2 (EMC Update) v0.25_NRA_model_for_NEMO2 (EMC Update) v0.29.2_NRA_model_for_NEMO2 (EMC Update) v0.29.5" xfId="1749"/>
    <cellStyle name="%_NRA_model_for_NEMO2 (EMC Update) v0.25_NRA_model_for_NEMO2 (EMC Update) v0.29.2_NRA_model_for_NEMO2 (EMC Update) v0.29.5_NRA_model_for_NEMO2 (EMC Update) v0 30 1" xfId="1750"/>
    <cellStyle name="%_NRA_model_for_NEMO2 (EMC Update) v0.25_NRA_model_for_NEMO2 (EMC Update) v0.29.3" xfId="1751"/>
    <cellStyle name="%_NRA_model_for_NEMO2 (EMC Update) v0.25_NRA_model_for_NEMO2 (EMC Update) v0.29.3_NRA_model_for_NEMO2 (EMC Update) v0 30 1" xfId="1752"/>
    <cellStyle name="%_NRA_model_for_NEMO2 (EMC Update) v0.25_NRA_model_for_NEMO2 (EMC Update) v0.29.3_NRA_model_for_NEMO2 (EMC Update) v0.29.5" xfId="1753"/>
    <cellStyle name="%_NRA_model_for_NEMO2 (EMC Update) v0.25_NRA_model_for_NEMO2 (EMC Update) v0.29.3_NRA_model_for_NEMO2 (EMC Update) v0.29.5_NRA_model_for_NEMO2 (EMC Update) v0 30 1" xfId="1754"/>
    <cellStyle name="%_NRA_model_for_NEMO2 (EMC Update) v0.25_NRA_model_for_NEMO2 (EMC Update) v0.29.4" xfId="1755"/>
    <cellStyle name="%_NRA_model_for_NEMO2 (EMC Update) v0.25_NRA_model_for_NEMO2 (EMC Update) v0.29.4_NRA_model_for_NEMO2 (EMC Update) v0 30 1" xfId="1756"/>
    <cellStyle name="%_NRA_model_for_NEMO2 (EMC Update) v0.25_NRA_model_for_NEMO2 (EMC Update) v0.29.4_NRA_model_for_NEMO2 (EMC Update) v0.29.5" xfId="1757"/>
    <cellStyle name="%_NRA_model_for_NEMO2 (EMC Update) v0.25_NRA_model_for_NEMO2 (EMC Update) v0.29.4_NRA_model_for_NEMO2 (EMC Update) v0.29.5_NRA_model_for_NEMO2 (EMC Update) v0 30 1" xfId="1758"/>
    <cellStyle name="%_NRA_model_for_NEMO2 (EMC Update) v0.25_NRA_model_for_NEMO2 (EMC Update) v0.29.5" xfId="1759"/>
    <cellStyle name="%_NRA_model_for_NEMO2 (EMC Update) v0.25_NRA_model_for_NEMO2 (EMC Update) v0.29.5_NRA_model_for_NEMO2 (EMC Update) v0 30 1" xfId="1760"/>
    <cellStyle name="%_NRA_model_for_NEMO2 (EMC Update) v0.25_NRA_model_for_NEMO2 (EMC Update) v0.29_NRA_model_for_NEMO2 (EMC Update) v0 30 1" xfId="1761"/>
    <cellStyle name="%_NRA_model_for_NEMO2 (EMC Update) v0.25_NRA_model_for_NEMO2 (EMC Update) v0.29_NRA_model_for_NEMO2 (EMC Update) v0.29.2" xfId="1762"/>
    <cellStyle name="%_NRA_model_for_NEMO2 (EMC Update) v0.25_NRA_model_for_NEMO2 (EMC Update) v0.29_NRA_model_for_NEMO2 (EMC Update) v0.29.2_NRA_model_for_NEMO2 (EMC Update) v0 30 1" xfId="1763"/>
    <cellStyle name="%_NRA_model_for_NEMO2 (EMC Update) v0.25_NRA_model_for_NEMO2 (EMC Update) v0.29_NRA_model_for_NEMO2 (EMC Update) v0.29.2_NRA_model_for_NEMO2 (EMC Update) v0.29.3" xfId="1764"/>
    <cellStyle name="%_NRA_model_for_NEMO2 (EMC Update) v0.25_NRA_model_for_NEMO2 (EMC Update) v0.29_NRA_model_for_NEMO2 (EMC Update) v0.29.2_NRA_model_for_NEMO2 (EMC Update) v0.29.3_NRA_model_for_NEMO2 (EMC Update) v0 30 1" xfId="1765"/>
    <cellStyle name="%_NRA_model_for_NEMO2 (EMC Update) v0.25_NRA_model_for_NEMO2 (EMC Update) v0.29_NRA_model_for_NEMO2 (EMC Update) v0.29.2_NRA_model_for_NEMO2 (EMC Update) v0.29.3_NRA_model_for_NEMO2 (EMC Update) v0.29.5" xfId="1766"/>
    <cellStyle name="%_NRA_model_for_NEMO2 (EMC Update) v0.25_NRA_model_for_NEMO2 (EMC Update) v0.29_NRA_model_for_NEMO2 (EMC Update) v0.29.2_NRA_model_for_NEMO2 (EMC Update) v0.29.3_NRA_model_for_NEMO2 (EMC Update) v0.29.5_NRA_model_for_NEMO2 (EMC Update) v0 30 1" xfId="1767"/>
    <cellStyle name="%_NRA_model_for_NEMO2 (EMC Update) v0.25_NRA_model_for_NEMO2 (EMC Update) v0.29_NRA_model_for_NEMO2 (EMC Update) v0.29.2_NRA_model_for_NEMO2 (EMC Update) v0.29.4" xfId="1768"/>
    <cellStyle name="%_NRA_model_for_NEMO2 (EMC Update) v0.25_NRA_model_for_NEMO2 (EMC Update) v0.29_NRA_model_for_NEMO2 (EMC Update) v0.29.2_NRA_model_for_NEMO2 (EMC Update) v0.29.4_NRA_model_for_NEMO2 (EMC Update) v0 30 1" xfId="1769"/>
    <cellStyle name="%_NRA_model_for_NEMO2 (EMC Update) v0.25_NRA_model_for_NEMO2 (EMC Update) v0.29_NRA_model_for_NEMO2 (EMC Update) v0.29.2_NRA_model_for_NEMO2 (EMC Update) v0.29.4_NRA_model_for_NEMO2 (EMC Update) v0.29.5" xfId="1770"/>
    <cellStyle name="%_NRA_model_for_NEMO2 (EMC Update) v0.25_NRA_model_for_NEMO2 (EMC Update) v0.29_NRA_model_for_NEMO2 (EMC Update) v0.29.2_NRA_model_for_NEMO2 (EMC Update) v0.29.4_NRA_model_for_NEMO2 (EMC Update) v0.29.5_NRA_model_for_NEMO2 (EMC Update) v0 30 1" xfId="1771"/>
    <cellStyle name="%_NRA_model_for_NEMO2 (EMC Update) v0.25_NRA_model_for_NEMO2 (EMC Update) v0.29_NRA_model_for_NEMO2 (EMC Update) v0.29.2_NRA_model_for_NEMO2 (EMC Update) v0.29.5" xfId="1772"/>
    <cellStyle name="%_NRA_model_for_NEMO2 (EMC Update) v0.25_NRA_model_for_NEMO2 (EMC Update) v0.29_NRA_model_for_NEMO2 (EMC Update) v0.29.2_NRA_model_for_NEMO2 (EMC Update) v0.29.5_NRA_model_for_NEMO2 (EMC Update) v0 30 1" xfId="1773"/>
    <cellStyle name="%_NRA_model_for_NEMO2 (EMC Update) v0.25_NRA_model_for_NEMO2 (EMC Update) v0.29_NRA_model_for_NEMO2 (EMC Update) v0.29.3" xfId="1774"/>
    <cellStyle name="%_NRA_model_for_NEMO2 (EMC Update) v0.25_NRA_model_for_NEMO2 (EMC Update) v0.29_NRA_model_for_NEMO2 (EMC Update) v0.29.3_NRA_model_for_NEMO2 (EMC Update) v0 30 1" xfId="1775"/>
    <cellStyle name="%_NRA_model_for_NEMO2 (EMC Update) v0.25_NRA_model_for_NEMO2 (EMC Update) v0.29_NRA_model_for_NEMO2 (EMC Update) v0.29.3_NRA_model_for_NEMO2 (EMC Update) v0.29.5" xfId="1776"/>
    <cellStyle name="%_NRA_model_for_NEMO2 (EMC Update) v0.25_NRA_model_for_NEMO2 (EMC Update) v0.29_NRA_model_for_NEMO2 (EMC Update) v0.29.3_NRA_model_for_NEMO2 (EMC Update) v0.29.5_NRA_model_for_NEMO2 (EMC Update) v0 30 1" xfId="1777"/>
    <cellStyle name="%_NRA_model_for_NEMO2 (EMC Update) v0.25_NRA_model_for_NEMO2 (EMC Update) v0.29_NRA_model_for_NEMO2 (EMC Update) v0.29.4" xfId="1778"/>
    <cellStyle name="%_NRA_model_for_NEMO2 (EMC Update) v0.25_NRA_model_for_NEMO2 (EMC Update) v0.29_NRA_model_for_NEMO2 (EMC Update) v0.29.4_NRA_model_for_NEMO2 (EMC Update) v0 30 1" xfId="1779"/>
    <cellStyle name="%_NRA_model_for_NEMO2 (EMC Update) v0.25_NRA_model_for_NEMO2 (EMC Update) v0.29_NRA_model_for_NEMO2 (EMC Update) v0.29.4_NRA_model_for_NEMO2 (EMC Update) v0.29.5" xfId="1780"/>
    <cellStyle name="%_NRA_model_for_NEMO2 (EMC Update) v0.25_NRA_model_for_NEMO2 (EMC Update) v0.29_NRA_model_for_NEMO2 (EMC Update) v0.29.4_NRA_model_for_NEMO2 (EMC Update) v0.29.5_NRA_model_for_NEMO2 (EMC Update) v0 30 1" xfId="1781"/>
    <cellStyle name="%_NRA_model_for_NEMO2 (EMC Update) v0.25_NRA_model_for_NEMO2 (EMC Update) v0.29_NRA_model_for_NEMO2 (EMC Update) v0.29.5" xfId="1782"/>
    <cellStyle name="%_NRA_model_for_NEMO2 (EMC Update) v0.25_NRA_model_for_NEMO2 (EMC Update) v0.29_NRA_model_for_NEMO2 (EMC Update) v0.29.5_NRA_model_for_NEMO2 (EMC Update) v0 30 1" xfId="1783"/>
    <cellStyle name="%_NRA_model_for_NEMO2 (EMC Update) v0.26" xfId="1784"/>
    <cellStyle name="%_NRA_model_for_NEMO2 (EMC Update) v0.26_NRA_model_for_NEMO2 (EMC Update) v0 30 1" xfId="1785"/>
    <cellStyle name="%_NRA_model_for_NEMO2 (EMC Update) v0.26_NRA_model_for_NEMO2 (EMC Update) v0.29" xfId="1786"/>
    <cellStyle name="%_NRA_model_for_NEMO2 (EMC Update) v0.26_NRA_model_for_NEMO2 (EMC Update) v0.29.2" xfId="1787"/>
    <cellStyle name="%_NRA_model_for_NEMO2 (EMC Update) v0.26_NRA_model_for_NEMO2 (EMC Update) v0.29.2_NRA_model_for_NEMO2 (EMC Update) v0 30 1" xfId="1788"/>
    <cellStyle name="%_NRA_model_for_NEMO2 (EMC Update) v0.26_NRA_model_for_NEMO2 (EMC Update) v0.29.2_NRA_model_for_NEMO2 (EMC Update) v0.29.3" xfId="1789"/>
    <cellStyle name="%_NRA_model_for_NEMO2 (EMC Update) v0.26_NRA_model_for_NEMO2 (EMC Update) v0.29.2_NRA_model_for_NEMO2 (EMC Update) v0.29.3_NRA_model_for_NEMO2 (EMC Update) v0 30 1" xfId="1790"/>
    <cellStyle name="%_NRA_model_for_NEMO2 (EMC Update) v0.26_NRA_model_for_NEMO2 (EMC Update) v0.29.2_NRA_model_for_NEMO2 (EMC Update) v0.29.3_NRA_model_for_NEMO2 (EMC Update) v0.29.5" xfId="1791"/>
    <cellStyle name="%_NRA_model_for_NEMO2 (EMC Update) v0.26_NRA_model_for_NEMO2 (EMC Update) v0.29.2_NRA_model_for_NEMO2 (EMC Update) v0.29.3_NRA_model_for_NEMO2 (EMC Update) v0.29.5_NRA_model_for_NEMO2 (EMC Update) v0 30 1" xfId="1792"/>
    <cellStyle name="%_NRA_model_for_NEMO2 (EMC Update) v0.26_NRA_model_for_NEMO2 (EMC Update) v0.29.2_NRA_model_for_NEMO2 (EMC Update) v0.29.4" xfId="1793"/>
    <cellStyle name="%_NRA_model_for_NEMO2 (EMC Update) v0.26_NRA_model_for_NEMO2 (EMC Update) v0.29.2_NRA_model_for_NEMO2 (EMC Update) v0.29.4_NRA_model_for_NEMO2 (EMC Update) v0 30 1" xfId="1794"/>
    <cellStyle name="%_NRA_model_for_NEMO2 (EMC Update) v0.26_NRA_model_for_NEMO2 (EMC Update) v0.29.2_NRA_model_for_NEMO2 (EMC Update) v0.29.4_NRA_model_for_NEMO2 (EMC Update) v0.29.5" xfId="1795"/>
    <cellStyle name="%_NRA_model_for_NEMO2 (EMC Update) v0.26_NRA_model_for_NEMO2 (EMC Update) v0.29.2_NRA_model_for_NEMO2 (EMC Update) v0.29.4_NRA_model_for_NEMO2 (EMC Update) v0.29.5_NRA_model_for_NEMO2 (EMC Update) v0 30 1" xfId="1796"/>
    <cellStyle name="%_NRA_model_for_NEMO2 (EMC Update) v0.26_NRA_model_for_NEMO2 (EMC Update) v0.29.2_NRA_model_for_NEMO2 (EMC Update) v0.29.5" xfId="1797"/>
    <cellStyle name="%_NRA_model_for_NEMO2 (EMC Update) v0.26_NRA_model_for_NEMO2 (EMC Update) v0.29.2_NRA_model_for_NEMO2 (EMC Update) v0.29.5_NRA_model_for_NEMO2 (EMC Update) v0 30 1" xfId="1798"/>
    <cellStyle name="%_NRA_model_for_NEMO2 (EMC Update) v0.26_NRA_model_for_NEMO2 (EMC Update) v0.29.3" xfId="1799"/>
    <cellStyle name="%_NRA_model_for_NEMO2 (EMC Update) v0.26_NRA_model_for_NEMO2 (EMC Update) v0.29.3_NRA_model_for_NEMO2 (EMC Update) v0 30 1" xfId="1800"/>
    <cellStyle name="%_NRA_model_for_NEMO2 (EMC Update) v0.26_NRA_model_for_NEMO2 (EMC Update) v0.29.3_NRA_model_for_NEMO2 (EMC Update) v0.29.5" xfId="1801"/>
    <cellStyle name="%_NRA_model_for_NEMO2 (EMC Update) v0.26_NRA_model_for_NEMO2 (EMC Update) v0.29.3_NRA_model_for_NEMO2 (EMC Update) v0.29.5_NRA_model_for_NEMO2 (EMC Update) v0 30 1" xfId="1802"/>
    <cellStyle name="%_NRA_model_for_NEMO2 (EMC Update) v0.26_NRA_model_for_NEMO2 (EMC Update) v0.29.4" xfId="1803"/>
    <cellStyle name="%_NRA_model_for_NEMO2 (EMC Update) v0.26_NRA_model_for_NEMO2 (EMC Update) v0.29.4_NRA_model_for_NEMO2 (EMC Update) v0 30 1" xfId="1804"/>
    <cellStyle name="%_NRA_model_for_NEMO2 (EMC Update) v0.26_NRA_model_for_NEMO2 (EMC Update) v0.29.4_NRA_model_for_NEMO2 (EMC Update) v0.29.5" xfId="1805"/>
    <cellStyle name="%_NRA_model_for_NEMO2 (EMC Update) v0.26_NRA_model_for_NEMO2 (EMC Update) v0.29.4_NRA_model_for_NEMO2 (EMC Update) v0.29.5_NRA_model_for_NEMO2 (EMC Update) v0 30 1" xfId="1806"/>
    <cellStyle name="%_NRA_model_for_NEMO2 (EMC Update) v0.26_NRA_model_for_NEMO2 (EMC Update) v0.29.5" xfId="1807"/>
    <cellStyle name="%_NRA_model_for_NEMO2 (EMC Update) v0.26_NRA_model_for_NEMO2 (EMC Update) v0.29.5_NRA_model_for_NEMO2 (EMC Update) v0 30 1" xfId="1808"/>
    <cellStyle name="%_NRA_model_for_NEMO2 (EMC Update) v0.26_NRA_model_for_NEMO2 (EMC Update) v0.29_NRA_model_for_NEMO2 (EMC Update) v0 30 1" xfId="1809"/>
    <cellStyle name="%_NRA_model_for_NEMO2 (EMC Update) v0.26_NRA_model_for_NEMO2 (EMC Update) v0.29_NRA_model_for_NEMO2 (EMC Update) v0.29.2" xfId="1810"/>
    <cellStyle name="%_NRA_model_for_NEMO2 (EMC Update) v0.26_NRA_model_for_NEMO2 (EMC Update) v0.29_NRA_model_for_NEMO2 (EMC Update) v0.29.2_NRA_model_for_NEMO2 (EMC Update) v0 30 1" xfId="1811"/>
    <cellStyle name="%_NRA_model_for_NEMO2 (EMC Update) v0.26_NRA_model_for_NEMO2 (EMC Update) v0.29_NRA_model_for_NEMO2 (EMC Update) v0.29.2_NRA_model_for_NEMO2 (EMC Update) v0.29.3" xfId="1812"/>
    <cellStyle name="%_NRA_model_for_NEMO2 (EMC Update) v0.26_NRA_model_for_NEMO2 (EMC Update) v0.29_NRA_model_for_NEMO2 (EMC Update) v0.29.2_NRA_model_for_NEMO2 (EMC Update) v0.29.3_NRA_model_for_NEMO2 (EMC Update) v0 30 1" xfId="1813"/>
    <cellStyle name="%_NRA_model_for_NEMO2 (EMC Update) v0.26_NRA_model_for_NEMO2 (EMC Update) v0.29_NRA_model_for_NEMO2 (EMC Update) v0.29.2_NRA_model_for_NEMO2 (EMC Update) v0.29.3_NRA_model_for_NEMO2 (EMC Update) v0.29.5" xfId="1814"/>
    <cellStyle name="%_NRA_model_for_NEMO2 (EMC Update) v0.26_NRA_model_for_NEMO2 (EMC Update) v0.29_NRA_model_for_NEMO2 (EMC Update) v0.29.2_NRA_model_for_NEMO2 (EMC Update) v0.29.3_NRA_model_for_NEMO2 (EMC Update) v0.29.5_NRA_model_for_NEMO2 (EMC Update) v0 30 1" xfId="1815"/>
    <cellStyle name="%_NRA_model_for_NEMO2 (EMC Update) v0.26_NRA_model_for_NEMO2 (EMC Update) v0.29_NRA_model_for_NEMO2 (EMC Update) v0.29.2_NRA_model_for_NEMO2 (EMC Update) v0.29.4" xfId="1816"/>
    <cellStyle name="%_NRA_model_for_NEMO2 (EMC Update) v0.26_NRA_model_for_NEMO2 (EMC Update) v0.29_NRA_model_for_NEMO2 (EMC Update) v0.29.2_NRA_model_for_NEMO2 (EMC Update) v0.29.4_NRA_model_for_NEMO2 (EMC Update) v0 30 1" xfId="1817"/>
    <cellStyle name="%_NRA_model_for_NEMO2 (EMC Update) v0.26_NRA_model_for_NEMO2 (EMC Update) v0.29_NRA_model_for_NEMO2 (EMC Update) v0.29.2_NRA_model_for_NEMO2 (EMC Update) v0.29.4_NRA_model_for_NEMO2 (EMC Update) v0.29.5" xfId="1818"/>
    <cellStyle name="%_NRA_model_for_NEMO2 (EMC Update) v0.26_NRA_model_for_NEMO2 (EMC Update) v0.29_NRA_model_for_NEMO2 (EMC Update) v0.29.2_NRA_model_for_NEMO2 (EMC Update) v0.29.4_NRA_model_for_NEMO2 (EMC Update) v0.29.5_NRA_model_for_NEMO2 (EMC Update) v0 30 1" xfId="1819"/>
    <cellStyle name="%_NRA_model_for_NEMO2 (EMC Update) v0.26_NRA_model_for_NEMO2 (EMC Update) v0.29_NRA_model_for_NEMO2 (EMC Update) v0.29.2_NRA_model_for_NEMO2 (EMC Update) v0.29.5" xfId="1820"/>
    <cellStyle name="%_NRA_model_for_NEMO2 (EMC Update) v0.26_NRA_model_for_NEMO2 (EMC Update) v0.29_NRA_model_for_NEMO2 (EMC Update) v0.29.2_NRA_model_for_NEMO2 (EMC Update) v0.29.5_NRA_model_for_NEMO2 (EMC Update) v0 30 1" xfId="1821"/>
    <cellStyle name="%_NRA_model_for_NEMO2 (EMC Update) v0.26_NRA_model_for_NEMO2 (EMC Update) v0.29_NRA_model_for_NEMO2 (EMC Update) v0.29.3" xfId="1822"/>
    <cellStyle name="%_NRA_model_for_NEMO2 (EMC Update) v0.26_NRA_model_for_NEMO2 (EMC Update) v0.29_NRA_model_for_NEMO2 (EMC Update) v0.29.3_NRA_model_for_NEMO2 (EMC Update) v0 30 1" xfId="1823"/>
    <cellStyle name="%_NRA_model_for_NEMO2 (EMC Update) v0.26_NRA_model_for_NEMO2 (EMC Update) v0.29_NRA_model_for_NEMO2 (EMC Update) v0.29.3_NRA_model_for_NEMO2 (EMC Update) v0.29.5" xfId="1824"/>
    <cellStyle name="%_NRA_model_for_NEMO2 (EMC Update) v0.26_NRA_model_for_NEMO2 (EMC Update) v0.29_NRA_model_for_NEMO2 (EMC Update) v0.29.3_NRA_model_for_NEMO2 (EMC Update) v0.29.5_NRA_model_for_NEMO2 (EMC Update) v0 30 1" xfId="1825"/>
    <cellStyle name="%_NRA_model_for_NEMO2 (EMC Update) v0.26_NRA_model_for_NEMO2 (EMC Update) v0.29_NRA_model_for_NEMO2 (EMC Update) v0.29.4" xfId="1826"/>
    <cellStyle name="%_NRA_model_for_NEMO2 (EMC Update) v0.26_NRA_model_for_NEMO2 (EMC Update) v0.29_NRA_model_for_NEMO2 (EMC Update) v0.29.4_NRA_model_for_NEMO2 (EMC Update) v0 30 1" xfId="1827"/>
    <cellStyle name="%_NRA_model_for_NEMO2 (EMC Update) v0.26_NRA_model_for_NEMO2 (EMC Update) v0.29_NRA_model_for_NEMO2 (EMC Update) v0.29.4_NRA_model_for_NEMO2 (EMC Update) v0.29.5" xfId="1828"/>
    <cellStyle name="%_NRA_model_for_NEMO2 (EMC Update) v0.26_NRA_model_for_NEMO2 (EMC Update) v0.29_NRA_model_for_NEMO2 (EMC Update) v0.29.4_NRA_model_for_NEMO2 (EMC Update) v0.29.5_NRA_model_for_NEMO2 (EMC Update) v0 30 1" xfId="1829"/>
    <cellStyle name="%_NRA_model_for_NEMO2 (EMC Update) v0.26_NRA_model_for_NEMO2 (EMC Update) v0.29_NRA_model_for_NEMO2 (EMC Update) v0.29.5" xfId="1830"/>
    <cellStyle name="%_NRA_model_for_NEMO2 (EMC Update) v0.26_NRA_model_for_NEMO2 (EMC Update) v0.29_NRA_model_for_NEMO2 (EMC Update) v0.29.5_NRA_model_for_NEMO2 (EMC Update) v0 30 1" xfId="1831"/>
    <cellStyle name="%_NRA_model_for_NEMO2 (EMC Update) v0.29" xfId="1832"/>
    <cellStyle name="%_NRA_model_for_NEMO2 (EMC Update) v0.29.2" xfId="1833"/>
    <cellStyle name="%_NRA_model_for_NEMO2 (EMC Update) v0.29.2_NRA_model_for_NEMO2 (EMC Update) v0 30 1" xfId="1834"/>
    <cellStyle name="%_NRA_model_for_NEMO2 (EMC Update) v0.29.2_NRA_model_for_NEMO2 (EMC Update) v0.29.3" xfId="1835"/>
    <cellStyle name="%_NRA_model_for_NEMO2 (EMC Update) v0.29.2_NRA_model_for_NEMO2 (EMC Update) v0.29.3_NRA_model_for_NEMO2 (EMC Update) v0 30 1" xfId="1836"/>
    <cellStyle name="%_NRA_model_for_NEMO2 (EMC Update) v0.29.2_NRA_model_for_NEMO2 (EMC Update) v0.29.3_NRA_model_for_NEMO2 (EMC Update) v0.29.5" xfId="1837"/>
    <cellStyle name="%_NRA_model_for_NEMO2 (EMC Update) v0.29.2_NRA_model_for_NEMO2 (EMC Update) v0.29.3_NRA_model_for_NEMO2 (EMC Update) v0.29.5_NRA_model_for_NEMO2 (EMC Update) v0 30 1" xfId="1838"/>
    <cellStyle name="%_NRA_model_for_NEMO2 (EMC Update) v0.29.2_NRA_model_for_NEMO2 (EMC Update) v0.29.4" xfId="1839"/>
    <cellStyle name="%_NRA_model_for_NEMO2 (EMC Update) v0.29.2_NRA_model_for_NEMO2 (EMC Update) v0.29.4_NRA_model_for_NEMO2 (EMC Update) v0 30 1" xfId="1840"/>
    <cellStyle name="%_NRA_model_for_NEMO2 (EMC Update) v0.29.2_NRA_model_for_NEMO2 (EMC Update) v0.29.4_NRA_model_for_NEMO2 (EMC Update) v0.29.5" xfId="1841"/>
    <cellStyle name="%_NRA_model_for_NEMO2 (EMC Update) v0.29.2_NRA_model_for_NEMO2 (EMC Update) v0.29.4_NRA_model_for_NEMO2 (EMC Update) v0.29.5_NRA_model_for_NEMO2 (EMC Update) v0 30 1" xfId="1842"/>
    <cellStyle name="%_NRA_model_for_NEMO2 (EMC Update) v0.29.2_NRA_model_for_NEMO2 (EMC Update) v0.29.5" xfId="1843"/>
    <cellStyle name="%_NRA_model_for_NEMO2 (EMC Update) v0.29.2_NRA_model_for_NEMO2 (EMC Update) v0.29.5_NRA_model_for_NEMO2 (EMC Update) v0 30 1" xfId="1844"/>
    <cellStyle name="%_NRA_model_for_NEMO2 (EMC Update) v0.29.3" xfId="1845"/>
    <cellStyle name="%_NRA_model_for_NEMO2 (EMC Update) v0.29.3_NRA_model_for_NEMO2 (EMC Update) v0 30 1" xfId="1846"/>
    <cellStyle name="%_NRA_model_for_NEMO2 (EMC Update) v0.29.3_NRA_model_for_NEMO2 (EMC Update) v0.29.5" xfId="1847"/>
    <cellStyle name="%_NRA_model_for_NEMO2 (EMC Update) v0.29.3_NRA_model_for_NEMO2 (EMC Update) v0.29.5_NRA_model_for_NEMO2 (EMC Update) v0 30 1" xfId="1848"/>
    <cellStyle name="%_NRA_model_for_NEMO2 (EMC Update) v0.29.4" xfId="1849"/>
    <cellStyle name="%_NRA_model_for_NEMO2 (EMC Update) v0.29.4_NRA_model_for_NEMO2 (EMC Update) v0 30 1" xfId="1850"/>
    <cellStyle name="%_NRA_model_for_NEMO2 (EMC Update) v0.29.4_NRA_model_for_NEMO2 (EMC Update) v0.29.5" xfId="1851"/>
    <cellStyle name="%_NRA_model_for_NEMO2 (EMC Update) v0.29.4_NRA_model_for_NEMO2 (EMC Update) v0.29.5_NRA_model_for_NEMO2 (EMC Update) v0 30 1" xfId="1852"/>
    <cellStyle name="%_NRA_model_for_NEMO2 (EMC Update) v0.29.5" xfId="1853"/>
    <cellStyle name="%_NRA_model_for_NEMO2 (EMC Update) v0.29.5_NRA_model_for_NEMO2 (EMC Update) v0 30 1" xfId="1854"/>
    <cellStyle name="%_NRA_model_for_NEMO2 (EMC Update) v0.29_NRA_model_for_NEMO2 (EMC Update) v0 30 1" xfId="1855"/>
    <cellStyle name="%_NRA_model_for_NEMO2 (EMC Update) v0.29_NRA_model_for_NEMO2 (EMC Update) v0.29.2" xfId="1856"/>
    <cellStyle name="%_NRA_model_for_NEMO2 (EMC Update) v0.29_NRA_model_for_NEMO2 (EMC Update) v0.29.2_NRA_model_for_NEMO2 (EMC Update) v0 30 1" xfId="1857"/>
    <cellStyle name="%_NRA_model_for_NEMO2 (EMC Update) v0.29_NRA_model_for_NEMO2 (EMC Update) v0.29.2_NRA_model_for_NEMO2 (EMC Update) v0.29.3" xfId="1858"/>
    <cellStyle name="%_NRA_model_for_NEMO2 (EMC Update) v0.29_NRA_model_for_NEMO2 (EMC Update) v0.29.2_NRA_model_for_NEMO2 (EMC Update) v0.29.3_NRA_model_for_NEMO2 (EMC Update) v0 30 1" xfId="1859"/>
    <cellStyle name="%_NRA_model_for_NEMO2 (EMC Update) v0.29_NRA_model_for_NEMO2 (EMC Update) v0.29.2_NRA_model_for_NEMO2 (EMC Update) v0.29.3_NRA_model_for_NEMO2 (EMC Update) v0.29.5" xfId="1860"/>
    <cellStyle name="%_NRA_model_for_NEMO2 (EMC Update) v0.29_NRA_model_for_NEMO2 (EMC Update) v0.29.2_NRA_model_for_NEMO2 (EMC Update) v0.29.3_NRA_model_for_NEMO2 (EMC Update) v0.29.5_NRA_model_for_NEMO2 (EMC Update) v0 30 1" xfId="1861"/>
    <cellStyle name="%_NRA_model_for_NEMO2 (EMC Update) v0.29_NRA_model_for_NEMO2 (EMC Update) v0.29.2_NRA_model_for_NEMO2 (EMC Update) v0.29.4" xfId="1862"/>
    <cellStyle name="%_NRA_model_for_NEMO2 (EMC Update) v0.29_NRA_model_for_NEMO2 (EMC Update) v0.29.2_NRA_model_for_NEMO2 (EMC Update) v0.29.4_NRA_model_for_NEMO2 (EMC Update) v0 30 1" xfId="1863"/>
    <cellStyle name="%_NRA_model_for_NEMO2 (EMC Update) v0.29_NRA_model_for_NEMO2 (EMC Update) v0.29.2_NRA_model_for_NEMO2 (EMC Update) v0.29.4_NRA_model_for_NEMO2 (EMC Update) v0.29.5" xfId="1864"/>
    <cellStyle name="%_NRA_model_for_NEMO2 (EMC Update) v0.29_NRA_model_for_NEMO2 (EMC Update) v0.29.2_NRA_model_for_NEMO2 (EMC Update) v0.29.4_NRA_model_for_NEMO2 (EMC Update) v0.29.5_NRA_model_for_NEMO2 (EMC Update) v0 30 1" xfId="1865"/>
    <cellStyle name="%_NRA_model_for_NEMO2 (EMC Update) v0.29_NRA_model_for_NEMO2 (EMC Update) v0.29.2_NRA_model_for_NEMO2 (EMC Update) v0.29.5" xfId="1866"/>
    <cellStyle name="%_NRA_model_for_NEMO2 (EMC Update) v0.29_NRA_model_for_NEMO2 (EMC Update) v0.29.2_NRA_model_for_NEMO2 (EMC Update) v0.29.5_NRA_model_for_NEMO2 (EMC Update) v0 30 1" xfId="1867"/>
    <cellStyle name="%_NRA_model_for_NEMO2 (EMC Update) v0.29_NRA_model_for_NEMO2 (EMC Update) v0.29.3" xfId="1868"/>
    <cellStyle name="%_NRA_model_for_NEMO2 (EMC Update) v0.29_NRA_model_for_NEMO2 (EMC Update) v0.29.3_NRA_model_for_NEMO2 (EMC Update) v0 30 1" xfId="1869"/>
    <cellStyle name="%_NRA_model_for_NEMO2 (EMC Update) v0.29_NRA_model_for_NEMO2 (EMC Update) v0.29.3_NRA_model_for_NEMO2 (EMC Update) v0.29.5" xfId="1870"/>
    <cellStyle name="%_NRA_model_for_NEMO2 (EMC Update) v0.29_NRA_model_for_NEMO2 (EMC Update) v0.29.3_NRA_model_for_NEMO2 (EMC Update) v0.29.5_NRA_model_for_NEMO2 (EMC Update) v0 30 1" xfId="1871"/>
    <cellStyle name="%_NRA_model_for_NEMO2 (EMC Update) v0.29_NRA_model_for_NEMO2 (EMC Update) v0.29.4" xfId="1872"/>
    <cellStyle name="%_NRA_model_for_NEMO2 (EMC Update) v0.29_NRA_model_for_NEMO2 (EMC Update) v0.29.4_NRA_model_for_NEMO2 (EMC Update) v0 30 1" xfId="1873"/>
    <cellStyle name="%_NRA_model_for_NEMO2 (EMC Update) v0.29_NRA_model_for_NEMO2 (EMC Update) v0.29.4_NRA_model_for_NEMO2 (EMC Update) v0.29.5" xfId="1874"/>
    <cellStyle name="%_NRA_model_for_NEMO2 (EMC Update) v0.29_NRA_model_for_NEMO2 (EMC Update) v0.29.4_NRA_model_for_NEMO2 (EMC Update) v0.29.5_NRA_model_for_NEMO2 (EMC Update) v0 30 1" xfId="1875"/>
    <cellStyle name="%_NRA_model_for_NEMO2 (EMC Update) v0.29_NRA_model_for_NEMO2 (EMC Update) v0.29.5" xfId="1876"/>
    <cellStyle name="%_NRA_model_for_NEMO2 (EMC Update) v0.29_NRA_model_for_NEMO2 (EMC Update) v0.29.5_NRA_model_for_NEMO2 (EMC Update) v0 30 1" xfId="1877"/>
    <cellStyle name="%_NRA_model_for_NEMO2 _NRA_model_for_NEMO2 (EMC Update) v0 30 1" xfId="1878"/>
    <cellStyle name="%_NRA_model_for_NEMO2 _NRA_model_for_NEMO2 (EMC Update) v0.29.5" xfId="1879"/>
    <cellStyle name="%_NRA_model_for_NEMO2 _NRA_model_for_NEMO2 (EMC Update) v0.29.5_NRA_model_for_NEMO2 (EMC Update) v0 30 1" xfId="1880"/>
    <cellStyle name="_2.0 Emergency Process" xfId="1881"/>
    <cellStyle name="_Payroll - Dave Moon v2" xfId="1882"/>
    <cellStyle name="20 % - Markeringsfarve1" xfId="1883"/>
    <cellStyle name="20 % - Markeringsfarve2" xfId="1884"/>
    <cellStyle name="20 % - Markeringsfarve3" xfId="1885"/>
    <cellStyle name="20 % - Markeringsfarve4" xfId="1886"/>
    <cellStyle name="20 % - Markeringsfarve5" xfId="1887"/>
    <cellStyle name="20 % - Markeringsfarve6" xfId="1888"/>
    <cellStyle name="20% - Dekorfärg1" xfId="1889"/>
    <cellStyle name="20% - Dekorfärg2" xfId="1890"/>
    <cellStyle name="20% - Dekorfärg3" xfId="1891"/>
    <cellStyle name="20% - Dekorfärg4" xfId="1892"/>
    <cellStyle name="20% - Dekorfärg5" xfId="1893"/>
    <cellStyle name="20% - Dekorfärg6" xfId="1894"/>
    <cellStyle name="40 % - Markeringsfarve1" xfId="1895"/>
    <cellStyle name="40 % - Markeringsfarve2" xfId="1896"/>
    <cellStyle name="40 % - Markeringsfarve3" xfId="1897"/>
    <cellStyle name="40 % - Markeringsfarve4" xfId="1898"/>
    <cellStyle name="40 % - Markeringsfarve5" xfId="1899"/>
    <cellStyle name="40 % - Markeringsfarve6" xfId="1900"/>
    <cellStyle name="40% - Dekorfärg1" xfId="1901"/>
    <cellStyle name="40% - Dekorfärg2" xfId="1902"/>
    <cellStyle name="40% - Dekorfärg3" xfId="1903"/>
    <cellStyle name="40% - Dekorfärg4" xfId="1904"/>
    <cellStyle name="40% - Dekorfärg5" xfId="1905"/>
    <cellStyle name="40% - Dekorfärg6" xfId="1906"/>
    <cellStyle name="60 % - Markeringsfarve1" xfId="1907"/>
    <cellStyle name="60 % - Markeringsfarve2" xfId="1908"/>
    <cellStyle name="60 % - Markeringsfarve3" xfId="1909"/>
    <cellStyle name="60 % - Markeringsfarve4" xfId="1910"/>
    <cellStyle name="60 % - Markeringsfarve5" xfId="1911"/>
    <cellStyle name="60 % - Markeringsfarve6" xfId="1912"/>
    <cellStyle name="60% - Dekorfärg1" xfId="1913"/>
    <cellStyle name="60% - Dekorfärg2" xfId="1914"/>
    <cellStyle name="60% - Dekorfärg3" xfId="1915"/>
    <cellStyle name="60% - Dekorfärg4" xfId="1916"/>
    <cellStyle name="60% - Dekorfärg5" xfId="1917"/>
    <cellStyle name="60% - Dekorfärg6" xfId="1918"/>
    <cellStyle name="Accent1 - 20%" xfId="1919"/>
    <cellStyle name="Accent1 - 40%" xfId="1920"/>
    <cellStyle name="Accent1 - 60%" xfId="1921"/>
    <cellStyle name="Accent2 - 20%" xfId="1922"/>
    <cellStyle name="Accent2 - 40%" xfId="1923"/>
    <cellStyle name="Accent2 - 60%" xfId="1924"/>
    <cellStyle name="Accent3 - 20%" xfId="1925"/>
    <cellStyle name="Accent3 - 40%" xfId="1926"/>
    <cellStyle name="Accent3 - 60%" xfId="1927"/>
    <cellStyle name="Accent4 - 20%" xfId="1928"/>
    <cellStyle name="Accent4 - 40%" xfId="1929"/>
    <cellStyle name="Accent4 - 60%" xfId="1930"/>
    <cellStyle name="Accent5 - 20%" xfId="1931"/>
    <cellStyle name="Accent5 - 40%" xfId="1932"/>
    <cellStyle name="Accent5 - 60%" xfId="1933"/>
    <cellStyle name="Accent6 - 20%" xfId="1934"/>
    <cellStyle name="Accent6 - 40%" xfId="1935"/>
    <cellStyle name="Accent6 - 60%" xfId="1936"/>
    <cellStyle name="Advarselstekst" xfId="1937"/>
    <cellStyle name="Anteckning" xfId="1938"/>
    <cellStyle name="Bemærk!" xfId="1939"/>
    <cellStyle name="Beräkning" xfId="1940"/>
    <cellStyle name="Beregning" xfId="1941"/>
    <cellStyle name="BMInputNormal" xfId="1942"/>
    <cellStyle name="Bra" xfId="1943"/>
    <cellStyle name="column Head Underlined" xfId="1944"/>
    <cellStyle name="Column Heading" xfId="1945"/>
    <cellStyle name="Comma 3 2" xfId="1946"/>
    <cellStyle name="Dålig" xfId="1947"/>
    <cellStyle name="Emphasis 1" xfId="1948"/>
    <cellStyle name="Emphasis 2" xfId="1949"/>
    <cellStyle name="Emphasis 3" xfId="1950"/>
    <cellStyle name="Euro 2" xfId="1951"/>
    <cellStyle name="EYBlocked" xfId="1952"/>
    <cellStyle name="EYCallUp" xfId="1953"/>
    <cellStyle name="EYCheck" xfId="1954"/>
    <cellStyle name="EYDate" xfId="1955"/>
    <cellStyle name="EYDeviant" xfId="1956"/>
    <cellStyle name="EYHeader1" xfId="1957"/>
    <cellStyle name="EYHeader2" xfId="1958"/>
    <cellStyle name="EYHeader3" xfId="1959"/>
    <cellStyle name="EYInputDate" xfId="1960"/>
    <cellStyle name="EYInputPercent" xfId="1961"/>
    <cellStyle name="EYInputValue" xfId="1962"/>
    <cellStyle name="EYNormal 2" xfId="1963"/>
    <cellStyle name="EYPercent" xfId="1964"/>
    <cellStyle name="EYPercentCapped" xfId="1965"/>
    <cellStyle name="EYSubTotal" xfId="1966"/>
    <cellStyle name="EYTotal" xfId="1967"/>
    <cellStyle name="EYWIP" xfId="1968"/>
    <cellStyle name="Färg1" xfId="1969"/>
    <cellStyle name="Färg2" xfId="1970"/>
    <cellStyle name="Färg3" xfId="1971"/>
    <cellStyle name="Färg4" xfId="1972"/>
    <cellStyle name="Färg5" xfId="1973"/>
    <cellStyle name="Färg6" xfId="1974"/>
    <cellStyle name="Förklarande text" xfId="1975"/>
    <cellStyle name="Forklarende tekst" xfId="1976"/>
    <cellStyle name="General" xfId="1977"/>
    <cellStyle name="God" xfId="1978"/>
    <cellStyle name="Indata" xfId="1979"/>
    <cellStyle name="Kontrollcell" xfId="1980"/>
    <cellStyle name="Kontroller celle" xfId="1981"/>
    <cellStyle name="Länkad cell" xfId="1982"/>
    <cellStyle name="Main Heading" xfId="1983"/>
    <cellStyle name="Markeringsfarve1" xfId="1984"/>
    <cellStyle name="Markeringsfarve2" xfId="1985"/>
    <cellStyle name="Markeringsfarve3" xfId="1986"/>
    <cellStyle name="Markeringsfarve4" xfId="1987"/>
    <cellStyle name="Markeringsfarve5" xfId="1988"/>
    <cellStyle name="Markeringsfarve6" xfId="1989"/>
    <cellStyle name="NGBlocked" xfId="1990"/>
    <cellStyle name="NGCallUp" xfId="1991"/>
    <cellStyle name="NGCheck" xfId="1992"/>
    <cellStyle name="NGDate" xfId="1993"/>
    <cellStyle name="NGDeviant" xfId="1994"/>
    <cellStyle name="NGHeader1" xfId="1995"/>
    <cellStyle name="NGHeader2" xfId="1996"/>
    <cellStyle name="NGHeader3" xfId="1997"/>
    <cellStyle name="NGInputDate" xfId="1998"/>
    <cellStyle name="NGInputPercent" xfId="1999"/>
    <cellStyle name="NGInputValue" xfId="2000"/>
    <cellStyle name="NGNormal" xfId="2001"/>
    <cellStyle name="NGPercent" xfId="2002"/>
    <cellStyle name="NGPercentCapped" xfId="2003"/>
    <cellStyle name="NGSubTotal" xfId="2004"/>
    <cellStyle name="NGTotal" xfId="2005"/>
    <cellStyle name="NGWIP" xfId="2006"/>
    <cellStyle name="Normal 3 3" xfId="2007"/>
    <cellStyle name="Overskrift 1" xfId="2008"/>
    <cellStyle name="Overskrift 2" xfId="2009"/>
    <cellStyle name="Overskrift 3" xfId="2010"/>
    <cellStyle name="Overskrift 4" xfId="2011"/>
    <cellStyle name="Percent 2 3" xfId="2012"/>
    <cellStyle name="Percent 3 2" xfId="2013"/>
    <cellStyle name="Rubrik" xfId="2014"/>
    <cellStyle name="Rubrik 1" xfId="2015"/>
    <cellStyle name="Rubrik 2" xfId="2016"/>
    <cellStyle name="Rubrik 3" xfId="2017"/>
    <cellStyle name="Rubrik 4" xfId="2018"/>
    <cellStyle name="Sammenkædet celle" xfId="2019"/>
    <cellStyle name="SAPBEXaggData" xfId="2020"/>
    <cellStyle name="SAPBEXaggDataEmph" xfId="2021"/>
    <cellStyle name="SAPBEXaggItem" xfId="2022"/>
    <cellStyle name="SAPBEXaggItemX" xfId="2023"/>
    <cellStyle name="SAPBEXchaText" xfId="2024"/>
    <cellStyle name="SAPBEXexcBad7" xfId="2025"/>
    <cellStyle name="SAPBEXexcBad8" xfId="2026"/>
    <cellStyle name="SAPBEXexcBad9" xfId="2027"/>
    <cellStyle name="SAPBEXexcCritical4" xfId="2028"/>
    <cellStyle name="SAPBEXexcCritical5" xfId="2029"/>
    <cellStyle name="SAPBEXexcCritical6" xfId="2030"/>
    <cellStyle name="SAPBEXexcGood1" xfId="2031"/>
    <cellStyle name="SAPBEXexcGood2" xfId="2032"/>
    <cellStyle name="SAPBEXexcGood3" xfId="2033"/>
    <cellStyle name="SAPBEXfilterDrill" xfId="2034"/>
    <cellStyle name="SAPBEXfilterItem" xfId="2035"/>
    <cellStyle name="SAPBEXfilterText" xfId="2036"/>
    <cellStyle name="SAPBEXformats" xfId="2037"/>
    <cellStyle name="SAPBEXheaderItem" xfId="2038"/>
    <cellStyle name="SAPBEXheaderText" xfId="2039"/>
    <cellStyle name="SAPBEXHLevel0" xfId="2040"/>
    <cellStyle name="SAPBEXHLevel0X" xfId="2041"/>
    <cellStyle name="SAPBEXHLevel1" xfId="2042"/>
    <cellStyle name="SAPBEXHLevel1X" xfId="2043"/>
    <cellStyle name="SAPBEXHLevel2" xfId="2044"/>
    <cellStyle name="SAPBEXHLevel2X" xfId="2045"/>
    <cellStyle name="SAPBEXHLevel3" xfId="2046"/>
    <cellStyle name="SAPBEXHLevel3X" xfId="2047"/>
    <cellStyle name="SAPBEXinputData" xfId="2048"/>
    <cellStyle name="SAPBEXItemHeader" xfId="2049"/>
    <cellStyle name="SAPBEXresData" xfId="2050"/>
    <cellStyle name="SAPBEXresDataEmph" xfId="2051"/>
    <cellStyle name="SAPBEXresItem" xfId="2052"/>
    <cellStyle name="SAPBEXresItemX" xfId="2053"/>
    <cellStyle name="SAPBEXstdData" xfId="2054"/>
    <cellStyle name="SAPBEXstdDataEmph" xfId="2055"/>
    <cellStyle name="SAPBEXstdItem" xfId="2056"/>
    <cellStyle name="SAPBEXstdItemX" xfId="2057"/>
    <cellStyle name="SAPBEXtitle" xfId="2058"/>
    <cellStyle name="SAPBEXunassignedItem" xfId="2059"/>
    <cellStyle name="SAPBEXundefined" xfId="2060"/>
    <cellStyle name="Sheet Title" xfId="2061"/>
    <cellStyle name="Style 1 2" xfId="2062"/>
    <cellStyle name="Sub-total" xfId="2063"/>
    <cellStyle name="Summa" xfId="2064"/>
    <cellStyle name="Text" xfId="2065"/>
    <cellStyle name="Titel" xfId="2066"/>
    <cellStyle name="Totals" xfId="2067"/>
    <cellStyle name="Ugyldig" xfId="2068"/>
    <cellStyle name="Utdata" xfId="2069"/>
    <cellStyle name="Varningstext" xfId="2070"/>
    <cellStyle name="Percent 8" xfId="2071"/>
    <cellStyle name="Hyperlink 2" xfId="2072"/>
    <cellStyle name="20% - Accent1 2" xfId="2073"/>
    <cellStyle name="20% - Accent2 2" xfId="2074"/>
    <cellStyle name="20% - Accent3 2" xfId="2075"/>
    <cellStyle name="20% - Accent4 2" xfId="2076"/>
    <cellStyle name="20% - Accent5 2" xfId="2077"/>
    <cellStyle name="20% - Accent6 2" xfId="2078"/>
    <cellStyle name="40% - Accent1 2" xfId="2079"/>
    <cellStyle name="40% - Accent2 2" xfId="2080"/>
    <cellStyle name="40% - Accent3 2" xfId="2081"/>
    <cellStyle name="40% - Accent4 2" xfId="2082"/>
    <cellStyle name="40% - Accent5 2" xfId="2083"/>
    <cellStyle name="40% - Accent6 2" xfId="2084"/>
    <cellStyle name="Normal 4 3" xfId="2085"/>
    <cellStyle name="Normal 5 3" xfId="2086"/>
    <cellStyle name="Normal 6 2" xfId="2087"/>
    <cellStyle name="Note 2" xfId="2088"/>
    <cellStyle name="Note 3" xfId="2089"/>
    <cellStyle name="Normal 7 3" xfId="2090"/>
    <cellStyle name="Normal 8 2" xfId="2091"/>
    <cellStyle name="Comma 4 3" xfId="2092"/>
    <cellStyle name="Percent 4 2" xfId="2093"/>
    <cellStyle name="Normal 7 2" xfId="2094"/>
    <cellStyle name="Normal 2 2 2" xfId="2095"/>
    <cellStyle name="Comma 15" xfId="2096"/>
    <cellStyle name="Normal 31" xfId="2097"/>
    <cellStyle name="Normal 36" xfId="2098"/>
    <cellStyle name="Normal 34" xfId="2099"/>
    <cellStyle name="Normal 37" xfId="2100"/>
    <cellStyle name="Normal 33" xfId="2101"/>
    <cellStyle name="Normal 39" xfId="2102"/>
    <cellStyle name="Normal 15" xfId="2103"/>
    <cellStyle name="Normal 41" xfId="2104"/>
    <cellStyle name="Normal 40" xfId="2105"/>
    <cellStyle name="Normal 46" xfId="2106"/>
    <cellStyle name="Normal 44" xfId="2107"/>
    <cellStyle name="Normal 45" xfId="2108"/>
    <cellStyle name="Normal 47" xfId="2109"/>
    <cellStyle name="Normal 28" xfId="2110"/>
    <cellStyle name="NGInputDate 3 18" xfId="2111"/>
    <cellStyle name="Normal 49" xfId="2112"/>
    <cellStyle name="Heading 4" xfId="2113" builtinId="19"/>
    <cellStyle name="Normal 14" xfId="2114"/>
    <cellStyle name="Hyperlink 3" xfId="2115"/>
    <cellStyle name="Percent 9" xfId="2116"/>
    <cellStyle name="Comma 10 2" xfId="2117"/>
    <cellStyle name="Comma 12 2" xfId="2118"/>
    <cellStyle name="Comma 13 2" xfId="2119"/>
    <cellStyle name="Comma 14 2" xfId="2120"/>
    <cellStyle name="Comma 17 2" xfId="2121"/>
    <cellStyle name="Comma 18 2" xfId="2122"/>
    <cellStyle name="Comma 2 2 2" xfId="2123"/>
    <cellStyle name="Comma 20 2" xfId="2124"/>
    <cellStyle name="Comma 21 2" xfId="2125"/>
    <cellStyle name="Comma 25 2" xfId="2126"/>
    <cellStyle name="Comma 26 2" xfId="2127"/>
    <cellStyle name="Comma 3 3" xfId="2128"/>
    <cellStyle name="Comma 7 2" xfId="2129"/>
    <cellStyle name="Comma 8 2" xfId="2130"/>
    <cellStyle name="Comma 9 2" xfId="2131"/>
    <cellStyle name="Comma 16" xfId="2132"/>
    <cellStyle name="Percent 7 2" xfId="2133"/>
    <cellStyle name="Normal 2 3 2" xfId="2134"/>
    <cellStyle name="Comma 2 3 2" xfId="2135"/>
    <cellStyle name="column Head Underlined 2" xfId="2136"/>
    <cellStyle name="Column Heading 2" xfId="2137"/>
    <cellStyle name="Comma 3 2 2" xfId="2138"/>
    <cellStyle name="Main Heading 2" xfId="2139"/>
    <cellStyle name="Sub-total 2" xfId="2140"/>
    <cellStyle name="Totals 2" xfId="2141"/>
    <cellStyle name="Normal 7 3 2" xfId="2142"/>
    <cellStyle name="Normal 8 2 2" xfId="2143"/>
    <cellStyle name="Comma 4 3 2" xfId="2144"/>
    <cellStyle name="Percent 4 2 2" xfId="2145"/>
    <cellStyle name="Normal 7 2 2" xfId="2146"/>
    <cellStyle name="Comma 15 2" xfId="2147"/>
    <cellStyle name="Normal 15 2" xfId="2148"/>
  </cellStyles>
  <dxfs count="2">
    <dxf>
      <font>
        <color theme="0" tint="-0.249946592608417"/>
      </font>
    </dxf>
    <dxf>
      <font>
        <color theme="0" tint="-0.249946592608417"/>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externalLink" Target="/xl/externalLinks/externalLink1.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oneCellAnchor>
    <from>
      <col>0</col>
      <colOff>1</colOff>
      <row>0</row>
      <rowOff>0</rowOff>
    </from>
    <ext cx="2994187" cy="716559"/>
    <pic>
      <nvPicPr>
        <cNvPr id="2" name="Picture 1"/>
        <cNvPicPr>
          <a:picLocks noChangeAspect="1"/>
        </cNvPicPr>
      </nvPicPr>
      <blipFill>
        <a:blip cstate="print" r:embed="rId1"/>
        <a:stretch>
          <a:fillRect/>
        </a:stretch>
      </blipFill>
      <spPr>
        <a:xfrm>
          <a:off x="1" y="0"/>
          <a:ext cx="2994187" cy="716559"/>
        </a:xfrm>
        <a:prstGeom prst="rect">
          <avLst/>
        </a:prstGeom>
        <a:ln>
          <a:prstDash val="solid"/>
        </a:ln>
      </spPr>
    </pic>
    <clientData/>
  </oneCellAnchor>
</wsDr>
</file>

<file path=xl/externalLinks/_rels/externalLink1.xml.rels><Relationships xmlns="http://schemas.openxmlformats.org/package/2006/relationships"><Relationship Type="http://schemas.openxmlformats.org/officeDocument/2006/relationships/externalLinkPath" Target="/lonfs01/data/AndrewStone/offshore%20savings/Lincs/2014.01.17_Lincs%20TCP%20models/Lincs_Perm%20Changes_Delevered.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itle"/>
      <sheetName val="Charts "/>
      <sheetName val="TM_Change"/>
      <sheetName val="P&amp;L"/>
      <sheetName val="CF"/>
      <sheetName val="CF Original"/>
      <sheetName val="CF Delta"/>
      <sheetName val="BalSht"/>
      <sheetName val="Summary"/>
      <sheetName val="Sens Analysis"/>
      <sheetName val="Sens"/>
      <sheetName val="InputC"/>
      <sheetName val="InputM"/>
      <sheetName val="InputSA"/>
      <sheetName val="Calcs M"/>
      <sheetName val="Calcs SA"/>
      <sheetName val="Ratios"/>
      <sheetName val="Checks"/>
      <sheetName val="MSA"/>
      <sheetName val="Analysis template"/>
      <sheetName val="Proj IRR"/>
      <sheetName val="Swap Profiles"/>
      <sheetName val="Swap Profiles - EIB"/>
      <sheetName val="Databook M"/>
      <sheetName val="GapList_1"/>
      <sheetName val="GapList_2"/>
      <sheetName val="GapList_3"/>
      <sheetName val="Gaps list 3a"/>
      <sheetName val="GapList_4"/>
      <sheetName val="Gaps list 5"/>
      <sheetName val="fis-Cover"/>
      <sheetName val="fis1-General Data"/>
      <sheetName val="fis2-Analysis-Insurance"/>
      <sheetName val="fis3-Analysis-TRS Components"/>
      <sheetName val="fis4-Funding Data"/>
      <sheetName val="fis5-Yearly Data"/>
      <sheetName val="fis6-Tax Pool Allocations"/>
      <sheetName val="fis7-Output Page"/>
      <sheetName val="fis-Standard Data"/>
      <sheetName val="fis-Integrity Check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ow r="38">
          <cell r="B38">
            <v>0.18</v>
          </cell>
        </row>
        <row r="39">
          <cell r="B39">
            <v>0.08</v>
          </cell>
        </row>
        <row r="40">
          <cell r="B40">
            <v>1</v>
          </cell>
        </row>
        <row r="41">
          <cell r="B41">
            <v>0</v>
          </cell>
        </row>
      </sheetData>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codeName="Sheet10">
    <tabColor theme="5" tint="0.5999938962981048"/>
    <outlinePr summaryBelow="1" summaryRight="1"/>
    <pageSetUpPr fitToPage="1"/>
  </sheetPr>
  <dimension ref="A2:H40"/>
  <sheetViews>
    <sheetView showGridLines="0" zoomScaleNormal="100" workbookViewId="0">
      <pane ySplit="5" topLeftCell="A6" activePane="bottomLeft" state="frozen"/>
      <selection pane="bottomLeft" activeCell="E15" sqref="E15"/>
    </sheetView>
  </sheetViews>
  <sheetFormatPr baseColWidth="10" defaultColWidth="0" defaultRowHeight="0" customHeight="1" zeroHeight="1"/>
  <cols>
    <col width="1.59765625" customWidth="1" style="27" min="1" max="4"/>
    <col width="38.59765625" bestFit="1" customWidth="1" style="27" min="5" max="5"/>
    <col width="3.59765625" customWidth="1" style="27" min="6" max="6"/>
    <col width="96.3984375" customWidth="1" style="27" min="7" max="7"/>
    <col width="1.796875" customWidth="1" style="27" min="8" max="8"/>
    <col hidden="1" width="13" customWidth="1" style="27" min="9" max="10"/>
    <col hidden="1" width="13" customWidth="1" style="27" min="11" max="16384"/>
  </cols>
  <sheetData>
    <row r="1" ht="57" customHeight="1"/>
    <row r="2" ht="21" customFormat="1" customHeight="1" s="186">
      <c r="A2" s="22" t="inlineStr">
        <is>
          <t>Cap and Floor Financial Model 2 (CFFM2)</t>
        </is>
      </c>
      <c r="B2" s="23" t="n"/>
      <c r="C2" s="23" t="n"/>
      <c r="D2" s="23" t="n"/>
      <c r="E2" s="23" t="n"/>
    </row>
    <row r="3" ht="15" customFormat="1" customHeight="1" s="186">
      <c r="A3" s="23" t="n"/>
      <c r="B3" s="23" t="n"/>
      <c r="C3" s="25">
        <f>MID(CELL("filename"),SEARCH("[",CELL("filename"))+1,SEARCH("]",CELL("filename"))-SEARCH("[",CELL("filename"))-1)</f>
        <v/>
      </c>
      <c r="D3" s="25" t="n"/>
      <c r="E3" s="25" t="n"/>
      <c r="F3" s="26" t="n"/>
      <c r="G3" s="26" t="n"/>
    </row>
    <row r="4" ht="28.5" customFormat="1" customHeight="1" s="186">
      <c r="A4" s="23" t="n"/>
      <c r="B4" s="23" t="n"/>
      <c r="C4" s="185" t="inlineStr">
        <is>
          <t>DISCLAIMER: The inputs used in this model (with the exception of those imported from the NLCFFM1 used to set cap and floor levels and PCA adjustments at PCR) are purely illustrative and no inference should be made about any future regulatory settlement for Nemo Link beyond PCR.</t>
        </is>
      </c>
    </row>
    <row r="5" ht="13" customFormat="1" customHeight="1" s="186">
      <c r="A5" s="23" t="n"/>
      <c r="B5" s="23" t="n"/>
      <c r="C5" s="153" t="inlineStr">
        <is>
          <t>For guidance on the use of the CFFM2, please refer to the CFFM2 Handbook (CFFM2H)</t>
        </is>
      </c>
      <c r="D5" s="185" t="n"/>
      <c r="E5" s="185" t="n"/>
      <c r="F5" s="185" t="n"/>
      <c r="G5" s="185" t="n"/>
    </row>
    <row r="6" ht="15" customHeight="1">
      <c r="B6" s="28" t="n"/>
    </row>
    <row r="7" ht="15" customFormat="1" customHeight="1" s="4">
      <c r="B7" s="75" t="inlineStr">
        <is>
          <t>Model key</t>
        </is>
      </c>
      <c r="C7" s="8" t="n"/>
      <c r="D7" s="8" t="n"/>
      <c r="E7" s="8" t="n"/>
      <c r="F7" s="8" t="n"/>
      <c r="G7" s="8" t="n"/>
    </row>
    <row r="8" ht="15" customFormat="1" customHeight="1" s="4">
      <c r="E8" s="21" t="n"/>
      <c r="G8" s="1" t="n"/>
    </row>
    <row r="9" ht="15" customFormat="1" customHeight="1" s="4">
      <c r="E9" s="1" t="inlineStr">
        <is>
          <t>Sample</t>
        </is>
      </c>
      <c r="G9" s="1" t="inlineStr">
        <is>
          <t>Calculated value</t>
        </is>
      </c>
    </row>
    <row r="10" ht="15" customFormat="1" customHeight="1" s="4">
      <c r="E10" s="29" t="inlineStr">
        <is>
          <t>Sample</t>
        </is>
      </c>
      <c r="G10" s="4" t="inlineStr">
        <is>
          <t>Formula changes in cells to the right</t>
        </is>
      </c>
    </row>
    <row r="11" ht="15" customFormat="1" customHeight="1" s="4">
      <c r="E11" s="76" t="inlineStr">
        <is>
          <t>Sample</t>
        </is>
      </c>
      <c r="G11" s="1" t="inlineStr">
        <is>
          <t>Value imported from other sheet</t>
        </is>
      </c>
    </row>
    <row r="12" ht="15" customFormat="1" customHeight="1" s="4">
      <c r="E12" s="77" t="inlineStr">
        <is>
          <t>Sample</t>
        </is>
      </c>
      <c r="G12" s="1" t="inlineStr">
        <is>
          <t>Value exported to other sheet</t>
        </is>
      </c>
    </row>
    <row r="13" ht="15" customFormat="1" customHeight="1" s="4">
      <c r="E13" s="130" t="inlineStr">
        <is>
          <t>Sample</t>
        </is>
      </c>
      <c r="G13" s="1" t="inlineStr">
        <is>
          <t>Import from &amp; export to other sheet</t>
        </is>
      </c>
    </row>
    <row r="14" ht="15" customFormat="1" customHeight="1" s="4">
      <c r="E14" s="73" t="inlineStr">
        <is>
          <t>Sample</t>
        </is>
      </c>
      <c r="G14" s="4" t="inlineStr">
        <is>
          <t>Initial input</t>
        </is>
      </c>
    </row>
    <row r="15" ht="15" customFormat="1" customHeight="1" s="4">
      <c r="E15" s="78" t="inlineStr">
        <is>
          <t>Sample</t>
        </is>
      </c>
      <c r="G15" s="4" t="inlineStr">
        <is>
          <t>Initial input for non-GB indexed portion (to be left empty if GB-indexed only)</t>
        </is>
      </c>
    </row>
    <row r="16" ht="15" customFormat="1" customHeight="1" s="4">
      <c r="E16" s="79" t="inlineStr">
        <is>
          <t>Sample</t>
        </is>
      </c>
      <c r="G16" s="4" t="inlineStr">
        <is>
          <t>Updated input</t>
        </is>
      </c>
    </row>
    <row r="17" ht="15" customFormat="1" customHeight="1" s="4">
      <c r="E17" s="3" t="inlineStr">
        <is>
          <t>Sample</t>
        </is>
      </c>
      <c r="G17" s="4" t="inlineStr">
        <is>
          <t>Notes and instructions</t>
        </is>
      </c>
    </row>
    <row r="18" ht="15" customFormat="1" customHeight="1" s="4">
      <c r="E18" s="33" t="inlineStr">
        <is>
          <t>Sample</t>
        </is>
      </c>
      <c r="G18" s="4" t="inlineStr">
        <is>
          <t>Cell intentionally blank</t>
        </is>
      </c>
    </row>
    <row r="19" ht="15" customFormat="1" customHeight="1" s="4"/>
    <row r="20" ht="15" customFormat="1" customHeight="1" s="4">
      <c r="B20" s="8" t="inlineStr">
        <is>
          <t>Contents</t>
        </is>
      </c>
      <c r="C20" s="8" t="n"/>
      <c r="D20" s="8" t="n"/>
      <c r="E20" s="8" t="n"/>
      <c r="F20" s="8" t="n"/>
      <c r="G20" s="8" t="n"/>
    </row>
    <row r="21" ht="15" customFormat="1" customHeight="1" s="4" thickBot="1">
      <c r="E21" s="21" t="n"/>
      <c r="G21" s="1" t="n"/>
    </row>
    <row r="22" ht="15" customFormat="1" customHeight="1" s="4" thickBot="1">
      <c r="E22" s="83" t="inlineStr">
        <is>
          <t>Cover</t>
        </is>
      </c>
      <c r="F22" s="80" t="n"/>
      <c r="G22" s="30" t="inlineStr">
        <is>
          <t>Model key and content directory</t>
        </is>
      </c>
    </row>
    <row r="23" ht="15" customFormat="1" customHeight="1" s="4" thickBot="1">
      <c r="E23" s="83" t="inlineStr">
        <is>
          <t>Version Control</t>
        </is>
      </c>
      <c r="F23" s="103" t="n"/>
      <c r="G23" s="30" t="inlineStr">
        <is>
          <t>Version control and log of changes</t>
        </is>
      </c>
    </row>
    <row r="24" ht="15" customFormat="1" customHeight="1" s="4" thickBot="1" thickTop="1">
      <c r="E24" s="83" t="inlineStr">
        <is>
          <t>Inputs</t>
        </is>
      </c>
      <c r="F24" s="81" t="n"/>
      <c r="G24" s="30" t="inlineStr">
        <is>
          <t>Inputs</t>
        </is>
      </c>
    </row>
    <row r="25" ht="15" customFormat="1" customHeight="1" s="4" thickBot="1" thickTop="1">
      <c r="E25" s="83" t="inlineStr">
        <is>
          <t>Cost &amp; Revenue</t>
        </is>
      </c>
      <c r="F25" s="31" t="n"/>
      <c r="G25" s="1" t="inlineStr">
        <is>
          <t>Baseline cost summary and currency conversion of nominal actual costs and revenue</t>
        </is>
      </c>
    </row>
    <row r="26" ht="15" customFormat="1" customHeight="1" s="4" thickBot="1">
      <c r="E26" s="83" t="inlineStr">
        <is>
          <t>ORA Adjustment</t>
        </is>
      </c>
      <c r="F26" s="31" t="n"/>
      <c r="G26" s="30" t="inlineStr">
        <is>
          <t>Controllable Opex adjustment</t>
        </is>
      </c>
    </row>
    <row r="27" ht="15" customFormat="1" customHeight="1" s="4" thickBot="1">
      <c r="E27" s="83" t="inlineStr">
        <is>
          <t>DC Adjustment</t>
        </is>
      </c>
      <c r="F27" s="31" t="n"/>
      <c r="G27" s="30" t="inlineStr">
        <is>
          <t>Decommissioning costs adjustment</t>
        </is>
      </c>
    </row>
    <row r="28" ht="15" customFormat="1" customHeight="1" s="4" thickBot="1">
      <c r="E28" s="83" t="inlineStr">
        <is>
          <t>Indexation</t>
        </is>
      </c>
      <c r="F28" s="31" t="n"/>
      <c r="G28" s="30" t="inlineStr">
        <is>
          <t>Cap and floor inflation indexation</t>
        </is>
      </c>
    </row>
    <row r="29" ht="15" customFormat="1" customHeight="1" s="4" thickBot="1">
      <c r="E29" s="83" t="inlineStr">
        <is>
          <t>Availability</t>
        </is>
      </c>
      <c r="F29" s="31" t="n"/>
      <c r="G29" s="30" t="inlineStr">
        <is>
          <t>Availability incentive calculations</t>
        </is>
      </c>
    </row>
    <row r="30" ht="15" customFormat="1" customHeight="1" s="4" thickBot="1">
      <c r="E30" s="83" t="inlineStr">
        <is>
          <t>Assessment</t>
        </is>
      </c>
      <c r="F30" s="31" t="n"/>
      <c r="G30" s="30" t="inlineStr">
        <is>
          <t>Revenue assessment relative to cap and floor and non-controllable Opex assessment relative to baseline level</t>
        </is>
      </c>
    </row>
    <row r="31" ht="15" customHeight="1" thickBot="1">
      <c r="A31" s="4" t="n"/>
      <c r="B31" s="4" t="n"/>
      <c r="C31" s="4" t="n"/>
      <c r="D31" s="4" t="n"/>
      <c r="E31" s="83" t="inlineStr">
        <is>
          <t>Revenue Adjustment</t>
        </is>
      </c>
      <c r="F31" s="82" t="n"/>
      <c r="G31" s="30" t="inlineStr">
        <is>
          <t>Cap and floor levels and revenue adjustments</t>
        </is>
      </c>
      <c r="H31" s="4" t="n"/>
    </row>
    <row r="32" ht="15" customHeight="1">
      <c r="A32" s="4" t="n"/>
      <c r="B32" s="4" t="n"/>
      <c r="C32" s="4" t="n"/>
      <c r="H32" s="4" t="n"/>
    </row>
    <row r="33" ht="15" customHeight="1">
      <c r="A33" s="4" t="n"/>
      <c r="B33" s="8" t="inlineStr">
        <is>
          <t>Checks</t>
        </is>
      </c>
      <c r="C33" s="8" t="n"/>
      <c r="D33" s="8" t="n"/>
      <c r="E33" s="8" t="n"/>
      <c r="F33" s="8" t="n"/>
      <c r="G33" s="8" t="n"/>
      <c r="H33" s="4" t="n"/>
    </row>
    <row r="34" ht="15" customHeight="1">
      <c r="A34" s="4" t="n"/>
      <c r="B34" s="154" t="n"/>
      <c r="C34" s="154" t="n"/>
      <c r="D34" s="154" t="n"/>
      <c r="E34" s="154" t="n"/>
      <c r="F34" s="154" t="n"/>
      <c r="G34" s="154" t="n"/>
      <c r="H34" s="4" t="n"/>
    </row>
    <row r="35" ht="15" customHeight="1">
      <c r="A35" s="4" t="n"/>
      <c r="B35" s="154" t="n"/>
      <c r="C35" s="154" t="n"/>
      <c r="D35" s="154" t="n"/>
      <c r="E35" s="5" t="inlineStr">
        <is>
          <t>Partial year cap adjustment factor</t>
        </is>
      </c>
      <c r="F35" s="5" t="n"/>
      <c r="G35" s="155">
        <f>Inputs!I65</f>
        <v/>
      </c>
      <c r="H35" s="4" t="n"/>
    </row>
    <row r="36" ht="15" customHeight="1">
      <c r="A36" s="4" t="n"/>
      <c r="B36" s="154" t="n"/>
      <c r="C36" s="154" t="n"/>
      <c r="D36" s="154" t="n"/>
      <c r="E36" s="5" t="inlineStr">
        <is>
          <t>Partial year floor adjustment factor</t>
        </is>
      </c>
      <c r="F36" s="5" t="n"/>
      <c r="G36" s="155">
        <f>Inputs!I73</f>
        <v/>
      </c>
      <c r="H36" s="4" t="n"/>
    </row>
    <row r="37" ht="15" customHeight="1">
      <c r="A37" s="4" t="n"/>
      <c r="B37" s="154" t="n"/>
      <c r="C37" s="154" t="n"/>
      <c r="D37" s="154" t="n"/>
      <c r="E37" s="5" t="inlineStr">
        <is>
          <t>ORA start date</t>
        </is>
      </c>
      <c r="F37" s="5" t="n"/>
      <c r="G37" s="155">
        <f>Inputs!I160</f>
        <v/>
      </c>
      <c r="H37" s="4" t="n"/>
    </row>
    <row r="38" ht="15" customHeight="1">
      <c r="A38" s="4" t="n"/>
      <c r="B38" s="154" t="n"/>
      <c r="C38" s="154" t="n"/>
      <c r="D38" s="154" t="n"/>
      <c r="E38" s="5" t="inlineStr">
        <is>
          <t>No relevant inputs outside of operational period</t>
        </is>
      </c>
      <c r="F38" s="5" t="n"/>
      <c r="G38" s="155">
        <f>Inputs!I216</f>
        <v/>
      </c>
      <c r="H38" s="4" t="n"/>
    </row>
    <row r="39" ht="15" customHeight="1">
      <c r="A39" s="4" t="n"/>
      <c r="B39" s="154" t="n"/>
      <c r="C39" s="154" t="n"/>
      <c r="D39" s="154" t="n"/>
      <c r="E39" s="154" t="n"/>
      <c r="F39" s="154" t="n"/>
      <c r="G39" s="154" t="n"/>
      <c r="H39" s="4" t="n"/>
    </row>
    <row r="40" ht="15" customHeight="1">
      <c r="A40" s="4" t="n"/>
      <c r="B40" s="8" t="inlineStr">
        <is>
          <t>End of sheet</t>
        </is>
      </c>
      <c r="C40" s="8" t="n"/>
      <c r="D40" s="8" t="n"/>
      <c r="E40" s="8" t="n"/>
      <c r="F40" s="8" t="n"/>
      <c r="G40" s="8" t="n"/>
      <c r="H40" s="4" t="n"/>
    </row>
    <row r="41" ht="15" customHeight="1"/>
  </sheetData>
  <mergeCells count="1">
    <mergeCell ref="C4:G4"/>
  </mergeCells>
  <hyperlinks>
    <hyperlink ref="E22" location="Cover!A1" display="Cover"/>
    <hyperlink ref="E23" location="'Version Control'!A1" display="Version Control"/>
    <hyperlink ref="E24" location="Inputs!A1" display="Inputs"/>
    <hyperlink ref="E25" location="'Costs &amp; Revenue'!A1" display="Cost &amp; Revenue"/>
    <hyperlink ref="E26" location="'ORA Adjustment'!A1" display="ORA Adjustment"/>
    <hyperlink ref="E27" location="'DC Adjustment'!A1" display="DC Adjustment"/>
    <hyperlink ref="E28" location="Indexation!A1" display="Indexation!A1"/>
    <hyperlink ref="E29" location="Availability!A1" display="Availability"/>
    <hyperlink ref="E30" location="Assessment!A1" display="Assessment"/>
    <hyperlink ref="E31" location="'Revenue Adjustment'!A1" display="Revenue Adjustment"/>
  </hyperlinks>
  <pageMargins left="0.2362204724409449" right="0.2362204724409449" top="0.7480314960629921" bottom="0.7480314960629921" header="0.3149606299212598" footer="0.3149606299212598"/>
  <pageSetup orientation="portrait" paperSize="9" scale="87" fitToHeight="0"/>
  <drawing xmlns:r="http://schemas.openxmlformats.org/officeDocument/2006/relationships" r:id="rId1"/>
</worksheet>
</file>

<file path=xl/worksheets/sheet2.xml><?xml version="1.0" encoding="utf-8"?>
<worksheet xmlns="http://schemas.openxmlformats.org/spreadsheetml/2006/main">
  <sheetPr>
    <tabColor theme="5" tint="0.5999938962981048"/>
    <outlinePr summaryBelow="1" summaryRight="1"/>
    <pageSetUpPr/>
  </sheetPr>
  <dimension ref="A1:M14"/>
  <sheetViews>
    <sheetView zoomScaleNormal="100" workbookViewId="0">
      <pane ySplit="2" topLeftCell="A3" activePane="bottomLeft" state="frozen"/>
      <selection pane="bottomLeft" activeCell="B8" sqref="B8"/>
    </sheetView>
  </sheetViews>
  <sheetFormatPr baseColWidth="10" defaultColWidth="0" defaultRowHeight="13.25" customHeight="1" zeroHeight="1"/>
  <cols>
    <col width="2.59765625" customWidth="1" style="113" min="1" max="1"/>
    <col width="13.19921875" bestFit="1" customWidth="1" style="113" min="2" max="2"/>
    <col width="13.19921875" customWidth="1" style="113" min="3" max="4"/>
    <col width="15.59765625" customWidth="1" style="113" min="5" max="5"/>
    <col width="10.796875" bestFit="1" customWidth="1" style="113" min="6" max="6"/>
    <col width="19.59765625" customWidth="1" style="113" min="7" max="7"/>
    <col width="17.59765625" bestFit="1" customWidth="1" style="113" min="8" max="8"/>
    <col width="16.796875" bestFit="1" customWidth="1" style="113" min="9" max="9"/>
    <col width="15" bestFit="1" customWidth="1" style="113" min="10" max="10"/>
    <col width="16.796875" customWidth="1" style="113" min="11" max="11"/>
    <col width="14.59765625" bestFit="1" customWidth="1" style="113" min="12" max="12"/>
    <col width="2.59765625" customWidth="1" style="114" min="13" max="13"/>
    <col hidden="1" width="13" customWidth="1" style="113" min="14" max="16"/>
    <col hidden="1" width="10.796875" customWidth="1" style="113" min="17" max="17"/>
    <col hidden="1" width="10.796875" customWidth="1" style="113" min="18" max="16384"/>
  </cols>
  <sheetData>
    <row r="1" ht="14.5" customFormat="1" customHeight="1" s="128">
      <c r="A1" s="129" t="inlineStr">
        <is>
          <t>Version Control</t>
        </is>
      </c>
      <c r="B1" s="23" t="n"/>
      <c r="C1" s="23" t="n"/>
      <c r="D1" s="23" t="n"/>
      <c r="E1" s="23" t="n"/>
      <c r="F1" s="23" t="n"/>
      <c r="G1" s="23" t="n"/>
      <c r="H1" s="23" t="n"/>
      <c r="I1" s="23" t="n"/>
      <c r="J1" s="23" t="n"/>
      <c r="K1" s="23" t="n"/>
      <c r="L1" s="23" t="n"/>
      <c r="M1" s="127" t="n"/>
    </row>
    <row r="2" ht="54.75" customFormat="1" customHeight="1" s="112">
      <c r="A2" s="110" t="n"/>
      <c r="B2" s="159" t="inlineStr">
        <is>
          <t>Version number</t>
        </is>
      </c>
      <c r="C2" s="159" t="inlineStr">
        <is>
          <t>File pathname</t>
        </is>
      </c>
      <c r="D2" s="159" t="inlineStr">
        <is>
          <t>Based on version</t>
        </is>
      </c>
      <c r="E2" s="159" t="inlineStr">
        <is>
          <t>Author or editor</t>
        </is>
      </c>
      <c r="F2" s="159" t="inlineStr">
        <is>
          <t>Date</t>
        </is>
      </c>
      <c r="G2" s="159" t="inlineStr">
        <is>
          <t>Description of changes</t>
        </is>
      </c>
      <c r="H2" s="159" t="inlineStr">
        <is>
          <t>Rationale for changes</t>
        </is>
      </c>
      <c r="I2" s="159" t="inlineStr">
        <is>
          <t>Location of changes</t>
        </is>
      </c>
      <c r="J2" s="159" t="inlineStr">
        <is>
          <t>Impact of changes on outputs</t>
        </is>
      </c>
      <c r="K2" s="159" t="inlineStr">
        <is>
          <t>Quality assurance performed? By?</t>
        </is>
      </c>
      <c r="L2" s="159" t="inlineStr">
        <is>
          <t>Comments on QA performed</t>
        </is>
      </c>
      <c r="M2" s="111" t="n"/>
    </row>
    <row r="3" ht="13" customHeight="1">
      <c r="B3" s="115" t="n"/>
      <c r="C3" s="115" t="n"/>
      <c r="D3" s="115" t="n"/>
      <c r="E3" s="115" t="n"/>
      <c r="F3" s="115" t="n"/>
      <c r="G3" s="115" t="n"/>
      <c r="H3" s="115" t="n"/>
      <c r="I3" s="115" t="n"/>
      <c r="J3" s="115" t="n"/>
      <c r="K3" s="115" t="n"/>
      <c r="L3" s="115" t="n"/>
    </row>
    <row r="4" ht="39" customHeight="1">
      <c r="B4" s="156" t="n">
        <v>1</v>
      </c>
      <c r="C4" s="170" t="n"/>
      <c r="D4" s="109" t="inlineStr">
        <is>
          <t>N/a</t>
        </is>
      </c>
      <c r="E4" s="105" t="inlineStr">
        <is>
          <t>Andrew Stone &amp; Neill Aitken (NGV)</t>
        </is>
      </c>
      <c r="F4" s="106" t="n"/>
      <c r="G4" s="117" t="inlineStr">
        <is>
          <t>New model</t>
        </is>
      </c>
      <c r="H4" s="117" t="inlineStr">
        <is>
          <t>N/a</t>
        </is>
      </c>
      <c r="I4" s="118" t="inlineStr">
        <is>
          <t>N/a</t>
        </is>
      </c>
      <c r="J4" s="117" t="inlineStr">
        <is>
          <t>N/a</t>
        </is>
      </c>
      <c r="K4" s="117" t="inlineStr">
        <is>
          <t>N/a</t>
        </is>
      </c>
      <c r="L4" s="117" t="inlineStr">
        <is>
          <t>N/a</t>
        </is>
      </c>
    </row>
    <row r="5" ht="52" customHeight="1">
      <c r="B5" s="104" t="n">
        <v>1.1</v>
      </c>
      <c r="C5" s="170" t="n"/>
      <c r="D5" s="157" t="n">
        <v>1</v>
      </c>
      <c r="E5" s="105" t="inlineStr">
        <is>
          <t>Martin Namor</t>
        </is>
      </c>
      <c r="F5" s="106" t="n">
        <v>43651</v>
      </c>
      <c r="G5" s="117" t="inlineStr">
        <is>
          <t>CFFM1 and CFFM2 split out of original CFFM</t>
        </is>
      </c>
      <c r="H5" s="117" t="inlineStr">
        <is>
          <t>Reviewing and improving CFFM</t>
        </is>
      </c>
      <c r="I5" s="118" t="inlineStr">
        <is>
          <t>N/a</t>
        </is>
      </c>
      <c r="J5" s="117" t="inlineStr">
        <is>
          <t>No</t>
        </is>
      </c>
      <c r="K5" s="117" t="inlineStr">
        <is>
          <t>Nick Clitheroe &amp; Tadeos Shahbazia (GAD)</t>
        </is>
      </c>
      <c r="L5" s="117" t="inlineStr">
        <is>
          <t>Multiple high, medium and low priority issues identified</t>
        </is>
      </c>
    </row>
    <row r="6" ht="65" customHeight="1">
      <c r="B6" s="104" t="n">
        <v>1.2</v>
      </c>
      <c r="C6" s="170" t="n"/>
      <c r="D6" s="109" t="n">
        <v>1.1</v>
      </c>
      <c r="E6" s="105" t="inlineStr">
        <is>
          <t>Martin Namor</t>
        </is>
      </c>
      <c r="F6" s="106" t="n">
        <v>43713</v>
      </c>
      <c r="G6" s="117" t="inlineStr">
        <is>
          <t>Multiple structural changes</t>
        </is>
      </c>
      <c r="H6" s="117" t="inlineStr">
        <is>
          <t>Addressing main concerns raised by GAD</t>
        </is>
      </c>
      <c r="I6" s="118" t="inlineStr">
        <is>
          <t>Multiple sheets</t>
        </is>
      </c>
      <c r="J6" s="117" t="inlineStr">
        <is>
          <t>Potential</t>
        </is>
      </c>
      <c r="K6" s="117" t="inlineStr">
        <is>
          <t>Nick Clitheroe &amp; Tadeos Shahbazia (GAD), Svitlana Voronkova (ORE)</t>
        </is>
      </c>
      <c r="L6" s="117" t="inlineStr">
        <is>
          <t>High and main medium priority issues addressed satisfactorily</t>
        </is>
      </c>
    </row>
    <row r="7" ht="78" customHeight="1">
      <c r="B7" s="104" t="n">
        <v>1.3</v>
      </c>
      <c r="C7" s="104" t="n"/>
      <c r="D7" s="109" t="n">
        <v>1.2</v>
      </c>
      <c r="E7" s="105" t="inlineStr">
        <is>
          <t>Martin Namor</t>
        </is>
      </c>
      <c r="F7" s="106" t="n">
        <v>43803</v>
      </c>
      <c r="G7" s="117" t="inlineStr">
        <is>
          <t>Multiple presentational changes</t>
        </is>
      </c>
      <c r="H7" s="117" t="inlineStr">
        <is>
          <t>Addressing medium and minor concerns raised by GAD</t>
        </is>
      </c>
      <c r="I7" s="118" t="inlineStr">
        <is>
          <t>Multiple sheets</t>
        </is>
      </c>
      <c r="J7" s="117" t="inlineStr">
        <is>
          <t>No</t>
        </is>
      </c>
      <c r="K7" s="117" t="inlineStr">
        <is>
          <t>Svitlana Voronkova (ORE)</t>
        </is>
      </c>
      <c r="L7" s="117" t="inlineStr">
        <is>
          <t>Remaining medium and low priority issues addressed satisfactorily</t>
        </is>
      </c>
    </row>
    <row r="8" ht="156" customHeight="1">
      <c r="B8" s="104" t="n">
        <v>1.4</v>
      </c>
      <c r="C8" s="104" t="n"/>
      <c r="D8" s="109" t="n">
        <v>1.3</v>
      </c>
      <c r="E8" s="105" t="inlineStr">
        <is>
          <t>Vanessa Simpson &amp; Neill Aitken (NGV)</t>
        </is>
      </c>
      <c r="F8" s="106" t="n">
        <v>44743</v>
      </c>
      <c r="G8" s="117" t="inlineStr">
        <is>
          <t xml:space="preserve">Costs transferred from IFA2CFFM1. Changes made to reflect IFA2 operational years. Replaced RPI inflation value with actual RPI inflation value. Changes made to reflect that IFA2 is a single currency  project. </t>
        </is>
      </c>
      <c r="H8" s="117" t="inlineStr">
        <is>
          <t>Implementing the model for IFA2</t>
        </is>
      </c>
      <c r="I8" s="118" t="inlineStr">
        <is>
          <t>Multiple Sheets</t>
        </is>
      </c>
      <c r="J8" s="117" t="inlineStr">
        <is>
          <t>Medium</t>
        </is>
      </c>
      <c r="K8" s="117" t="inlineStr">
        <is>
          <t>Internal (ORE - Rahmatullah Kawsary)</t>
        </is>
      </c>
      <c r="L8" s="117" t="inlineStr">
        <is>
          <t>Comments reflected in version 1.4</t>
        </is>
      </c>
    </row>
    <row r="9" ht="13" customHeight="1">
      <c r="B9" s="104" t="n"/>
      <c r="C9" s="104" t="n"/>
      <c r="D9" s="109" t="n"/>
      <c r="E9" s="105" t="n"/>
      <c r="F9" s="106" t="n"/>
      <c r="G9" s="104" t="n"/>
      <c r="H9" s="104" t="n"/>
      <c r="I9" s="107" t="n"/>
      <c r="J9" s="104" t="n"/>
      <c r="K9" s="117" t="n"/>
      <c r="L9" s="117" t="n"/>
    </row>
    <row r="10" ht="13" customHeight="1">
      <c r="B10" s="104" t="n"/>
      <c r="C10" s="104" t="n"/>
      <c r="D10" s="109" t="n"/>
      <c r="E10" s="105" t="n"/>
      <c r="F10" s="106" t="n"/>
      <c r="G10" s="104" t="n"/>
      <c r="H10" s="104" t="n"/>
      <c r="I10" s="107" t="n"/>
      <c r="J10" s="104" t="n"/>
      <c r="K10" s="117" t="n"/>
      <c r="L10" s="117" t="n"/>
    </row>
    <row r="11" ht="13" customHeight="1">
      <c r="B11" s="104" t="n"/>
      <c r="C11" s="104" t="n"/>
      <c r="D11" s="109" t="n"/>
      <c r="E11" s="105" t="n"/>
      <c r="F11" s="106" t="n"/>
      <c r="G11" s="104" t="n"/>
      <c r="H11" s="104" t="n"/>
      <c r="I11" s="107" t="n"/>
      <c r="J11" s="104" t="n"/>
      <c r="K11" s="117" t="n"/>
      <c r="L11" s="117" t="n"/>
    </row>
    <row r="12" ht="13" customHeight="1">
      <c r="B12" s="104" t="n"/>
      <c r="C12" s="104" t="n"/>
      <c r="D12" s="109" t="n"/>
      <c r="E12" s="105" t="n"/>
      <c r="F12" s="106" t="n"/>
      <c r="G12" s="104" t="n"/>
      <c r="H12" s="104" t="n"/>
      <c r="I12" s="107" t="n"/>
      <c r="J12" s="104" t="n"/>
      <c r="K12" s="117" t="n"/>
      <c r="L12" s="117" t="n"/>
    </row>
    <row r="13" ht="13" customHeight="1">
      <c r="B13" s="104" t="n"/>
      <c r="C13" s="104" t="n"/>
      <c r="D13" s="109" t="n"/>
      <c r="E13" s="105" t="n"/>
      <c r="F13" s="106" t="n"/>
      <c r="G13" s="104" t="n"/>
      <c r="H13" s="104" t="n"/>
      <c r="I13" s="107" t="n"/>
      <c r="J13" s="104" t="n"/>
      <c r="K13" s="117" t="n"/>
      <c r="L13" s="117" t="n"/>
    </row>
    <row r="14" ht="13.25" customHeight="1">
      <c r="B14" s="108" t="n"/>
      <c r="C14" s="108" t="n"/>
      <c r="D14" s="108" t="n"/>
      <c r="E14" s="108" t="n"/>
      <c r="F14" s="108" t="n"/>
      <c r="G14" s="108" t="n"/>
      <c r="H14" s="108" t="n"/>
      <c r="I14" s="108" t="n"/>
      <c r="J14" s="108" t="n"/>
      <c r="K14" s="158" t="n"/>
      <c r="L14" s="158" t="n"/>
    </row>
    <row r="15" ht="13" customHeight="1"/>
    <row r="16" hidden="1" ht="13" customHeight="1"/>
    <row r="17" hidden="1" ht="13" customHeight="1"/>
  </sheetData>
  <pageMargins left="0.7" right="0.7" top="0.75" bottom="0.75" header="0.3" footer="0.3"/>
  <pageSetup orientation="portrait" paperSize="9"/>
</worksheet>
</file>

<file path=xl/worksheets/sheet3.xml><?xml version="1.0" encoding="utf-8"?>
<worksheet xmlns="http://schemas.openxmlformats.org/spreadsheetml/2006/main">
  <sheetPr codeName="Sheet1">
    <tabColor rgb="FFFFFFCC"/>
    <outlinePr summaryBelow="1" summaryRight="1"/>
    <pageSetUpPr fitToPage="1"/>
  </sheetPr>
  <dimension ref="A1:BF218"/>
  <sheetViews>
    <sheetView tabSelected="1" zoomScaleNormal="100" workbookViewId="0">
      <pane xSplit="10" ySplit="5" topLeftCell="AF192" activePane="bottomRight" state="frozen"/>
      <selection pane="topRight" activeCell="A1" sqref="A1"/>
      <selection pane="bottomLeft" activeCell="A1" sqref="A1"/>
      <selection pane="bottomRight" activeCell="I216" sqref="I216"/>
    </sheetView>
  </sheetViews>
  <sheetFormatPr baseColWidth="10" defaultColWidth="0" defaultRowHeight="15" customHeight="1" zeroHeight="1"/>
  <cols>
    <col width="2.59765625" customWidth="1" style="21" min="1" max="4"/>
    <col width="73.59765625" bestFit="1" customWidth="1" style="21" min="5" max="5"/>
    <col width="1.59765625" customWidth="1" style="21" min="6" max="6"/>
    <col width="18.59765625" customWidth="1" style="21" min="7" max="7"/>
    <col width="20.3984375" customWidth="1" style="21" min="8" max="8"/>
    <col width="17" customWidth="1" style="21" min="9" max="9"/>
    <col width="1.59765625" customWidth="1" style="21" min="10" max="10"/>
    <col width="6.3984375" customWidth="1" style="21" min="11" max="11"/>
    <col width="1.59765625" customWidth="1" style="21" min="12" max="14"/>
    <col width="10.59765625" customWidth="1" style="21" min="15" max="35"/>
    <col width="11" customWidth="1" style="21" min="36" max="37"/>
    <col width="10.59765625" customWidth="1" style="21" min="38" max="54"/>
    <col width="2.59765625" customWidth="1" style="21" min="55" max="55"/>
    <col hidden="1" width="9" customWidth="1" style="21" min="56" max="57"/>
    <col hidden="1" width="13" customWidth="1" style="21" min="58" max="58"/>
    <col hidden="1" width="9" customWidth="1" style="21" min="59" max="59"/>
    <col hidden="1" width="9" customWidth="1" style="21" min="60" max="16384"/>
  </cols>
  <sheetData>
    <row r="1" ht="14.5" customFormat="1" customHeight="1" s="10">
      <c r="A1" s="126" t="inlineStr">
        <is>
          <t>Inputs</t>
        </is>
      </c>
      <c r="H1" s="9" t="inlineStr">
        <is>
          <t>Licence</t>
        </is>
      </c>
      <c r="J1" s="61" t="n"/>
      <c r="K1" s="61" t="n"/>
      <c r="L1" s="61" t="n"/>
      <c r="M1" s="61" t="n"/>
      <c r="N1" s="61" t="n"/>
      <c r="O1" s="61" t="n"/>
      <c r="P1" s="61" t="n"/>
      <c r="Q1" s="61" t="n"/>
      <c r="R1" s="61" t="n"/>
      <c r="S1" s="61" t="n"/>
      <c r="T1" s="61" t="n"/>
      <c r="U1" s="61" t="n"/>
      <c r="V1" s="61" t="n"/>
      <c r="W1" s="61" t="n"/>
      <c r="X1" s="61" t="n"/>
      <c r="Y1" s="61" t="n"/>
      <c r="Z1" s="61" t="n"/>
      <c r="AA1" s="61" t="n"/>
      <c r="AB1" s="61" t="n"/>
      <c r="AC1" s="61" t="n"/>
      <c r="AD1" s="61" t="n"/>
      <c r="AE1" s="61" t="n"/>
      <c r="AF1" s="61" t="n"/>
      <c r="AG1" s="61" t="n"/>
      <c r="AH1" s="61" t="n"/>
      <c r="AI1" s="61" t="n"/>
      <c r="AJ1" s="61" t="n"/>
    </row>
    <row r="2" ht="15" customFormat="1" customHeight="1" s="10">
      <c r="E2" s="9" t="inlineStr">
        <is>
          <t>Parameter</t>
        </is>
      </c>
      <c r="F2" s="9" t="n"/>
      <c r="G2" s="9" t="inlineStr">
        <is>
          <t>Units</t>
        </is>
      </c>
      <c r="H2" s="9" t="inlineStr">
        <is>
          <t>Terminology</t>
        </is>
      </c>
      <c r="I2" s="13" t="inlineStr">
        <is>
          <t>Constant</t>
        </is>
      </c>
      <c r="O2" s="9" t="inlineStr">
        <is>
          <t>Annual values</t>
        </is>
      </c>
    </row>
    <row r="3" ht="15" customFormat="1" customHeight="1" s="10">
      <c r="E3" s="52" t="inlineStr">
        <is>
          <t>Year commencing</t>
        </is>
      </c>
      <c r="F3" s="9" t="n"/>
      <c r="G3" s="9" t="n"/>
      <c r="H3" s="9" t="n"/>
      <c r="I3" s="9" t="n"/>
      <c r="O3" s="164">
        <f>I20</f>
        <v/>
      </c>
      <c r="P3" s="165">
        <f>O4+1</f>
        <v/>
      </c>
      <c r="Q3" s="165">
        <f>P4+1</f>
        <v/>
      </c>
      <c r="R3" s="165">
        <f>Q4+1</f>
        <v/>
      </c>
      <c r="S3" s="165">
        <f>R4+1</f>
        <v/>
      </c>
      <c r="T3" s="165">
        <f>S4+1</f>
        <v/>
      </c>
      <c r="U3" s="165">
        <f>T4+1</f>
        <v/>
      </c>
      <c r="V3" s="165">
        <f>U4+1</f>
        <v/>
      </c>
      <c r="W3" s="165">
        <f>V4+1</f>
        <v/>
      </c>
      <c r="X3" s="165">
        <f>W4+1</f>
        <v/>
      </c>
      <c r="Y3" s="165">
        <f>X4+1</f>
        <v/>
      </c>
      <c r="Z3" s="165">
        <f>Y4+1</f>
        <v/>
      </c>
      <c r="AA3" s="165">
        <f>Z4+1</f>
        <v/>
      </c>
      <c r="AB3" s="165">
        <f>AA4+1</f>
        <v/>
      </c>
      <c r="AC3" s="165">
        <f>AB4+1</f>
        <v/>
      </c>
      <c r="AD3" s="165">
        <f>AC4+1</f>
        <v/>
      </c>
      <c r="AE3" s="165">
        <f>AD4+1</f>
        <v/>
      </c>
      <c r="AF3" s="165">
        <f>AE4+1</f>
        <v/>
      </c>
      <c r="AG3" s="165">
        <f>AF4+1</f>
        <v/>
      </c>
      <c r="AH3" s="165">
        <f>AG4+1</f>
        <v/>
      </c>
      <c r="AI3" s="165">
        <f>AH4+1</f>
        <v/>
      </c>
      <c r="AJ3" s="165">
        <f>AI4+1</f>
        <v/>
      </c>
      <c r="AK3" s="165">
        <f>AJ4+1</f>
        <v/>
      </c>
      <c r="AL3" s="165">
        <f>AK4+1</f>
        <v/>
      </c>
      <c r="AM3" s="165">
        <f>AL4+1</f>
        <v/>
      </c>
      <c r="AN3" s="165">
        <f>AM4+1</f>
        <v/>
      </c>
      <c r="AO3" s="165">
        <f>AN4+1</f>
        <v/>
      </c>
      <c r="AP3" s="165">
        <f>AO4+1</f>
        <v/>
      </c>
      <c r="AQ3" s="165">
        <f>AP4+1</f>
        <v/>
      </c>
      <c r="AR3" s="165">
        <f>AQ4+1</f>
        <v/>
      </c>
      <c r="AS3" s="165">
        <f>AR4+1</f>
        <v/>
      </c>
      <c r="AT3" s="165">
        <f>AS4+1</f>
        <v/>
      </c>
      <c r="AU3" s="165">
        <f>AT4+1</f>
        <v/>
      </c>
      <c r="AV3" s="165">
        <f>AU4+1</f>
        <v/>
      </c>
      <c r="AW3" s="165">
        <f>AV4+1</f>
        <v/>
      </c>
      <c r="AX3" s="165">
        <f>AW4+1</f>
        <v/>
      </c>
      <c r="AY3" s="165">
        <f>AX4+1</f>
        <v/>
      </c>
      <c r="AZ3" s="165">
        <f>AY4+1</f>
        <v/>
      </c>
      <c r="BA3" s="165">
        <f>AZ4+1</f>
        <v/>
      </c>
      <c r="BB3" s="165">
        <f>BA4+1</f>
        <v/>
      </c>
    </row>
    <row r="4" ht="15" customFormat="1" customHeight="1" s="52">
      <c r="E4" s="52" t="inlineStr">
        <is>
          <t>Year ending</t>
        </is>
      </c>
      <c r="O4" s="164">
        <f>EOMONTH(O3,11)</f>
        <v/>
      </c>
      <c r="P4" s="165">
        <f>EOMONTH(P3,11)</f>
        <v/>
      </c>
      <c r="Q4" s="165">
        <f>EOMONTH(Q3,11)</f>
        <v/>
      </c>
      <c r="R4" s="165">
        <f>EOMONTH(R3,11)</f>
        <v/>
      </c>
      <c r="S4" s="165">
        <f>EOMONTH(S3,11)</f>
        <v/>
      </c>
      <c r="T4" s="165">
        <f>EOMONTH(T3,11)</f>
        <v/>
      </c>
      <c r="U4" s="165">
        <f>EOMONTH(U3,11)</f>
        <v/>
      </c>
      <c r="V4" s="165">
        <f>EOMONTH(V3,11)</f>
        <v/>
      </c>
      <c r="W4" s="165">
        <f>EOMONTH(W3,11)</f>
        <v/>
      </c>
      <c r="X4" s="165">
        <f>EOMONTH(X3,11)</f>
        <v/>
      </c>
      <c r="Y4" s="165">
        <f>EOMONTH(Y3,11)</f>
        <v/>
      </c>
      <c r="Z4" s="165">
        <f>EOMONTH(Z3,11)</f>
        <v/>
      </c>
      <c r="AA4" s="165">
        <f>EOMONTH(AA3,11)</f>
        <v/>
      </c>
      <c r="AB4" s="165">
        <f>EOMONTH(AB3,11)</f>
        <v/>
      </c>
      <c r="AC4" s="165">
        <f>EOMONTH(AC3,11)</f>
        <v/>
      </c>
      <c r="AD4" s="165">
        <f>EOMONTH(AD3,11)</f>
        <v/>
      </c>
      <c r="AE4" s="165">
        <f>EOMONTH(AE3,11)</f>
        <v/>
      </c>
      <c r="AF4" s="165">
        <f>EOMONTH(AF3,11)</f>
        <v/>
      </c>
      <c r="AG4" s="165">
        <f>EOMONTH(AG3,11)</f>
        <v/>
      </c>
      <c r="AH4" s="165">
        <f>EOMONTH(AH3,11)</f>
        <v/>
      </c>
      <c r="AI4" s="165">
        <f>EOMONTH(AI3,11)</f>
        <v/>
      </c>
      <c r="AJ4" s="165">
        <f>EOMONTH(AJ3,11)</f>
        <v/>
      </c>
      <c r="AK4" s="165">
        <f>EOMONTH(AK3,11)</f>
        <v/>
      </c>
      <c r="AL4" s="165">
        <f>EOMONTH(AL3,11)</f>
        <v/>
      </c>
      <c r="AM4" s="165">
        <f>EOMONTH(AM3,11)</f>
        <v/>
      </c>
      <c r="AN4" s="165">
        <f>EOMONTH(AN3,11)</f>
        <v/>
      </c>
      <c r="AO4" s="165">
        <f>EOMONTH(AO3,11)</f>
        <v/>
      </c>
      <c r="AP4" s="165">
        <f>EOMONTH(AP3,11)</f>
        <v/>
      </c>
      <c r="AQ4" s="165">
        <f>EOMONTH(AQ3,11)</f>
        <v/>
      </c>
      <c r="AR4" s="165">
        <f>EOMONTH(AR3,11)</f>
        <v/>
      </c>
      <c r="AS4" s="165">
        <f>EOMONTH(AS3,11)</f>
        <v/>
      </c>
      <c r="AT4" s="165">
        <f>EOMONTH(AT3,11)</f>
        <v/>
      </c>
      <c r="AU4" s="165">
        <f>EOMONTH(AU3,11)</f>
        <v/>
      </c>
      <c r="AV4" s="165">
        <f>EOMONTH(AV3,11)</f>
        <v/>
      </c>
      <c r="AW4" s="165">
        <f>EOMONTH(AW3,11)</f>
        <v/>
      </c>
      <c r="AX4" s="165">
        <f>EOMONTH(AX3,11)</f>
        <v/>
      </c>
      <c r="AY4" s="165">
        <f>EOMONTH(AY3,11)</f>
        <v/>
      </c>
      <c r="AZ4" s="165">
        <f>EOMONTH(AZ3,11)</f>
        <v/>
      </c>
      <c r="BA4" s="165">
        <f>EOMONTH(BA3,11)</f>
        <v/>
      </c>
      <c r="BB4" s="165">
        <f>EOMONTH(BB3,11)</f>
        <v/>
      </c>
    </row>
    <row r="5" ht="15" customFormat="1" customHeight="1" s="52">
      <c r="E5" s="52" t="inlineStr">
        <is>
          <t>Operational year</t>
        </is>
      </c>
      <c r="O5" s="166" t="n">
        <v>0</v>
      </c>
      <c r="P5" s="166">
        <f>+O5+1</f>
        <v/>
      </c>
      <c r="Q5" s="166">
        <f>+P5+1</f>
        <v/>
      </c>
      <c r="R5" s="166">
        <f>+Q5+1</f>
        <v/>
      </c>
      <c r="S5" s="166">
        <f>+R5+1</f>
        <v/>
      </c>
      <c r="T5" s="166">
        <f>+S5+1</f>
        <v/>
      </c>
      <c r="U5" s="166">
        <f>+T5+1</f>
        <v/>
      </c>
      <c r="V5" s="166">
        <f>+U5+1</f>
        <v/>
      </c>
      <c r="W5" s="166">
        <f>+V5+1</f>
        <v/>
      </c>
      <c r="X5" s="166">
        <f>+W5+1</f>
        <v/>
      </c>
      <c r="Y5" s="166">
        <f>+X5+1</f>
        <v/>
      </c>
      <c r="Z5" s="166">
        <f>+Y5+1</f>
        <v/>
      </c>
      <c r="AA5" s="166">
        <f>+Z5+1</f>
        <v/>
      </c>
      <c r="AB5" s="166">
        <f>+AA5+1</f>
        <v/>
      </c>
      <c r="AC5" s="166">
        <f>+AB5+1</f>
        <v/>
      </c>
      <c r="AD5" s="166">
        <f>+AC5+1</f>
        <v/>
      </c>
      <c r="AE5" s="166">
        <f>+AD5+1</f>
        <v/>
      </c>
      <c r="AF5" s="166">
        <f>+AE5+1</f>
        <v/>
      </c>
      <c r="AG5" s="166">
        <f>+AF5+1</f>
        <v/>
      </c>
      <c r="AH5" s="166">
        <f>+AG5+1</f>
        <v/>
      </c>
      <c r="AI5" s="166">
        <f>+AH5+1</f>
        <v/>
      </c>
      <c r="AJ5" s="166">
        <f>+AI5+1</f>
        <v/>
      </c>
      <c r="AK5" s="166">
        <f>+AJ5+1</f>
        <v/>
      </c>
      <c r="AL5" s="166">
        <f>+AK5+1</f>
        <v/>
      </c>
      <c r="AM5" s="166">
        <f>+AL5+1</f>
        <v/>
      </c>
      <c r="AN5" s="166">
        <f>+AM5+1</f>
        <v/>
      </c>
      <c r="AO5" s="166">
        <f>+AN5+1</f>
        <v/>
      </c>
      <c r="AP5" s="166">
        <f>+AO5+1</f>
        <v/>
      </c>
      <c r="AQ5" s="166">
        <f>+AP5+1</f>
        <v/>
      </c>
      <c r="AR5" s="166">
        <f>+AQ5+1</f>
        <v/>
      </c>
      <c r="AS5" s="166">
        <f>+AR5+1</f>
        <v/>
      </c>
      <c r="AT5" s="166">
        <f>+AS5+1</f>
        <v/>
      </c>
      <c r="AU5" s="166">
        <f>+AT5+1</f>
        <v/>
      </c>
      <c r="AV5" s="166">
        <f>+AU5+1</f>
        <v/>
      </c>
      <c r="AW5" s="166">
        <f>+AV5+1</f>
        <v/>
      </c>
      <c r="AX5" s="166">
        <f>+AW5+1</f>
        <v/>
      </c>
      <c r="AY5" s="166">
        <f>+AX5+1</f>
        <v/>
      </c>
      <c r="AZ5" s="166">
        <f>+AY5+1</f>
        <v/>
      </c>
      <c r="BA5" s="166">
        <f>+AZ5+1</f>
        <v/>
      </c>
      <c r="BB5" s="166">
        <f>+BA5+1</f>
        <v/>
      </c>
    </row>
    <row r="6" ht="15" customHeight="1"/>
    <row r="7" ht="15" customHeight="1">
      <c r="B7" s="75" t="inlineStr">
        <is>
          <t>Items transferred from CFFM1</t>
        </is>
      </c>
      <c r="C7" s="75" t="n"/>
      <c r="D7" s="75" t="n"/>
      <c r="E7" s="75" t="n"/>
      <c r="F7" s="75" t="n"/>
      <c r="G7" s="75" t="n"/>
      <c r="H7" s="75" t="n"/>
      <c r="I7" s="75" t="n"/>
      <c r="J7" s="75" t="n"/>
      <c r="K7" s="75" t="n"/>
      <c r="L7" s="75" t="n"/>
      <c r="M7" s="75" t="n"/>
      <c r="N7" s="75" t="n"/>
      <c r="O7" s="75" t="n"/>
      <c r="P7" s="75" t="n"/>
      <c r="Q7" s="75" t="n"/>
      <c r="R7" s="75" t="n"/>
      <c r="S7" s="75" t="n"/>
      <c r="T7" s="75" t="n"/>
      <c r="U7" s="75" t="n"/>
      <c r="V7" s="75" t="n"/>
      <c r="W7" s="75" t="n"/>
      <c r="X7" s="75" t="n"/>
      <c r="Y7" s="75" t="n"/>
      <c r="Z7" s="75" t="n"/>
      <c r="AA7" s="75" t="n"/>
      <c r="AB7" s="75" t="n"/>
      <c r="AC7" s="75" t="n"/>
      <c r="AD7" s="75" t="n"/>
      <c r="AE7" s="75" t="n"/>
      <c r="AF7" s="75" t="n"/>
      <c r="AG7" s="75" t="n"/>
      <c r="AH7" s="75" t="n"/>
      <c r="AI7" s="75" t="n"/>
      <c r="AJ7" s="75" t="n"/>
      <c r="AK7" s="75" t="n"/>
      <c r="AL7" s="75" t="n"/>
      <c r="AM7" s="75" t="n"/>
      <c r="AN7" s="75" t="n"/>
      <c r="AO7" s="75" t="n"/>
      <c r="AP7" s="75" t="n"/>
      <c r="AQ7" s="75" t="n"/>
      <c r="AR7" s="75" t="n"/>
      <c r="AS7" s="75" t="n"/>
      <c r="AT7" s="75" t="n"/>
      <c r="AU7" s="75" t="n"/>
      <c r="AV7" s="75" t="n"/>
      <c r="AW7" s="75" t="n"/>
      <c r="AX7" s="75" t="n"/>
      <c r="AY7" s="75" t="n"/>
      <c r="AZ7" s="75" t="n"/>
      <c r="BA7" s="75" t="n"/>
      <c r="BB7" s="75" t="n"/>
    </row>
    <row r="8" ht="15" customHeight="1"/>
    <row r="9" ht="15" customFormat="1" customHeight="1" s="63">
      <c r="C9" s="40" t="inlineStr">
        <is>
          <t>Base year and currency</t>
        </is>
      </c>
      <c r="D9" s="42" t="n"/>
      <c r="E9" s="42" t="n"/>
      <c r="F9" s="42" t="n"/>
      <c r="G9" s="42" t="n"/>
      <c r="H9" s="42" t="n"/>
      <c r="I9" s="42" t="n"/>
      <c r="J9" s="42" t="n"/>
      <c r="K9" s="42" t="n"/>
      <c r="L9" s="42" t="n"/>
      <c r="M9" s="42" t="n"/>
      <c r="N9" s="42" t="n"/>
      <c r="O9" s="42" t="n"/>
      <c r="P9" s="42" t="n"/>
      <c r="Q9" s="42" t="n"/>
      <c r="R9" s="42" t="n"/>
      <c r="S9" s="42" t="n"/>
      <c r="T9" s="42" t="n"/>
      <c r="U9" s="42" t="n"/>
      <c r="V9" s="42" t="n"/>
      <c r="W9" s="42" t="n"/>
      <c r="X9" s="42" t="n"/>
      <c r="Y9" s="42" t="n"/>
      <c r="Z9" s="42" t="n"/>
      <c r="AA9" s="42" t="n"/>
      <c r="AB9" s="42" t="n"/>
      <c r="AC9" s="42" t="n"/>
      <c r="AD9" s="42" t="n"/>
      <c r="AE9" s="42" t="n"/>
      <c r="AF9" s="42" t="n"/>
      <c r="AG9" s="42" t="n"/>
      <c r="AH9" s="42" t="n"/>
      <c r="AI9" s="42" t="n"/>
      <c r="AJ9" s="42" t="n"/>
      <c r="AK9" s="42" t="n"/>
      <c r="AL9" s="42" t="n"/>
      <c r="AM9" s="42" t="n"/>
      <c r="AN9" s="42" t="n"/>
      <c r="AO9" s="42" t="n"/>
      <c r="AP9" s="42" t="n"/>
      <c r="AQ9" s="42" t="n"/>
      <c r="AR9" s="42" t="n"/>
      <c r="AS9" s="42" t="n"/>
      <c r="AT9" s="42" t="n"/>
      <c r="AU9" s="42" t="n"/>
      <c r="AV9" s="42" t="n"/>
      <c r="AW9" s="42" t="n"/>
      <c r="AX9" s="42" t="n"/>
      <c r="AY9" s="42" t="n"/>
      <c r="AZ9" s="42" t="n"/>
      <c r="BA9" s="42" t="n"/>
      <c r="BB9" s="42" t="n"/>
    </row>
    <row r="10" ht="15" customHeight="1"/>
    <row r="11" ht="15" customHeight="1">
      <c r="E11" s="21" t="inlineStr">
        <is>
          <t>Base year price term</t>
        </is>
      </c>
      <c r="I11" s="131" t="inlineStr">
        <is>
          <t>£m 2024 CPIH prices</t>
        </is>
      </c>
    </row>
    <row r="12" ht="15" customHeight="1"/>
    <row r="13" ht="15" customHeight="1">
      <c r="E13" s="21" t="inlineStr">
        <is>
          <t>Currency of revenue and cost inputs</t>
        </is>
      </c>
      <c r="I13" s="131" t="inlineStr">
        <is>
          <t>£</t>
        </is>
      </c>
    </row>
    <row r="14" ht="15" customHeight="1"/>
    <row r="15" ht="15" customFormat="1" customHeight="1" s="5">
      <c r="C15" s="40" t="inlineStr">
        <is>
          <t>Model operation</t>
        </is>
      </c>
      <c r="D15" s="40" t="n"/>
      <c r="E15" s="40" t="n"/>
      <c r="F15" s="40" t="n"/>
      <c r="G15" s="40" t="n"/>
      <c r="H15" s="40" t="n"/>
      <c r="I15" s="40" t="n"/>
      <c r="J15" s="40" t="n"/>
      <c r="K15" s="40" t="n"/>
      <c r="L15" s="40" t="n"/>
      <c r="M15" s="40" t="n"/>
      <c r="N15" s="40" t="n"/>
      <c r="O15" s="40" t="n"/>
      <c r="P15" s="40" t="n"/>
      <c r="Q15" s="40" t="n"/>
      <c r="R15" s="40" t="n"/>
      <c r="S15" s="40" t="n"/>
      <c r="T15" s="40" t="n"/>
      <c r="U15" s="40" t="n"/>
      <c r="V15" s="40" t="n"/>
      <c r="W15" s="40" t="n"/>
      <c r="X15" s="40" t="n"/>
      <c r="Y15" s="40" t="n"/>
      <c r="Z15" s="40" t="n"/>
      <c r="AA15" s="40" t="n"/>
      <c r="AB15" s="40" t="n"/>
      <c r="AC15" s="40" t="n"/>
      <c r="AD15" s="40" t="n"/>
      <c r="AE15" s="40" t="n"/>
      <c r="AF15" s="40" t="n"/>
      <c r="AG15" s="40" t="n"/>
      <c r="AH15" s="40" t="n"/>
      <c r="AI15" s="40" t="n"/>
      <c r="AJ15" s="40" t="n"/>
      <c r="AK15" s="40" t="n"/>
      <c r="AL15" s="40" t="n"/>
      <c r="AM15" s="40" t="n"/>
      <c r="AN15" s="40" t="n"/>
      <c r="AO15" s="40" t="n"/>
      <c r="AP15" s="40" t="n"/>
      <c r="AQ15" s="40" t="n"/>
      <c r="AR15" s="40" t="n"/>
      <c r="AS15" s="40" t="n"/>
      <c r="AT15" s="40" t="n"/>
      <c r="AU15" s="40" t="n"/>
      <c r="AV15" s="40" t="n"/>
      <c r="AW15" s="40" t="n"/>
      <c r="AX15" s="40" t="n"/>
      <c r="AY15" s="40" t="n"/>
      <c r="AZ15" s="40" t="n"/>
      <c r="BA15" s="40" t="n"/>
      <c r="BB15" s="40" t="n"/>
    </row>
    <row r="16" ht="15" customHeight="1"/>
    <row r="17" ht="15" customHeight="1">
      <c r="E17" s="21" t="inlineStr">
        <is>
          <t>Regime start date</t>
        </is>
      </c>
      <c r="G17" s="21" t="inlineStr">
        <is>
          <t>date</t>
        </is>
      </c>
      <c r="I17" s="132" t="n">
        <v>44197</v>
      </c>
    </row>
    <row r="18" ht="15" customFormat="1" customHeight="1" s="174">
      <c r="E18" s="21" t="inlineStr">
        <is>
          <t>Start of financial year of regime start date</t>
        </is>
      </c>
      <c r="G18" s="21" t="inlineStr">
        <is>
          <t>date</t>
        </is>
      </c>
      <c r="I18" s="132" t="n">
        <v>44287</v>
      </c>
    </row>
    <row r="19" ht="15" customHeight="1">
      <c r="E19" s="21" t="inlineStr">
        <is>
          <t>End of financial year of first regime year</t>
        </is>
      </c>
      <c r="G19" s="21" t="inlineStr">
        <is>
          <t>date</t>
        </is>
      </c>
      <c r="I19" s="132" t="n">
        <v>44651</v>
      </c>
    </row>
    <row r="20" ht="15" customHeight="1">
      <c r="E20" s="21" t="inlineStr">
        <is>
          <t>Start of preceding financial year</t>
        </is>
      </c>
      <c r="G20" s="21" t="inlineStr">
        <is>
          <t>date</t>
        </is>
      </c>
      <c r="I20" s="41">
        <f>DATE(YEAR(I18)-1,MONTH(I18),DAY(I18))</f>
        <v/>
      </c>
    </row>
    <row r="21" ht="15" customHeight="1">
      <c r="E21" s="21" t="inlineStr">
        <is>
          <t>Number of operational years</t>
        </is>
      </c>
      <c r="G21" s="21" t="inlineStr">
        <is>
          <t>full years</t>
        </is>
      </c>
      <c r="I21" s="133" t="n">
        <v>25</v>
      </c>
    </row>
    <row r="22" ht="15" customHeight="1">
      <c r="E22" s="21" t="inlineStr">
        <is>
          <t>Calendar month number (e.g. Jan=1) of first month of financial year when operations start</t>
        </is>
      </c>
      <c r="G22" s="21" t="inlineStr">
        <is>
          <t>value</t>
        </is>
      </c>
      <c r="I22" s="21">
        <f>MONTH(I18)</f>
        <v/>
      </c>
    </row>
    <row r="23" ht="15" customHeight="1"/>
    <row r="24" ht="15" customFormat="1" customHeight="1" s="63">
      <c r="C24" s="40" t="inlineStr">
        <is>
          <t>Cap and Floor levels</t>
        </is>
      </c>
      <c r="D24" s="42" t="n"/>
      <c r="E24" s="42" t="n"/>
      <c r="F24" s="42" t="n"/>
      <c r="G24" s="42" t="n"/>
      <c r="H24" s="42" t="n"/>
      <c r="I24" s="42" t="n"/>
      <c r="J24" s="42" t="n"/>
      <c r="K24" s="42" t="n"/>
      <c r="L24" s="42" t="n"/>
      <c r="M24" s="42" t="n"/>
      <c r="N24" s="42" t="n"/>
      <c r="O24" s="42" t="n"/>
      <c r="P24" s="42" t="n"/>
      <c r="Q24" s="42" t="n"/>
      <c r="R24" s="42" t="n"/>
      <c r="S24" s="42" t="n"/>
      <c r="T24" s="42" t="n"/>
      <c r="U24" s="42" t="n"/>
      <c r="V24" s="42" t="n"/>
      <c r="W24" s="42" t="n"/>
      <c r="X24" s="42" t="n"/>
      <c r="Y24" s="42" t="n"/>
      <c r="Z24" s="42" t="n"/>
      <c r="AA24" s="42" t="n"/>
      <c r="AB24" s="42" t="n"/>
      <c r="AC24" s="42" t="n"/>
      <c r="AD24" s="42" t="n"/>
      <c r="AE24" s="42" t="n"/>
      <c r="AF24" s="42" t="n"/>
      <c r="AG24" s="42" t="n"/>
      <c r="AH24" s="42" t="n"/>
      <c r="AI24" s="42" t="n"/>
      <c r="AJ24" s="42" t="n"/>
      <c r="AK24" s="42" t="n"/>
      <c r="AL24" s="42" t="n"/>
      <c r="AM24" s="42" t="n"/>
      <c r="AN24" s="42" t="n"/>
      <c r="AO24" s="42" t="n"/>
      <c r="AP24" s="42" t="n"/>
      <c r="AQ24" s="42" t="n"/>
      <c r="AR24" s="42" t="n"/>
      <c r="AS24" s="42" t="n"/>
      <c r="AT24" s="42" t="n"/>
      <c r="AU24" s="42" t="n"/>
      <c r="AV24" s="42" t="n"/>
      <c r="AW24" s="42" t="n"/>
      <c r="AX24" s="42" t="n"/>
      <c r="AY24" s="42" t="n"/>
      <c r="AZ24" s="42" t="n"/>
      <c r="BA24" s="42" t="n"/>
      <c r="BB24" s="42" t="n"/>
    </row>
    <row r="25" ht="15" customHeight="1"/>
    <row r="26" ht="15" customHeight="1">
      <c r="E26" s="21" t="inlineStr">
        <is>
          <t>Preliminary Cap including tax</t>
        </is>
      </c>
      <c r="G26" s="5">
        <f>base_year</f>
        <v/>
      </c>
      <c r="H26" s="21" t="inlineStr">
        <is>
          <t>PCL</t>
        </is>
      </c>
      <c r="I26" s="134" t="n">
        <v>71.04218953876186</v>
      </c>
    </row>
    <row r="27" ht="15" customHeight="1">
      <c r="E27" s="21" t="inlineStr">
        <is>
          <t>Preliminary Floor including tax</t>
        </is>
      </c>
      <c r="G27" s="5">
        <f>base_year</f>
        <v/>
      </c>
      <c r="H27" s="21" t="inlineStr">
        <is>
          <t>PFL</t>
        </is>
      </c>
      <c r="I27" s="134" t="n">
        <v>45.6039616769237</v>
      </c>
    </row>
    <row r="28" ht="15" customHeight="1">
      <c r="I28" s="49" t="n"/>
    </row>
    <row r="29" ht="15" customHeight="1">
      <c r="E29" s="21" t="inlineStr">
        <is>
          <t>Cap PCA adjustment</t>
        </is>
      </c>
      <c r="G29" s="5">
        <f>base_year</f>
        <v/>
      </c>
      <c r="H29" s="21" t="inlineStr">
        <is>
          <t>PCAC</t>
        </is>
      </c>
      <c r="I29" s="182" t="n">
        <v>3.989248374351021</v>
      </c>
    </row>
    <row r="30" ht="15" customHeight="1">
      <c r="E30" s="21" t="inlineStr">
        <is>
          <t>Floor PCA adjustment</t>
        </is>
      </c>
      <c r="G30" s="5">
        <f>base_year</f>
        <v/>
      </c>
      <c r="H30" s="21" t="inlineStr">
        <is>
          <t>PCAF</t>
        </is>
      </c>
      <c r="I30" s="182" t="n">
        <v>9.135640872783569</v>
      </c>
    </row>
    <row r="31" ht="15" customHeight="1">
      <c r="G31" s="5" t="n"/>
      <c r="I31" s="49" t="n"/>
    </row>
    <row r="32" ht="15" customFormat="1" customHeight="1" s="63">
      <c r="C32" s="40" t="inlineStr">
        <is>
          <t>Baseline cost inputs during operations</t>
        </is>
      </c>
      <c r="D32" s="42" t="n"/>
      <c r="E32" s="42" t="n"/>
      <c r="F32" s="42" t="n"/>
      <c r="G32" s="42" t="n"/>
      <c r="H32" s="42" t="n"/>
      <c r="I32" s="42" t="n"/>
      <c r="J32" s="42" t="n"/>
      <c r="K32" s="42" t="n"/>
      <c r="L32" s="42" t="n"/>
      <c r="M32" s="42" t="n"/>
      <c r="N32" s="42" t="n"/>
      <c r="O32" s="42" t="n"/>
      <c r="P32" s="42" t="n"/>
      <c r="Q32" s="42" t="n"/>
      <c r="R32" s="42" t="n"/>
      <c r="S32" s="42" t="n"/>
      <c r="T32" s="42" t="n"/>
      <c r="U32" s="42" t="n"/>
      <c r="V32" s="42" t="n"/>
      <c r="W32" s="42" t="n"/>
      <c r="X32" s="42" t="n"/>
      <c r="Y32" s="42" t="n"/>
      <c r="Z32" s="42" t="n"/>
      <c r="AA32" s="42" t="n"/>
      <c r="AB32" s="42" t="n"/>
      <c r="AC32" s="42" t="n"/>
      <c r="AD32" s="42" t="n"/>
      <c r="AE32" s="42" t="n"/>
      <c r="AF32" s="42" t="n"/>
      <c r="AG32" s="42" t="n"/>
      <c r="AH32" s="42" t="n"/>
      <c r="AI32" s="42" t="n"/>
      <c r="AJ32" s="42" t="n"/>
      <c r="AK32" s="42" t="n"/>
      <c r="AL32" s="42" t="n"/>
      <c r="AM32" s="42" t="n"/>
      <c r="AN32" s="42" t="n"/>
      <c r="AO32" s="42" t="n"/>
      <c r="AP32" s="42" t="n"/>
      <c r="AQ32" s="42" t="n"/>
      <c r="AR32" s="42" t="n"/>
      <c r="AS32" s="42" t="n"/>
      <c r="AT32" s="42" t="n"/>
      <c r="AU32" s="42" t="n"/>
      <c r="AV32" s="42" t="n"/>
      <c r="AW32" s="42" t="n"/>
      <c r="AX32" s="42" t="n"/>
      <c r="AY32" s="42" t="n"/>
      <c r="AZ32" s="42" t="n"/>
      <c r="BA32" s="42" t="n"/>
      <c r="BB32" s="42" t="n"/>
    </row>
    <row r="33" ht="15" customHeight="1"/>
    <row r="34" ht="15" customHeight="1">
      <c r="E34" s="21" t="inlineStr">
        <is>
          <t>Decommissioning (baseline)</t>
        </is>
      </c>
      <c r="G34" s="5">
        <f>base_year</f>
        <v/>
      </c>
      <c r="O34" s="33" t="n"/>
      <c r="P34" s="101" t="n">
        <v>0</v>
      </c>
      <c r="Q34" s="101" t="n">
        <v>0</v>
      </c>
      <c r="R34" s="101" t="n">
        <v>0</v>
      </c>
      <c r="S34" s="101" t="n">
        <v>0</v>
      </c>
      <c r="T34" s="101" t="n">
        <v>0</v>
      </c>
      <c r="U34" s="101" t="n">
        <v>0</v>
      </c>
      <c r="V34" s="101" t="n">
        <v>0</v>
      </c>
      <c r="W34" s="101" t="n">
        <v>0</v>
      </c>
      <c r="X34" s="101" t="n">
        <v>0</v>
      </c>
      <c r="Y34" s="101" t="n">
        <v>0</v>
      </c>
      <c r="Z34" s="101" t="n">
        <v>0</v>
      </c>
      <c r="AA34" s="101" t="n">
        <v>0</v>
      </c>
      <c r="AB34" s="101" t="n">
        <v>0</v>
      </c>
      <c r="AC34" s="101" t="n">
        <v>0</v>
      </c>
      <c r="AD34" s="101" t="n">
        <v>0</v>
      </c>
      <c r="AE34" s="101" t="n">
        <v>0</v>
      </c>
      <c r="AF34" s="101" t="n">
        <v>0</v>
      </c>
      <c r="AG34" s="101" t="n">
        <v>0</v>
      </c>
      <c r="AH34" s="101" t="n">
        <v>0</v>
      </c>
      <c r="AI34" s="101" t="n">
        <v>0</v>
      </c>
      <c r="AJ34" s="101" t="n">
        <v>0</v>
      </c>
      <c r="AK34" s="101" t="n">
        <v>0</v>
      </c>
      <c r="AL34" s="101" t="n">
        <v>0</v>
      </c>
      <c r="AM34" s="101" t="n">
        <v>0</v>
      </c>
      <c r="AN34" s="101" t="n">
        <v>26.21038072308398</v>
      </c>
      <c r="AO34" s="101" t="n">
        <v>0</v>
      </c>
      <c r="AP34" s="101" t="n">
        <v>0</v>
      </c>
      <c r="AQ34" s="101" t="n">
        <v>0</v>
      </c>
      <c r="AR34" s="101" t="n">
        <v>0</v>
      </c>
      <c r="AS34" s="101" t="n">
        <v>0</v>
      </c>
      <c r="AT34" s="101" t="n">
        <v>0</v>
      </c>
      <c r="AU34" s="101" t="n">
        <v>0</v>
      </c>
      <c r="AV34" s="101" t="n">
        <v>0</v>
      </c>
      <c r="AW34" s="101" t="n">
        <v>0</v>
      </c>
      <c r="AX34" s="101" t="n">
        <v>0</v>
      </c>
      <c r="AY34" s="101" t="n">
        <v>0</v>
      </c>
      <c r="AZ34" s="101" t="n">
        <v>0</v>
      </c>
      <c r="BA34" s="101" t="n">
        <v>0</v>
      </c>
      <c r="BB34" s="101" t="n">
        <v>0</v>
      </c>
    </row>
    <row r="35" ht="15" customHeight="1">
      <c r="E35" s="21" t="inlineStr">
        <is>
          <t>Controllable Opex (baseline)</t>
        </is>
      </c>
      <c r="G35" s="5">
        <f>base_year</f>
        <v/>
      </c>
      <c r="O35" s="33" t="n"/>
      <c r="P35" s="101" t="n">
        <v>17.15533226202627</v>
      </c>
      <c r="Q35" s="101" t="n">
        <v>11.84871491933933</v>
      </c>
      <c r="R35" s="101" t="n">
        <v>14.76571091617554</v>
      </c>
      <c r="S35" s="101" t="n">
        <v>14.79593345965976</v>
      </c>
      <c r="T35" s="101" t="n">
        <v>15.51521190241643</v>
      </c>
      <c r="U35" s="101" t="n">
        <v>15.44130199977116</v>
      </c>
      <c r="V35" s="101" t="n">
        <v>15.60795391321368</v>
      </c>
      <c r="W35" s="101" t="n">
        <v>16.58871125409749</v>
      </c>
      <c r="X35" s="101" t="n">
        <v>17.07739693519251</v>
      </c>
      <c r="Y35" s="101" t="n">
        <v>17.69663526359452</v>
      </c>
      <c r="Z35" s="101" t="n">
        <v>17.46428977253089</v>
      </c>
      <c r="AA35" s="101" t="n">
        <v>17.49477761540518</v>
      </c>
      <c r="AB35" s="101" t="n">
        <v>17.52587008004669</v>
      </c>
      <c r="AC35" s="101" t="n">
        <v>17.74644759693949</v>
      </c>
      <c r="AD35" s="101" t="n">
        <v>18.2195568836295</v>
      </c>
      <c r="AE35" s="101" t="n">
        <v>17.8755291858869</v>
      </c>
      <c r="AF35" s="101" t="n">
        <v>17.91109070981015</v>
      </c>
      <c r="AG35" s="101" t="n">
        <v>17.94738206967587</v>
      </c>
      <c r="AH35" s="101" t="n">
        <v>18.17616881846421</v>
      </c>
      <c r="AI35" s="101" t="n">
        <v>18.67478088987045</v>
      </c>
      <c r="AJ35" s="101" t="n">
        <v>18.37054432812334</v>
      </c>
      <c r="AK35" s="101" t="n">
        <v>18.41184644106404</v>
      </c>
      <c r="AL35" s="101" t="n">
        <v>18.45402229729445</v>
      </c>
      <c r="AM35" s="101" t="n">
        <v>18.53723636023382</v>
      </c>
      <c r="AN35" s="101" t="n">
        <v>14.01785869918811</v>
      </c>
      <c r="AO35" s="101" t="n">
        <v>0</v>
      </c>
      <c r="AP35" s="101" t="n">
        <v>0</v>
      </c>
      <c r="AQ35" s="101" t="n">
        <v>0</v>
      </c>
      <c r="AR35" s="101" t="n">
        <v>0</v>
      </c>
      <c r="AS35" s="101" t="n">
        <v>0</v>
      </c>
      <c r="AT35" s="101" t="n">
        <v>0</v>
      </c>
      <c r="AU35" s="101" t="n">
        <v>0</v>
      </c>
      <c r="AV35" s="101" t="n">
        <v>0</v>
      </c>
      <c r="AW35" s="101" t="n">
        <v>0</v>
      </c>
      <c r="AX35" s="101" t="n">
        <v>0</v>
      </c>
      <c r="AY35" s="101" t="n">
        <v>0</v>
      </c>
      <c r="AZ35" s="101" t="n">
        <v>0</v>
      </c>
      <c r="BA35" s="101" t="n">
        <v>0</v>
      </c>
      <c r="BB35" s="101" t="n">
        <v>0</v>
      </c>
    </row>
    <row r="36" ht="15" customHeight="1">
      <c r="E36" s="21" t="inlineStr">
        <is>
          <t>Non-controllable Opex (baseline)</t>
        </is>
      </c>
      <c r="G36" s="5">
        <f>base_year</f>
        <v/>
      </c>
      <c r="H36" s="21" t="inlineStr">
        <is>
          <t>BNCOA</t>
        </is>
      </c>
      <c r="O36" s="33" t="n"/>
      <c r="P36" s="101" t="n">
        <v>1.323531085226808</v>
      </c>
      <c r="Q36" s="101" t="n">
        <v>1.04560571298129</v>
      </c>
      <c r="R36" s="101" t="n">
        <v>1.035785547574907</v>
      </c>
      <c r="S36" s="101" t="n">
        <v>1.026057789148915</v>
      </c>
      <c r="T36" s="101" t="n">
        <v>1.016421566535736</v>
      </c>
      <c r="U36" s="101" t="n">
        <v>1.006876016795579</v>
      </c>
      <c r="V36" s="101" t="n">
        <v>0.9974202851386029</v>
      </c>
      <c r="W36" s="101" t="n">
        <v>0.9880535248478042</v>
      </c>
      <c r="X36" s="101" t="n">
        <v>0.9787748972026469</v>
      </c>
      <c r="Y36" s="101" t="n">
        <v>0.96958357140341</v>
      </c>
      <c r="Z36" s="101" t="n">
        <v>0.9604787244962528</v>
      </c>
      <c r="AA36" s="101" t="n">
        <v>0.951459541298991</v>
      </c>
      <c r="AB36" s="101" t="n">
        <v>0.9425252143275767</v>
      </c>
      <c r="AC36" s="101" t="n">
        <v>0.9336749437232742</v>
      </c>
      <c r="AD36" s="101" t="n">
        <v>0.9249079371805249</v>
      </c>
      <c r="AE36" s="101" t="n">
        <v>0.9162234098754993</v>
      </c>
      <c r="AF36" s="101" t="n">
        <v>0.9076205843953208</v>
      </c>
      <c r="AG36" s="101" t="n">
        <v>0.8990986906679644</v>
      </c>
      <c r="AH36" s="101" t="n">
        <v>0.8906569658928184</v>
      </c>
      <c r="AI36" s="101" t="n">
        <v>0.8822946544719026</v>
      </c>
      <c r="AJ36" s="101" t="n">
        <v>0.8740110079417409</v>
      </c>
      <c r="AK36" s="101" t="n">
        <v>0.8658052849058767</v>
      </c>
      <c r="AL36" s="101" t="n">
        <v>0.8576767509680291</v>
      </c>
      <c r="AM36" s="101" t="n">
        <v>0.8496246786658828</v>
      </c>
      <c r="AN36" s="101" t="n">
        <v>0.6327212470421553</v>
      </c>
      <c r="AO36" s="101" t="n">
        <v>0</v>
      </c>
      <c r="AP36" s="101" t="n">
        <v>0</v>
      </c>
      <c r="AQ36" s="101" t="n">
        <v>0</v>
      </c>
      <c r="AR36" s="101" t="n">
        <v>0</v>
      </c>
      <c r="AS36" s="101" t="n">
        <v>0</v>
      </c>
      <c r="AT36" s="101" t="n">
        <v>0</v>
      </c>
      <c r="AU36" s="101" t="n">
        <v>0</v>
      </c>
      <c r="AV36" s="101" t="n">
        <v>0</v>
      </c>
      <c r="AW36" s="101" t="n">
        <v>0</v>
      </c>
      <c r="AX36" s="101" t="n">
        <v>0</v>
      </c>
      <c r="AY36" s="101" t="n">
        <v>0</v>
      </c>
      <c r="AZ36" s="101" t="n">
        <v>0</v>
      </c>
      <c r="BA36" s="101" t="n">
        <v>0</v>
      </c>
      <c r="BB36" s="101" t="n">
        <v>0</v>
      </c>
    </row>
    <row r="37" ht="15" customHeight="1"/>
    <row r="38" ht="15" customFormat="1" customHeight="1" s="5">
      <c r="C38" s="40" t="inlineStr">
        <is>
          <t>Financial returns</t>
        </is>
      </c>
      <c r="D38" s="40" t="n"/>
      <c r="E38" s="40" t="n"/>
      <c r="F38" s="40" t="n"/>
      <c r="G38" s="40" t="n"/>
      <c r="H38" s="40" t="n"/>
      <c r="I38" s="40" t="n"/>
      <c r="J38" s="40" t="n"/>
      <c r="K38" s="40" t="n"/>
      <c r="L38" s="40" t="n"/>
      <c r="M38" s="40" t="n"/>
      <c r="N38" s="40" t="n"/>
      <c r="O38" s="40" t="n"/>
      <c r="P38" s="40" t="n"/>
      <c r="Q38" s="40" t="n"/>
      <c r="R38" s="40" t="n"/>
      <c r="S38" s="40" t="n"/>
      <c r="T38" s="40" t="n"/>
      <c r="U38" s="40" t="n"/>
      <c r="V38" s="40" t="n"/>
      <c r="W38" s="40" t="n"/>
      <c r="X38" s="40" t="n"/>
      <c r="Y38" s="40" t="n"/>
      <c r="Z38" s="40" t="n"/>
      <c r="AA38" s="40" t="n"/>
      <c r="AB38" s="40" t="n"/>
      <c r="AC38" s="40" t="n"/>
      <c r="AD38" s="40" t="n"/>
      <c r="AE38" s="40" t="n"/>
      <c r="AF38" s="40" t="n"/>
      <c r="AG38" s="40" t="n"/>
      <c r="AH38" s="40" t="n"/>
      <c r="AI38" s="40" t="n"/>
      <c r="AJ38" s="40" t="n"/>
      <c r="AK38" s="40" t="n"/>
      <c r="AL38" s="40" t="n"/>
      <c r="AM38" s="40" t="n"/>
      <c r="AN38" s="40" t="n"/>
      <c r="AO38" s="40" t="n"/>
      <c r="AP38" s="40" t="n"/>
      <c r="AQ38" s="40" t="n"/>
      <c r="AR38" s="40" t="n"/>
      <c r="AS38" s="40" t="n"/>
      <c r="AT38" s="40" t="n"/>
      <c r="AU38" s="40" t="n"/>
      <c r="AV38" s="40" t="n"/>
      <c r="AW38" s="40" t="n"/>
      <c r="AX38" s="40" t="n"/>
      <c r="AY38" s="40" t="n"/>
      <c r="AZ38" s="40" t="n"/>
      <c r="BA38" s="40" t="n"/>
      <c r="BB38" s="40" t="n"/>
    </row>
    <row r="39" ht="15" customFormat="1" customHeight="1" s="5">
      <c r="I39" s="6" t="n"/>
      <c r="J39" s="6" t="n"/>
      <c r="K39" s="6" t="n"/>
      <c r="L39" s="6" t="n"/>
      <c r="M39" s="6" t="n"/>
      <c r="N39" s="6" t="n"/>
      <c r="O39" s="21" t="n"/>
      <c r="P39" s="21" t="n"/>
      <c r="Q39" s="21" t="n"/>
      <c r="R39" s="21" t="n"/>
      <c r="S39" s="21" t="n"/>
      <c r="T39" s="6" t="n"/>
      <c r="U39" s="21" t="n"/>
      <c r="V39" s="21" t="n"/>
      <c r="W39" s="21" t="n"/>
      <c r="X39" s="21" t="n"/>
      <c r="Y39" s="21" t="n"/>
      <c r="Z39" s="21" t="n"/>
      <c r="AA39" s="21" t="n"/>
      <c r="AB39" s="21" t="n"/>
      <c r="AC39" s="7" t="n"/>
      <c r="AD39" s="7" t="n"/>
      <c r="AE39" s="7" t="n"/>
      <c r="AF39" s="7" t="n"/>
      <c r="AG39" s="7" t="n"/>
      <c r="AH39" s="7" t="n"/>
      <c r="AI39" s="7" t="n"/>
      <c r="AJ39" s="21" t="n"/>
      <c r="AK39" s="7" t="n"/>
      <c r="AL39" s="7" t="n"/>
      <c r="AM39" s="7" t="n"/>
      <c r="AN39" s="7" t="n"/>
      <c r="AO39" s="7" t="n"/>
      <c r="AP39" s="7" t="n"/>
      <c r="AQ39" s="7" t="n"/>
      <c r="AR39" s="7" t="n"/>
      <c r="AS39" s="7" t="n"/>
      <c r="AT39" s="7" t="n"/>
      <c r="AU39" s="7" t="n"/>
      <c r="AV39" s="7" t="n"/>
      <c r="AW39" s="7" t="n"/>
      <c r="AX39" s="7" t="n"/>
      <c r="AY39" s="7" t="n"/>
      <c r="AZ39" s="7" t="n"/>
      <c r="BA39" s="7" t="n"/>
      <c r="BB39" s="7" t="n"/>
    </row>
    <row r="40" ht="15" customHeight="1">
      <c r="E40" s="21" t="inlineStr">
        <is>
          <t>Cap return rate</t>
        </is>
      </c>
      <c r="G40" s="5" t="inlineStr">
        <is>
          <t>real annual %</t>
        </is>
      </c>
      <c r="I40" s="135" t="n">
        <v>0.0742</v>
      </c>
      <c r="T40" s="6" t="n"/>
    </row>
    <row r="41" ht="15" customHeight="1">
      <c r="E41" s="21" t="inlineStr">
        <is>
          <t>Floor return rate</t>
        </is>
      </c>
      <c r="F41" s="5" t="n"/>
      <c r="G41" s="5" t="inlineStr">
        <is>
          <t>real annual %</t>
        </is>
      </c>
      <c r="I41" s="135" t="n">
        <v>0.0355</v>
      </c>
      <c r="T41" s="6" t="n"/>
    </row>
    <row r="42" ht="15" customHeight="1">
      <c r="E42" s="21" t="inlineStr">
        <is>
          <t>Operational discount rate</t>
        </is>
      </c>
      <c r="G42" s="5" t="inlineStr">
        <is>
          <t>real annual %</t>
        </is>
      </c>
      <c r="H42" s="21" t="inlineStr">
        <is>
          <t>ODR</t>
        </is>
      </c>
      <c r="I42" s="136">
        <f>(I40 + I41) / 2</f>
        <v/>
      </c>
      <c r="T42" s="6" t="n"/>
    </row>
    <row r="43" ht="15" customHeight="1"/>
    <row r="44" ht="15" customFormat="1" customHeight="1" s="5">
      <c r="C44" s="40" t="inlineStr">
        <is>
          <t>Base year indices</t>
        </is>
      </c>
      <c r="D44" s="40" t="n"/>
      <c r="E44" s="40" t="n"/>
      <c r="F44" s="40" t="n"/>
      <c r="G44" s="40" t="n"/>
      <c r="H44" s="40" t="n"/>
      <c r="I44" s="40" t="n"/>
      <c r="J44" s="40" t="n"/>
      <c r="K44" s="40" t="n"/>
      <c r="L44" s="40" t="n"/>
      <c r="M44" s="40" t="n"/>
      <c r="N44" s="40" t="n"/>
      <c r="O44" s="40" t="n"/>
      <c r="P44" s="40" t="n"/>
      <c r="Q44" s="40" t="n"/>
      <c r="R44" s="40" t="n"/>
      <c r="S44" s="40" t="n"/>
      <c r="T44" s="40" t="n"/>
      <c r="U44" s="40" t="n"/>
      <c r="V44" s="40" t="n"/>
      <c r="W44" s="40" t="n"/>
      <c r="X44" s="40" t="n"/>
      <c r="Y44" s="40" t="n"/>
      <c r="Z44" s="40" t="n"/>
      <c r="AA44" s="40" t="n"/>
      <c r="AB44" s="40" t="n"/>
      <c r="AC44" s="40" t="n"/>
      <c r="AD44" s="40" t="n"/>
      <c r="AE44" s="40" t="n"/>
      <c r="AF44" s="40" t="n"/>
      <c r="AG44" s="40" t="n"/>
      <c r="AH44" s="40" t="n"/>
      <c r="AI44" s="40" t="n"/>
      <c r="AJ44" s="40" t="n"/>
      <c r="AK44" s="40" t="n"/>
      <c r="AL44" s="40" t="n"/>
      <c r="AM44" s="40" t="n"/>
      <c r="AN44" s="40" t="n"/>
      <c r="AO44" s="40" t="n"/>
      <c r="AP44" s="40" t="n"/>
      <c r="AQ44" s="40" t="n"/>
      <c r="AR44" s="40" t="n"/>
      <c r="AS44" s="40" t="n"/>
      <c r="AT44" s="40" t="n"/>
      <c r="AU44" s="40" t="n"/>
      <c r="AV44" s="40" t="n"/>
      <c r="AW44" s="40" t="n"/>
      <c r="AX44" s="40" t="n"/>
      <c r="AY44" s="40" t="n"/>
      <c r="AZ44" s="40" t="n"/>
      <c r="BA44" s="40" t="n"/>
      <c r="BB44" s="40" t="n"/>
    </row>
    <row r="45" ht="15" customHeight="1"/>
    <row r="46" ht="27" customHeight="1">
      <c r="E46" s="161" t="inlineStr">
        <is>
          <t>Base year CPIH L522</t>
        </is>
      </c>
      <c r="G46" s="160" t="inlineStr">
        <is>
          <t>Jan 2015 = 100</t>
        </is>
      </c>
      <c r="H46" s="160" t="inlineStr">
        <is>
          <t>UK CPIH L522 2024</t>
        </is>
      </c>
      <c r="I46" s="51" t="n">
        <v>132.9</v>
      </c>
    </row>
    <row r="47" ht="27" customFormat="1" customHeight="1" s="178">
      <c r="A47" s="21" t="n"/>
      <c r="B47" s="21" t="n"/>
      <c r="C47" s="21" t="n"/>
      <c r="D47" s="21" t="n"/>
      <c r="E47" s="178" t="inlineStr">
        <is>
          <t>Base year non-GB inflation index value</t>
        </is>
      </c>
      <c r="G47" s="179" t="inlineStr">
        <is>
          <t>2004 = 100</t>
        </is>
      </c>
      <c r="H47" s="179" t="inlineStr">
        <is>
          <t>non-GB inflation index 2024</t>
        </is>
      </c>
      <c r="I47" s="180" t="n"/>
      <c r="J47" s="21" t="n"/>
      <c r="K47" s="21" t="n"/>
      <c r="L47" s="21" t="n"/>
      <c r="M47" s="21" t="n"/>
      <c r="N47" s="21" t="n"/>
      <c r="O47" s="21" t="n"/>
      <c r="P47" s="21" t="n"/>
      <c r="Q47" s="21" t="n"/>
      <c r="R47" s="21" t="n"/>
      <c r="S47" s="21" t="n"/>
      <c r="T47" s="21" t="n"/>
      <c r="U47" s="21" t="n"/>
      <c r="V47" s="21" t="n"/>
      <c r="W47" s="21" t="n"/>
      <c r="X47" s="21" t="n"/>
      <c r="Y47" s="21" t="n"/>
      <c r="Z47" s="21" t="n"/>
      <c r="AA47" s="21" t="n"/>
      <c r="AB47" s="21" t="n"/>
      <c r="AC47" s="21" t="n"/>
      <c r="AD47" s="21" t="n"/>
      <c r="AE47" s="21" t="n"/>
      <c r="AF47" s="21" t="n"/>
      <c r="AG47" s="21" t="n"/>
      <c r="AH47" s="21" t="n"/>
      <c r="AI47" s="21" t="n"/>
      <c r="AJ47" s="21" t="n"/>
      <c r="AK47" s="21" t="n"/>
      <c r="AL47" s="21" t="n"/>
      <c r="AM47" s="21" t="n"/>
      <c r="AN47" s="21" t="n"/>
      <c r="AO47" s="21" t="n"/>
      <c r="AP47" s="21" t="n"/>
      <c r="AQ47" s="21" t="n"/>
      <c r="AR47" s="21" t="n"/>
      <c r="AS47" s="21" t="n"/>
      <c r="AT47" s="21" t="n"/>
      <c r="AU47" s="21" t="n"/>
      <c r="AV47" s="21" t="n"/>
      <c r="AW47" s="21" t="n"/>
      <c r="AX47" s="21" t="n"/>
      <c r="AY47" s="21" t="n"/>
      <c r="AZ47" s="21" t="n"/>
      <c r="BA47" s="21" t="n"/>
      <c r="BB47" s="21" t="n"/>
      <c r="BC47" s="21" t="n"/>
    </row>
    <row r="48" ht="27" customFormat="1" customHeight="1" s="178">
      <c r="A48" s="21" t="n"/>
      <c r="B48" s="21" t="n"/>
      <c r="C48" s="21" t="n"/>
      <c r="D48" s="21" t="n"/>
      <c r="E48" s="178" t="inlineStr">
        <is>
          <t>Base year average exchange rate (XUMAERS)</t>
        </is>
      </c>
      <c r="G48" s="179" t="inlineStr">
        <is>
          <t>GBP / EUR</t>
        </is>
      </c>
      <c r="H48" s="179" t="inlineStr">
        <is>
          <t>GBP2024 / EUR2024</t>
        </is>
      </c>
      <c r="I48" s="180" t="n"/>
      <c r="J48" s="21" t="n"/>
      <c r="K48" s="21" t="n"/>
      <c r="L48" s="21" t="n"/>
      <c r="M48" s="21" t="n"/>
      <c r="N48" s="21" t="n"/>
      <c r="O48" s="21" t="n"/>
      <c r="P48" s="21" t="n"/>
      <c r="Q48" s="21" t="n"/>
      <c r="R48" s="21" t="n"/>
      <c r="S48" s="21" t="n"/>
      <c r="T48" s="21" t="n"/>
      <c r="U48" s="21" t="n"/>
      <c r="V48" s="21" t="n"/>
      <c r="W48" s="21" t="n"/>
      <c r="X48" s="21" t="n"/>
      <c r="Y48" s="21" t="n"/>
      <c r="Z48" s="21" t="n"/>
      <c r="AA48" s="21" t="n"/>
      <c r="AB48" s="21" t="n"/>
      <c r="AC48" s="21" t="n"/>
      <c r="AD48" s="21" t="n"/>
      <c r="AE48" s="21" t="n"/>
      <c r="AF48" s="21" t="n"/>
      <c r="AG48" s="21" t="n"/>
      <c r="AH48" s="21" t="n"/>
      <c r="AI48" s="21" t="n"/>
      <c r="AJ48" s="21" t="n"/>
      <c r="AK48" s="21" t="n"/>
      <c r="AL48" s="21" t="n"/>
      <c r="AM48" s="21" t="n"/>
      <c r="AN48" s="21" t="n"/>
      <c r="AO48" s="21" t="n"/>
      <c r="AP48" s="21" t="n"/>
      <c r="AQ48" s="21" t="n"/>
      <c r="AR48" s="21" t="n"/>
      <c r="AS48" s="21" t="n"/>
      <c r="AT48" s="21" t="n"/>
      <c r="AU48" s="21" t="n"/>
      <c r="AV48" s="21" t="n"/>
      <c r="AW48" s="21" t="n"/>
      <c r="AX48" s="21" t="n"/>
      <c r="AY48" s="21" t="n"/>
      <c r="AZ48" s="21" t="n"/>
      <c r="BA48" s="21" t="n"/>
      <c r="BB48" s="21" t="n"/>
      <c r="BC48" s="21" t="n"/>
    </row>
    <row r="49" ht="15" customHeight="1"/>
    <row r="50" ht="15" customFormat="1" customHeight="1" s="5">
      <c r="B50" s="75" t="inlineStr">
        <is>
          <t>Regime timings and design</t>
        </is>
      </c>
      <c r="C50" s="36" t="n"/>
      <c r="D50" s="36" t="n"/>
      <c r="E50" s="36" t="n"/>
      <c r="F50" s="36" t="n"/>
      <c r="G50" s="36" t="n"/>
      <c r="H50" s="36" t="n"/>
      <c r="I50" s="36" t="n"/>
      <c r="J50" s="36" t="n"/>
      <c r="K50" s="36" t="n"/>
      <c r="L50" s="36" t="n"/>
      <c r="M50" s="36" t="n"/>
      <c r="N50" s="36" t="n"/>
      <c r="O50" s="36" t="n"/>
      <c r="P50" s="36" t="n"/>
      <c r="Q50" s="36" t="n"/>
      <c r="R50" s="36" t="n"/>
      <c r="S50" s="36" t="n"/>
      <c r="T50" s="36" t="n"/>
      <c r="U50" s="36" t="n"/>
      <c r="V50" s="36" t="n"/>
      <c r="W50" s="36" t="n"/>
      <c r="X50" s="36" t="n"/>
      <c r="Y50" s="36" t="n"/>
      <c r="Z50" s="36" t="n"/>
      <c r="AA50" s="36" t="n"/>
      <c r="AB50" s="36" t="n"/>
      <c r="AC50" s="36" t="n"/>
      <c r="AD50" s="36" t="n"/>
      <c r="AE50" s="36" t="n"/>
      <c r="AF50" s="36" t="n"/>
      <c r="AG50" s="36" t="n"/>
      <c r="AH50" s="36" t="n"/>
      <c r="AI50" s="36" t="n"/>
      <c r="AJ50" s="36" t="n"/>
      <c r="AK50" s="36" t="n"/>
      <c r="AL50" s="36" t="n"/>
      <c r="AM50" s="36" t="n"/>
      <c r="AN50" s="36" t="n"/>
      <c r="AO50" s="36" t="n"/>
      <c r="AP50" s="36" t="n"/>
      <c r="AQ50" s="36" t="n"/>
      <c r="AR50" s="36" t="n"/>
      <c r="AS50" s="36" t="n"/>
      <c r="AT50" s="36" t="n"/>
      <c r="AU50" s="36" t="n"/>
      <c r="AV50" s="36" t="n"/>
      <c r="AW50" s="36" t="n"/>
      <c r="AX50" s="36" t="n"/>
      <c r="AY50" s="36" t="n"/>
      <c r="AZ50" s="36" t="n"/>
      <c r="BA50" s="36" t="n"/>
      <c r="BB50" s="36" t="n"/>
    </row>
    <row r="51" ht="15" customFormat="1" customHeight="1" s="5">
      <c r="B51" s="72" t="n"/>
    </row>
    <row r="52" ht="15" customFormat="1" customHeight="1" s="5">
      <c r="C52" s="40" t="inlineStr">
        <is>
          <t>Model operation</t>
        </is>
      </c>
      <c r="D52" s="40" t="n"/>
      <c r="E52" s="40" t="n"/>
      <c r="F52" s="40" t="n"/>
      <c r="G52" s="40" t="n"/>
      <c r="H52" s="40" t="n"/>
      <c r="I52" s="40" t="n"/>
      <c r="J52" s="40" t="n"/>
      <c r="K52" s="40" t="n"/>
      <c r="L52" s="40" t="n"/>
      <c r="M52" s="40" t="n"/>
      <c r="N52" s="40" t="n"/>
      <c r="O52" s="40" t="n"/>
      <c r="P52" s="40" t="n"/>
      <c r="Q52" s="40" t="n"/>
      <c r="R52" s="40" t="n"/>
      <c r="S52" s="40" t="n"/>
      <c r="T52" s="40" t="n"/>
      <c r="U52" s="40" t="n"/>
      <c r="V52" s="40" t="n"/>
      <c r="W52" s="40" t="n"/>
      <c r="X52" s="40" t="n"/>
      <c r="Y52" s="40" t="n"/>
      <c r="Z52" s="40" t="n"/>
      <c r="AA52" s="40" t="n"/>
      <c r="AB52" s="40" t="n"/>
      <c r="AC52" s="40" t="n"/>
      <c r="AD52" s="40" t="n"/>
      <c r="AE52" s="40" t="n"/>
      <c r="AF52" s="40" t="n"/>
      <c r="AG52" s="40" t="n"/>
      <c r="AH52" s="40" t="n"/>
      <c r="AI52" s="40" t="n"/>
      <c r="AJ52" s="40" t="n"/>
      <c r="AK52" s="40" t="n"/>
      <c r="AL52" s="40" t="n"/>
      <c r="AM52" s="40" t="n"/>
      <c r="AN52" s="40" t="n"/>
      <c r="AO52" s="40" t="n"/>
      <c r="AP52" s="40" t="n"/>
      <c r="AQ52" s="40" t="n"/>
      <c r="AR52" s="40" t="n"/>
      <c r="AS52" s="40" t="n"/>
      <c r="AT52" s="40" t="n"/>
      <c r="AU52" s="40" t="n"/>
      <c r="AV52" s="40" t="n"/>
      <c r="AW52" s="40" t="n"/>
      <c r="AX52" s="40" t="n"/>
      <c r="AY52" s="40" t="n"/>
      <c r="AZ52" s="40" t="n"/>
      <c r="BA52" s="40" t="n"/>
      <c r="BB52" s="40" t="n"/>
    </row>
    <row r="53" ht="15" customFormat="1" customHeight="1" s="5">
      <c r="C53" s="3" t="inlineStr">
        <is>
          <t>Note: changes to these variables may require structural changes to the model</t>
        </is>
      </c>
      <c r="D53" s="2" t="n"/>
      <c r="E53" s="2" t="n"/>
      <c r="F53" s="2" t="n"/>
      <c r="G53" s="2" t="n"/>
      <c r="H53" s="2" t="n"/>
      <c r="I53" s="2" t="n"/>
      <c r="J53" s="2" t="n"/>
      <c r="K53" s="2" t="n"/>
      <c r="L53" s="2" t="n"/>
      <c r="M53" s="2" t="n"/>
      <c r="N53" s="2" t="n"/>
      <c r="O53" s="2" t="n"/>
      <c r="P53" s="2" t="n"/>
      <c r="Q53" s="2" t="n"/>
      <c r="R53" s="2" t="n"/>
      <c r="S53" s="2" t="n"/>
      <c r="T53" s="2" t="n"/>
      <c r="U53" s="2" t="n"/>
      <c r="V53" s="2" t="n"/>
      <c r="W53" s="2" t="n"/>
      <c r="X53" s="2" t="n"/>
      <c r="Y53" s="2" t="n"/>
      <c r="Z53" s="2" t="n"/>
      <c r="AA53" s="2" t="n"/>
      <c r="AB53" s="2" t="n"/>
      <c r="AC53" s="2" t="n"/>
      <c r="AD53" s="2" t="n"/>
      <c r="AE53" s="2" t="n"/>
      <c r="AF53" s="2" t="n"/>
      <c r="AG53" s="2" t="n"/>
      <c r="AH53" s="2" t="n"/>
      <c r="AI53" s="2" t="n"/>
      <c r="AJ53" s="2" t="n"/>
      <c r="AK53" s="2" t="n"/>
      <c r="AL53" s="2" t="n"/>
      <c r="AM53" s="2" t="n"/>
      <c r="AN53" s="2" t="n"/>
      <c r="AO53" s="2" t="n"/>
      <c r="AP53" s="2" t="n"/>
      <c r="AQ53" s="2" t="n"/>
      <c r="AR53" s="2" t="n"/>
      <c r="AS53" s="2" t="n"/>
      <c r="AT53" s="2" t="n"/>
      <c r="AU53" s="2" t="n"/>
      <c r="AV53" s="2" t="n"/>
      <c r="AW53" s="2" t="n"/>
      <c r="AX53" s="2" t="n"/>
      <c r="AY53" s="2" t="n"/>
      <c r="AZ53" s="2" t="n"/>
      <c r="BA53" s="2" t="n"/>
      <c r="BB53" s="2" t="n"/>
      <c r="BC53" s="21" t="n"/>
    </row>
    <row r="54" ht="15" customHeight="1"/>
    <row r="55" ht="15" customHeight="1">
      <c r="E55" s="41">
        <f>E17</f>
        <v/>
      </c>
      <c r="G55" s="21" t="inlineStr">
        <is>
          <t>date</t>
        </is>
      </c>
      <c r="I55" s="41">
        <f>I17</f>
        <v/>
      </c>
    </row>
    <row r="56" ht="15" customFormat="1" customHeight="1" s="173">
      <c r="A56" s="21" t="n"/>
      <c r="B56" s="21" t="n"/>
      <c r="C56" s="21" t="n"/>
      <c r="D56" s="21" t="n"/>
      <c r="E56" s="41">
        <f>E18</f>
        <v/>
      </c>
      <c r="F56" s="21" t="n"/>
      <c r="G56" s="21" t="inlineStr">
        <is>
          <t>date</t>
        </is>
      </c>
      <c r="H56" s="21" t="n"/>
      <c r="I56" s="41">
        <f>I18</f>
        <v/>
      </c>
      <c r="J56" s="174" t="n"/>
      <c r="K56" s="174" t="n"/>
      <c r="L56" s="174" t="n"/>
      <c r="M56" s="174" t="n"/>
      <c r="N56" s="174" t="n"/>
      <c r="O56" s="174" t="n"/>
      <c r="P56" s="174" t="n"/>
      <c r="Q56" s="174" t="n"/>
      <c r="R56" s="174" t="n"/>
      <c r="S56" s="174" t="n"/>
      <c r="T56" s="174" t="n"/>
      <c r="U56" s="174" t="n"/>
      <c r="V56" s="174" t="n"/>
      <c r="W56" s="174" t="n"/>
      <c r="X56" s="174" t="n"/>
      <c r="Y56" s="174" t="n"/>
      <c r="Z56" s="174" t="n"/>
      <c r="AA56" s="174" t="n"/>
      <c r="AB56" s="174" t="n"/>
      <c r="AC56" s="174" t="n"/>
      <c r="AD56" s="174" t="n"/>
      <c r="AE56" s="174" t="n"/>
      <c r="AF56" s="174" t="n"/>
      <c r="AG56" s="174" t="n"/>
      <c r="AH56" s="174" t="n"/>
      <c r="AI56" s="174" t="n"/>
      <c r="AJ56" s="174" t="n"/>
      <c r="AK56" s="174" t="n"/>
      <c r="AL56" s="174" t="n"/>
      <c r="AM56" s="174" t="n"/>
      <c r="AN56" s="174" t="n"/>
      <c r="AO56" s="174" t="n"/>
      <c r="AP56" s="174" t="n"/>
      <c r="AQ56" s="174" t="n"/>
      <c r="AR56" s="174" t="n"/>
      <c r="AS56" s="174" t="n"/>
      <c r="AT56" s="174" t="n"/>
      <c r="AU56" s="174" t="n"/>
      <c r="AV56" s="174" t="n"/>
      <c r="AW56" s="174" t="n"/>
      <c r="AX56" s="174" t="n"/>
      <c r="AY56" s="174" t="n"/>
      <c r="AZ56" s="174" t="n"/>
      <c r="BA56" s="174" t="n"/>
      <c r="BB56" s="174" t="n"/>
      <c r="BC56" s="174" t="n"/>
    </row>
    <row r="57" ht="15" customHeight="1">
      <c r="E57" s="41">
        <f>E19</f>
        <v/>
      </c>
      <c r="G57" s="21" t="inlineStr">
        <is>
          <t>date</t>
        </is>
      </c>
      <c r="I57" s="41">
        <f>I19</f>
        <v/>
      </c>
    </row>
    <row r="58" ht="15" customHeight="1">
      <c r="E58" s="21" t="inlineStr">
        <is>
          <t>Days in year</t>
        </is>
      </c>
      <c r="G58" s="21" t="inlineStr">
        <is>
          <t>days</t>
        </is>
      </c>
      <c r="I58" s="41" t="n"/>
      <c r="O58" s="34">
        <f>O4-O3+1</f>
        <v/>
      </c>
      <c r="P58" s="34">
        <f>P4-P3+1</f>
        <v/>
      </c>
      <c r="Q58" s="34">
        <f>Q4-Q3+1</f>
        <v/>
      </c>
      <c r="R58" s="34">
        <f>R4-R3+1</f>
        <v/>
      </c>
      <c r="S58" s="34">
        <f>S4-S3+1</f>
        <v/>
      </c>
      <c r="T58" s="34">
        <f>T4-T3+1</f>
        <v/>
      </c>
      <c r="U58" s="34">
        <f>U4-U3+1</f>
        <v/>
      </c>
      <c r="V58" s="34">
        <f>V4-V3+1</f>
        <v/>
      </c>
      <c r="W58" s="34">
        <f>W4-W3+1</f>
        <v/>
      </c>
      <c r="X58" s="34">
        <f>X4-X3+1</f>
        <v/>
      </c>
      <c r="Y58" s="34">
        <f>Y4-Y3+1</f>
        <v/>
      </c>
      <c r="Z58" s="34">
        <f>Z4-Z3+1</f>
        <v/>
      </c>
      <c r="AA58" s="34">
        <f>AA4-AA3+1</f>
        <v/>
      </c>
      <c r="AB58" s="34">
        <f>AB4-AB3+1</f>
        <v/>
      </c>
      <c r="AC58" s="34">
        <f>AC4-AC3+1</f>
        <v/>
      </c>
      <c r="AD58" s="34">
        <f>AD4-AD3+1</f>
        <v/>
      </c>
      <c r="AE58" s="34">
        <f>AE4-AE3+1</f>
        <v/>
      </c>
      <c r="AF58" s="34">
        <f>AF4-AF3+1</f>
        <v/>
      </c>
      <c r="AG58" s="34">
        <f>AG4-AG3+1</f>
        <v/>
      </c>
      <c r="AH58" s="34">
        <f>AH4-AH3+1</f>
        <v/>
      </c>
      <c r="AI58" s="34">
        <f>AI4-AI3+1</f>
        <v/>
      </c>
      <c r="AJ58" s="34">
        <f>AJ4-AJ3+1</f>
        <v/>
      </c>
      <c r="AK58" s="34">
        <f>AK4-AK3+1</f>
        <v/>
      </c>
      <c r="AL58" s="34">
        <f>AL4-AL3+1</f>
        <v/>
      </c>
      <c r="AM58" s="34">
        <f>AM4-AM3+1</f>
        <v/>
      </c>
      <c r="AN58" s="34">
        <f>AN4-AN3+1</f>
        <v/>
      </c>
      <c r="AO58" s="34">
        <f>AO4-AO3+1</f>
        <v/>
      </c>
      <c r="AP58" s="34">
        <f>AP4-AP3+1</f>
        <v/>
      </c>
      <c r="AQ58" s="34">
        <f>AQ4-AQ3+1</f>
        <v/>
      </c>
      <c r="AR58" s="34">
        <f>AR4-AR3+1</f>
        <v/>
      </c>
      <c r="AS58" s="34">
        <f>AS4-AS3+1</f>
        <v/>
      </c>
      <c r="AT58" s="34">
        <f>AT4-AT3+1</f>
        <v/>
      </c>
      <c r="AU58" s="34">
        <f>AU4-AU3+1</f>
        <v/>
      </c>
      <c r="AV58" s="34">
        <f>AV4-AV3+1</f>
        <v/>
      </c>
      <c r="AW58" s="34">
        <f>AW4-AW3+1</f>
        <v/>
      </c>
      <c r="AX58" s="34">
        <f>AX4-AX3+1</f>
        <v/>
      </c>
      <c r="AY58" s="34">
        <f>AY4-AY3+1</f>
        <v/>
      </c>
      <c r="AZ58" s="34">
        <f>AZ4-AZ3+1</f>
        <v/>
      </c>
      <c r="BA58" s="34">
        <f>BA4-BA3+1</f>
        <v/>
      </c>
      <c r="BB58" s="34">
        <f>BB4-BB3+1</f>
        <v/>
      </c>
    </row>
    <row r="59" ht="15" customHeight="1">
      <c r="I59" s="41" t="n"/>
    </row>
    <row r="60" ht="15" customHeight="1">
      <c r="E60" s="21" t="inlineStr">
        <is>
          <t>Regime start date flag</t>
        </is>
      </c>
      <c r="G60" s="21" t="inlineStr">
        <is>
          <t>flag</t>
        </is>
      </c>
      <c r="O60" s="88">
        <f>IF($I$57=O$4,1,0)</f>
        <v/>
      </c>
      <c r="P60" s="88">
        <f>IF($I$57=P$4,1,0)</f>
        <v/>
      </c>
      <c r="Q60" s="88">
        <f>IF($I$57=Q$4,1,0)</f>
        <v/>
      </c>
      <c r="R60" s="88">
        <f>IF($I$57=R$4,1,0)</f>
        <v/>
      </c>
      <c r="S60" s="88">
        <f>IF($I$57=S$4,1,0)</f>
        <v/>
      </c>
      <c r="T60" s="88">
        <f>IF($I$57=T$4,1,0)</f>
        <v/>
      </c>
      <c r="U60" s="88">
        <f>IF($I$57=U$4,1,0)</f>
        <v/>
      </c>
      <c r="V60" s="88">
        <f>IF($I$57=V$4,1,0)</f>
        <v/>
      </c>
      <c r="W60" s="88">
        <f>IF($I$57=W$4,1,0)</f>
        <v/>
      </c>
      <c r="X60" s="88">
        <f>IF($I$57=X$4,1,0)</f>
        <v/>
      </c>
      <c r="Y60" s="88">
        <f>IF($I$57=Y$4,1,0)</f>
        <v/>
      </c>
      <c r="Z60" s="88">
        <f>IF($I$57=Z$4,1,0)</f>
        <v/>
      </c>
      <c r="AA60" s="88">
        <f>IF($I$57=AA$4,1,0)</f>
        <v/>
      </c>
      <c r="AB60" s="88">
        <f>IF($I$57=AB$4,1,0)</f>
        <v/>
      </c>
      <c r="AC60" s="88">
        <f>IF($I$57=AC$4,1,0)</f>
        <v/>
      </c>
      <c r="AD60" s="88">
        <f>IF($I$57=AD$4,1,0)</f>
        <v/>
      </c>
      <c r="AE60" s="88">
        <f>IF($I$57=AE$4,1,0)</f>
        <v/>
      </c>
      <c r="AF60" s="88">
        <f>IF($I$57=AF$4,1,0)</f>
        <v/>
      </c>
      <c r="AG60" s="88">
        <f>IF($I$57=AG$4,1,0)</f>
        <v/>
      </c>
      <c r="AH60" s="88">
        <f>IF($I$57=AH$4,1,0)</f>
        <v/>
      </c>
      <c r="AI60" s="88">
        <f>IF($I$57=AI$4,1,0)</f>
        <v/>
      </c>
      <c r="AJ60" s="88">
        <f>IF($I$57=AJ$4,1,0)</f>
        <v/>
      </c>
      <c r="AK60" s="88">
        <f>IF($I$57=AK$4,1,0)</f>
        <v/>
      </c>
      <c r="AL60" s="88">
        <f>IF($I$57=AL$4,1,0)</f>
        <v/>
      </c>
      <c r="AM60" s="88">
        <f>IF($I$57=AM$4,1,0)</f>
        <v/>
      </c>
      <c r="AN60" s="88">
        <f>IF($I$57=AN$4,1,0)</f>
        <v/>
      </c>
      <c r="AO60" s="88">
        <f>IF($I$57=AO$4,1,0)</f>
        <v/>
      </c>
      <c r="AP60" s="88">
        <f>IF($I$57=AP$4,1,0)</f>
        <v/>
      </c>
      <c r="AQ60" s="88">
        <f>IF($I$57=AQ$4,1,0)</f>
        <v/>
      </c>
      <c r="AR60" s="88">
        <f>IF($I$57=AR$4,1,0)</f>
        <v/>
      </c>
      <c r="AS60" s="88">
        <f>IF($I$57=AS$4,1,0)</f>
        <v/>
      </c>
      <c r="AT60" s="88">
        <f>IF($I$57=AT$4,1,0)</f>
        <v/>
      </c>
      <c r="AU60" s="88">
        <f>IF($I$57=AU$4,1,0)</f>
        <v/>
      </c>
      <c r="AV60" s="88">
        <f>IF($I$57=AV$4,1,0)</f>
        <v/>
      </c>
      <c r="AW60" s="88">
        <f>IF($I$57=AW$4,1,0)</f>
        <v/>
      </c>
      <c r="AX60" s="88">
        <f>IF($I$57=AX$4,1,0)</f>
        <v/>
      </c>
      <c r="AY60" s="88">
        <f>IF($I$57=AY$4,1,0)</f>
        <v/>
      </c>
      <c r="AZ60" s="88">
        <f>IF($I$57=AZ$4,1,0)</f>
        <v/>
      </c>
      <c r="BA60" s="88">
        <f>IF($I$57=BA$4,1,0)</f>
        <v/>
      </c>
      <c r="BB60" s="88">
        <f>IF($I$57=BB$4,1,0)</f>
        <v/>
      </c>
    </row>
    <row r="61" ht="15" customHeight="1">
      <c r="E61" s="21" t="inlineStr">
        <is>
          <t>Regime end date</t>
        </is>
      </c>
      <c r="G61" s="21" t="inlineStr">
        <is>
          <t>date</t>
        </is>
      </c>
      <c r="H61" s="41" t="n"/>
      <c r="I61" s="41">
        <f>DATE(YEAR($I$55)+I21,MONTH($I$55),DAY($I$55))-1</f>
        <v/>
      </c>
      <c r="O61" s="88" t="n"/>
      <c r="P61" s="88" t="n"/>
      <c r="Q61" s="88" t="n"/>
      <c r="R61" s="88" t="n"/>
      <c r="S61" s="88" t="n"/>
      <c r="T61" s="88" t="n"/>
      <c r="U61" s="88" t="n"/>
      <c r="V61" s="88" t="n"/>
      <c r="W61" s="88" t="n"/>
      <c r="X61" s="88" t="n"/>
      <c r="Y61" s="88" t="n"/>
      <c r="Z61" s="88" t="n"/>
      <c r="AA61" s="88" t="n"/>
      <c r="AB61" s="88" t="n"/>
      <c r="AC61" s="88" t="n"/>
      <c r="AD61" s="88" t="n"/>
      <c r="AE61" s="88" t="n"/>
      <c r="AF61" s="88" t="n"/>
      <c r="AG61" s="88" t="n"/>
      <c r="AH61" s="88" t="n"/>
      <c r="AI61" s="88" t="n"/>
      <c r="AJ61" s="88" t="n"/>
      <c r="AK61" s="88" t="n"/>
      <c r="AL61" s="88" t="n"/>
      <c r="AM61" s="88" t="n"/>
      <c r="AN61" s="88" t="n"/>
      <c r="AO61" s="88" t="n"/>
      <c r="AP61" s="88" t="n"/>
      <c r="AQ61" s="88" t="n"/>
      <c r="AR61" s="88" t="n"/>
      <c r="AS61" s="88" t="n"/>
      <c r="AT61" s="88" t="n"/>
      <c r="AU61" s="88" t="n"/>
      <c r="AV61" s="88" t="n"/>
      <c r="AW61" s="88" t="n"/>
      <c r="AX61" s="88" t="n"/>
      <c r="AY61" s="88" t="n"/>
      <c r="AZ61" s="88" t="n"/>
      <c r="BA61" s="88" t="n"/>
      <c r="BB61" s="88" t="n"/>
    </row>
    <row r="62" ht="15" customHeight="1">
      <c r="E62" s="21" t="inlineStr">
        <is>
          <t>Regime end date flag</t>
        </is>
      </c>
      <c r="G62" s="21" t="inlineStr">
        <is>
          <t>flag</t>
        </is>
      </c>
      <c r="O62" s="88">
        <f>IF(AND($I61&lt;O$4,$I61&gt;=N$4),1,0)</f>
        <v/>
      </c>
      <c r="P62" s="88">
        <f>IF(AND($I61&lt;P$4,$I61&gt;=O$4),1,0)</f>
        <v/>
      </c>
      <c r="Q62" s="88">
        <f>IF(AND($I61&lt;Q$4,$I61&gt;=P$4),1,0)</f>
        <v/>
      </c>
      <c r="R62" s="88">
        <f>IF(AND($I61&lt;R$4,$I61&gt;=Q$4),1,0)</f>
        <v/>
      </c>
      <c r="S62" s="88">
        <f>IF(AND($I61&lt;S$4,$I61&gt;=R$4),1,0)</f>
        <v/>
      </c>
      <c r="T62" s="88">
        <f>IF(AND($I61&lt;T$4,$I61&gt;=S$4),1,0)</f>
        <v/>
      </c>
      <c r="U62" s="88">
        <f>IF(AND($I61&lt;U$4,$I61&gt;=T$4),1,0)</f>
        <v/>
      </c>
      <c r="V62" s="88">
        <f>IF(AND($I61&lt;V$4,$I61&gt;=U$4),1,0)</f>
        <v/>
      </c>
      <c r="W62" s="88">
        <f>IF(AND($I61&lt;W$4,$I61&gt;=V$4),1,0)</f>
        <v/>
      </c>
      <c r="X62" s="88">
        <f>IF(AND($I61&lt;X$4,$I61&gt;=W$4),1,0)</f>
        <v/>
      </c>
      <c r="Y62" s="88">
        <f>IF(AND($I61&lt;Y$4,$I61&gt;=X$4),1,0)</f>
        <v/>
      </c>
      <c r="Z62" s="88">
        <f>IF(AND($I61&lt;Z$4,$I61&gt;=Y$4),1,0)</f>
        <v/>
      </c>
      <c r="AA62" s="88">
        <f>IF(AND($I61&lt;AA$4,$I61&gt;=Z$4),1,0)</f>
        <v/>
      </c>
      <c r="AB62" s="88">
        <f>IF(AND($I61&lt;AB$4,$I61&gt;=AA$4),1,0)</f>
        <v/>
      </c>
      <c r="AC62" s="88">
        <f>IF(AND($I61&lt;AC$4,$I61&gt;=AB$4),1,0)</f>
        <v/>
      </c>
      <c r="AD62" s="88">
        <f>IF(AND($I61&lt;AD$4,$I61&gt;=AC$4),1,0)</f>
        <v/>
      </c>
      <c r="AE62" s="88">
        <f>IF(AND($I61&lt;AE$4,$I61&gt;=AD$4),1,0)</f>
        <v/>
      </c>
      <c r="AF62" s="88">
        <f>IF(AND($I61&lt;AF$4,$I61&gt;=AE$4),1,0)</f>
        <v/>
      </c>
      <c r="AG62" s="88">
        <f>IF(AND($I61&lt;AG$4,$I61&gt;=AF$4),1,0)</f>
        <v/>
      </c>
      <c r="AH62" s="88">
        <f>IF(AND($I61&lt;AH$4,$I61&gt;=AG$4),1,0)</f>
        <v/>
      </c>
      <c r="AI62" s="88">
        <f>IF(AND($I61&lt;AI$4,$I61&gt;=AH$4),1,0)</f>
        <v/>
      </c>
      <c r="AJ62" s="88">
        <f>IF(AND($I61&lt;AJ$4,$I61&gt;=AI$4),1,0)</f>
        <v/>
      </c>
      <c r="AK62" s="88">
        <f>IF(AND($I61&lt;AK$4,$I61&gt;=AJ$4),1,0)</f>
        <v/>
      </c>
      <c r="AL62" s="88">
        <f>IF(AND($I61&lt;AL$4,$I61&gt;=AK$4),1,0)</f>
        <v/>
      </c>
      <c r="AM62" s="88">
        <f>IF(AND($I61&lt;AM$4,$I61&gt;=AL$4),1,0)</f>
        <v/>
      </c>
      <c r="AN62" s="88">
        <f>IF(AND($I61&lt;AN$4,$I61&gt;=AM$4),1,0)</f>
        <v/>
      </c>
      <c r="AO62" s="88">
        <f>IF(AND($I61&lt;AO$4,$I61&gt;=AN$4),1,0)</f>
        <v/>
      </c>
      <c r="AP62" s="88">
        <f>IF(AND($I61&lt;AP$4,$I61&gt;=AO$4),1,0)</f>
        <v/>
      </c>
      <c r="AQ62" s="88">
        <f>IF(AND($I61&lt;AQ$4,$I61&gt;=AP$4),1,0)</f>
        <v/>
      </c>
      <c r="AR62" s="88">
        <f>IF(AND($I61&lt;AR$4,$I61&gt;=AQ$4),1,0)</f>
        <v/>
      </c>
      <c r="AS62" s="88">
        <f>IF(AND($I61&lt;AS$4,$I61&gt;=AR$4),1,0)</f>
        <v/>
      </c>
      <c r="AT62" s="88">
        <f>IF(AND($I61&lt;AT$4,$I61&gt;=AS$4),1,0)</f>
        <v/>
      </c>
      <c r="AU62" s="88">
        <f>IF(AND($I61&lt;AU$4,$I61&gt;=AT$4),1,0)</f>
        <v/>
      </c>
      <c r="AV62" s="88">
        <f>IF(AND($I61&lt;AV$4,$I61&gt;=AU$4),1,0)</f>
        <v/>
      </c>
      <c r="AW62" s="88">
        <f>IF(AND($I61&lt;AW$4,$I61&gt;=AV$4),1,0)</f>
        <v/>
      </c>
      <c r="AX62" s="88">
        <f>IF(AND($I61&lt;AX$4,$I61&gt;=AW$4),1,0)</f>
        <v/>
      </c>
      <c r="AY62" s="88">
        <f>IF(AND($I61&lt;AY$4,$I61&gt;=AX$4),1,0)</f>
        <v/>
      </c>
      <c r="AZ62" s="88">
        <f>IF(AND($I61&lt;AZ$4,$I61&gt;=AY$4),1,0)</f>
        <v/>
      </c>
      <c r="BA62" s="88">
        <f>IF(AND($I61&lt;BA$4,$I61&gt;=AZ$4),1,0)</f>
        <v/>
      </c>
      <c r="BB62" s="88">
        <f>IF(AND($I61&lt;BB$4,$I61&gt;=BA$4),1,0)</f>
        <v/>
      </c>
    </row>
    <row r="63" ht="15" customHeight="1">
      <c r="E63" s="21" t="inlineStr">
        <is>
          <t>Number of days cap term</t>
        </is>
      </c>
      <c r="G63" s="21" t="inlineStr">
        <is>
          <t>days</t>
        </is>
      </c>
      <c r="H63" s="21" t="inlineStr">
        <is>
          <t>NDC</t>
        </is>
      </c>
      <c r="I63" s="39">
        <f>+I57-I55+1</f>
        <v/>
      </c>
      <c r="O63" s="88" t="n"/>
      <c r="P63" s="88" t="n"/>
      <c r="Q63" s="88" t="n"/>
      <c r="R63" s="88" t="n"/>
      <c r="S63" s="88" t="n"/>
      <c r="T63" s="88" t="n"/>
      <c r="U63" s="88" t="n"/>
      <c r="V63" s="88" t="n"/>
      <c r="W63" s="88" t="n"/>
      <c r="X63" s="88" t="n"/>
      <c r="Y63" s="88" t="n"/>
      <c r="Z63" s="88" t="n"/>
      <c r="AA63" s="88" t="n"/>
      <c r="AB63" s="88" t="n"/>
      <c r="AC63" s="88" t="n"/>
      <c r="AD63" s="88" t="n"/>
      <c r="AE63" s="88" t="n"/>
      <c r="AF63" s="88" t="n"/>
      <c r="AG63" s="88" t="n"/>
      <c r="AH63" s="88" t="n"/>
      <c r="AI63" s="88" t="n"/>
      <c r="AJ63" s="88" t="n"/>
      <c r="AK63" s="88" t="n"/>
      <c r="AL63" s="88" t="n"/>
      <c r="AM63" s="88" t="n"/>
      <c r="AN63" s="88" t="n"/>
      <c r="AO63" s="88" t="n"/>
      <c r="AP63" s="88" t="n"/>
      <c r="AQ63" s="88" t="n"/>
      <c r="AR63" s="88" t="n"/>
      <c r="AS63" s="88" t="n"/>
      <c r="AT63" s="88" t="n"/>
      <c r="AU63" s="88" t="n"/>
      <c r="AV63" s="88" t="n"/>
      <c r="AW63" s="88" t="n"/>
      <c r="AX63" s="88" t="n"/>
      <c r="AY63" s="88" t="n"/>
      <c r="AZ63" s="88" t="n"/>
      <c r="BA63" s="88" t="n"/>
      <c r="BB63" s="88" t="n"/>
    </row>
    <row r="64" ht="15" customHeight="1">
      <c r="E64" s="21" t="inlineStr">
        <is>
          <t>Partial year cap adjustment factor</t>
        </is>
      </c>
      <c r="G64" s="21" t="inlineStr">
        <is>
          <t>flag</t>
        </is>
      </c>
      <c r="H64" s="21" t="inlineStr">
        <is>
          <t>PYCt</t>
        </is>
      </c>
      <c r="O64" s="89">
        <f>+IF(SUM($O60:O60)&lt;1,0,IF(O$5=1,$I$63/365.25,IF(O$5=25,1+(365.25-$I$63)/365.25,IF(O$5&gt;25,0,1))))</f>
        <v/>
      </c>
      <c r="P64" s="89">
        <f>+IF(SUM($O60:P60)&lt;1,0,IF(P$5=1,$I$63/365.25,IF(P$5=25,1+(365.25-$I$63)/365.25,IF(P$5&gt;25,0,1))))</f>
        <v/>
      </c>
      <c r="Q64" s="89">
        <f>+IF(SUM($O60:Q60)&lt;1,0,IF(Q$5=1,$I$63/365.25,IF(Q$5=25,1+(365.25-$I$63)/365.25,IF(Q$5&gt;25,0,1))))</f>
        <v/>
      </c>
      <c r="R64" s="89">
        <f>+IF(SUM($O60:R60)&lt;1,0,IF(R$5=1,$I$63/365.25,IF(R$5=25,1+(365.25-$I$63)/365.25,IF(R$5&gt;25,0,1))))</f>
        <v/>
      </c>
      <c r="S64" s="89">
        <f>+IF(SUM($O60:S60)&lt;1,0,IF(S$5=1,$I$63/365.25,IF(S$5=25,1+(365.25-$I$63)/365.25,IF(S$5&gt;25,0,1))))</f>
        <v/>
      </c>
      <c r="T64" s="89">
        <f>+IF(SUM($O60:T60)&lt;1,0,IF(T$5=1,$I$63/365.25,IF(T$5=25,1+(365.25-$I$63)/365.25,IF(T$5&gt;25,0,1))))</f>
        <v/>
      </c>
      <c r="U64" s="89">
        <f>+IF(SUM($O60:U60)&lt;1,0,IF(U$5=1,$I$63/365.25,IF(U$5=25,1+(365.25-$I$63)/365.25,IF(U$5&gt;25,0,1))))</f>
        <v/>
      </c>
      <c r="V64" s="89">
        <f>+IF(SUM($O60:V60)&lt;1,0,IF(V$5=1,$I$63/365.25,IF(V$5=25,1+(365.25-$I$63)/365.25,IF(V$5&gt;25,0,1))))</f>
        <v/>
      </c>
      <c r="W64" s="89">
        <f>+IF(SUM($O60:W60)&lt;1,0,IF(W$5=1,$I$63/365.25,IF(W$5=25,1+(365.25-$I$63)/365.25,IF(W$5&gt;25,0,1))))</f>
        <v/>
      </c>
      <c r="X64" s="89">
        <f>+IF(SUM($O60:X60)&lt;1,0,IF(X$5=1,$I$63/365.25,IF(X$5=25,1+(365.25-$I$63)/365.25,IF(X$5&gt;25,0,1))))</f>
        <v/>
      </c>
      <c r="Y64" s="89">
        <f>+IF(SUM($O60:Y60)&lt;1,0,IF(Y$5=1,$I$63/365.25,IF(Y$5=25,1+(365.25-$I$63)/365.25,IF(Y$5&gt;25,0,1))))</f>
        <v/>
      </c>
      <c r="Z64" s="89">
        <f>+IF(SUM($O60:Z60)&lt;1,0,IF(Z$5=1,$I$63/365.25,IF(Z$5=25,1+(365.25-$I$63)/365.25,IF(Z$5&gt;25,0,1))))</f>
        <v/>
      </c>
      <c r="AA64" s="89">
        <f>+IF(SUM($O60:AA60)&lt;1,0,IF(AA$5=1,$I$63/365.25,IF(AA$5=25,1+(365.25-$I$63)/365.25,IF(AA$5&gt;25,0,1))))</f>
        <v/>
      </c>
      <c r="AB64" s="89">
        <f>+IF(SUM($O60:AB60)&lt;1,0,IF(AB$5=1,$I$63/365.25,IF(AB$5=25,1+(365.25-$I$63)/365.25,IF(AB$5&gt;25,0,1))))</f>
        <v/>
      </c>
      <c r="AC64" s="89">
        <f>+IF(SUM($O60:AC60)&lt;1,0,IF(AC$5=1,$I$63/365.25,IF(AC$5=25,1+(365.25-$I$63)/365.25,IF(AC$5&gt;25,0,1))))</f>
        <v/>
      </c>
      <c r="AD64" s="89">
        <f>+IF(SUM($O60:AD60)&lt;1,0,IF(AD$5=1,$I$63/365.25,IF(AD$5=25,1+(365.25-$I$63)/365.25,IF(AD$5&gt;25,0,1))))</f>
        <v/>
      </c>
      <c r="AE64" s="89">
        <f>+IF(SUM($O60:AE60)&lt;1,0,IF(AE$5=1,$I$63/365.25,IF(AE$5=25,1+(365.25-$I$63)/365.25,IF(AE$5&gt;25,0,1))))</f>
        <v/>
      </c>
      <c r="AF64" s="89">
        <f>+IF(SUM($O60:AF60)&lt;1,0,IF(AF$5=1,$I$63/365.25,IF(AF$5=25,1+(365.25-$I$63)/365.25,IF(AF$5&gt;25,0,1))))</f>
        <v/>
      </c>
      <c r="AG64" s="89">
        <f>+IF(SUM($O60:AG60)&lt;1,0,IF(AG$5=1,$I$63/365.25,IF(AG$5=25,1+(365.25-$I$63)/365.25,IF(AG$5&gt;25,0,1))))</f>
        <v/>
      </c>
      <c r="AH64" s="89">
        <f>+IF(SUM($O60:AH60)&lt;1,0,IF(AH$5=1,$I$63/365.25,IF(AH$5=25,1+(365.25-$I$63)/365.25,IF(AH$5&gt;25,0,1))))</f>
        <v/>
      </c>
      <c r="AI64" s="89">
        <f>+IF(SUM($O60:AI60)&lt;1,0,IF(AI$5=1,$I$63/365.25,IF(AI$5=25,1+(365.25-$I$63)/365.25,IF(AI$5&gt;25,0,1))))</f>
        <v/>
      </c>
      <c r="AJ64" s="89">
        <f>+IF(SUM($O60:AJ60)&lt;1,0,IF(AJ$5=1,$I$63/365.25,IF(AJ$5=25,1+(365.25-$I$63)/365.25,IF(AJ$5&gt;25,0,1))))</f>
        <v/>
      </c>
      <c r="AK64" s="89">
        <f>+IF(SUM($O60:AK60)&lt;1,0,IF(AK$5=1,$I$63/365.25,IF(AK$5=25,1+(365.25-$I$63)/365.25,IF(AK$5&gt;25,0,1))))</f>
        <v/>
      </c>
      <c r="AL64" s="89">
        <f>+IF(SUM($O60:AL60)&lt;1,0,IF(AL$5=1,$I$63/365.25,IF(AL$5=25,1+(365.25-$I$63)/365.25,IF(AL$5&gt;25,0,1))))</f>
        <v/>
      </c>
      <c r="AM64" s="89">
        <f>+IF(SUM($O60:AM60)&lt;1,0,IF(AM$5=1,$I$63/365.25,IF(AM$5=25,1+(365.25-$I$63)/365.25,IF(AM$5&gt;25,0,1))))</f>
        <v/>
      </c>
      <c r="AN64" s="89">
        <f>+IF(SUM($O60:AN60)&lt;1,0,IF(AN$5=1,$I$63/365.25,IF(AN$5=25,1+(365.25-$I$63)/365.25,IF(AN$5&gt;25,0,1))))</f>
        <v/>
      </c>
      <c r="AO64" s="89">
        <f>+IF(SUM($O60:AO60)&lt;1,0,IF(AO$5=1,$I$63/365.25,IF(AO$5=25,1+(365.25-$I$63)/365.25,IF(AO$5&gt;25,0,1))))</f>
        <v/>
      </c>
      <c r="AP64" s="89">
        <f>+IF(SUM($O60:AP60)&lt;1,0,IF(AP$5=1,$I$63/365.25,IF(AP$5=25,1+(365.25-$I$63)/365.25,IF(AP$5&gt;25,0,1))))</f>
        <v/>
      </c>
      <c r="AQ64" s="89">
        <f>+IF(SUM($O60:AQ60)&lt;1,0,IF(AQ$5=1,$I$63/365.25,IF(AQ$5=25,1+(365.25-$I$63)/365.25,IF(AQ$5&gt;25,0,1))))</f>
        <v/>
      </c>
      <c r="AR64" s="89">
        <f>+IF(SUM($O60:AR60)&lt;1,0,IF(AR$5=1,$I$63/365.25,IF(AR$5=25,1+(365.25-$I$63)/365.25,IF(AR$5&gt;25,0,1))))</f>
        <v/>
      </c>
      <c r="AS64" s="89">
        <f>+IF(SUM($O60:AS60)&lt;1,0,IF(AS$5=1,$I$63/365.25,IF(AS$5=25,1+(365.25-$I$63)/365.25,IF(AS$5&gt;25,0,1))))</f>
        <v/>
      </c>
      <c r="AT64" s="89">
        <f>+IF(SUM($O60:AT60)&lt;1,0,IF(AT$5=1,$I$63/365.25,IF(AT$5=25,1+(365.25-$I$63)/365.25,IF(AT$5&gt;25,0,1))))</f>
        <v/>
      </c>
      <c r="AU64" s="89">
        <f>+IF(SUM($O60:AU60)&lt;1,0,IF(AU$5=1,$I$63/365.25,IF(AU$5=25,1+(365.25-$I$63)/365.25,IF(AU$5&gt;25,0,1))))</f>
        <v/>
      </c>
      <c r="AV64" s="89">
        <f>+IF(SUM($O60:AV60)&lt;1,0,IF(AV$5=1,$I$63/365.25,IF(AV$5=25,1+(365.25-$I$63)/365.25,IF(AV$5&gt;25,0,1))))</f>
        <v/>
      </c>
      <c r="AW64" s="89">
        <f>+IF(SUM($O60:AW60)&lt;1,0,IF(AW$5=1,$I$63/365.25,IF(AW$5=25,1+(365.25-$I$63)/365.25,IF(AW$5&gt;25,0,1))))</f>
        <v/>
      </c>
      <c r="AX64" s="89">
        <f>+IF(SUM($O60:AX60)&lt;1,0,IF(AX$5=1,$I$63/365.25,IF(AX$5=25,1+(365.25-$I$63)/365.25,IF(AX$5&gt;25,0,1))))</f>
        <v/>
      </c>
      <c r="AY64" s="89">
        <f>+IF(SUM($O60:AY60)&lt;1,0,IF(AY$5=1,$I$63/365.25,IF(AY$5=25,1+(365.25-$I$63)/365.25,IF(AY$5&gt;25,0,1))))</f>
        <v/>
      </c>
      <c r="AZ64" s="89">
        <f>+IF(SUM($O60:AZ60)&lt;1,0,IF(AZ$5=1,$I$63/365.25,IF(AZ$5=25,1+(365.25-$I$63)/365.25,IF(AZ$5&gt;25,0,1))))</f>
        <v/>
      </c>
      <c r="BA64" s="89">
        <f>+IF(SUM($O60:BA60)&lt;1,0,IF(BA$5=1,$I$63/365.25,IF(BA$5=25,1+(365.25-$I$63)/365.25,IF(BA$5&gt;25,0,1))))</f>
        <v/>
      </c>
      <c r="BB64" s="89">
        <f>+IF(SUM($O60:BB60)&lt;1,0,IF(BB$5=1,$I$63/365.25,IF(BB$5=25,1+(365.25-$I$63)/365.25,IF(BB$5&gt;25,0,1))))</f>
        <v/>
      </c>
    </row>
    <row r="65" ht="15" customHeight="1">
      <c r="E65" s="32" t="inlineStr">
        <is>
          <t>Partial year cap adjustment factor check</t>
        </is>
      </c>
      <c r="F65" s="32" t="n"/>
      <c r="G65" s="32" t="inlineStr">
        <is>
          <t>check</t>
        </is>
      </c>
      <c r="H65" s="32" t="n"/>
      <c r="I65" s="162">
        <f>SUM(O64:BB64)=$I$75</f>
        <v/>
      </c>
      <c r="J65" s="32" t="n"/>
      <c r="K65" s="32" t="n"/>
      <c r="L65" s="32" t="n"/>
      <c r="M65" s="32" t="n"/>
      <c r="N65" s="32" t="n"/>
      <c r="O65" s="45" t="n"/>
      <c r="P65" s="45" t="n"/>
      <c r="Q65" s="45" t="n"/>
      <c r="R65" s="45" t="n"/>
      <c r="S65" s="45" t="n"/>
      <c r="T65" s="45" t="n"/>
      <c r="U65" s="45" t="n"/>
      <c r="V65" s="45" t="n"/>
      <c r="W65" s="45" t="n"/>
      <c r="X65" s="45" t="n"/>
      <c r="Y65" s="45" t="n"/>
      <c r="Z65" s="45" t="n"/>
      <c r="AA65" s="45" t="n"/>
      <c r="AB65" s="45" t="n"/>
      <c r="AC65" s="45" t="n"/>
      <c r="AD65" s="45" t="n"/>
      <c r="AE65" s="45" t="n"/>
      <c r="AF65" s="45" t="n"/>
      <c r="AG65" s="45" t="n"/>
      <c r="AH65" s="45" t="n"/>
      <c r="AI65" s="45" t="n"/>
      <c r="AJ65" s="45" t="n"/>
      <c r="AK65" s="45" t="n"/>
      <c r="AL65" s="45" t="n"/>
      <c r="AM65" s="45" t="n"/>
      <c r="AN65" s="45" t="n"/>
      <c r="AO65" s="45" t="n"/>
      <c r="AP65" s="45" t="n"/>
      <c r="AQ65" s="45" t="n"/>
      <c r="AR65" s="45" t="n"/>
      <c r="AS65" s="45" t="n"/>
      <c r="AT65" s="45" t="n"/>
      <c r="AU65" s="45" t="n"/>
      <c r="AV65" s="45" t="n"/>
      <c r="AW65" s="45" t="n"/>
      <c r="AX65" s="45" t="n"/>
      <c r="AY65" s="45" t="n"/>
      <c r="AZ65" s="45" t="n"/>
      <c r="BA65" s="45" t="n"/>
      <c r="BB65" s="45" t="n"/>
    </row>
    <row r="66" ht="15" customHeight="1">
      <c r="E66" s="32" t="n"/>
      <c r="F66" s="32" t="n"/>
      <c r="G66" s="32" t="n"/>
      <c r="H66" s="32" t="n"/>
      <c r="I66" s="54" t="n"/>
      <c r="J66" s="32" t="n"/>
      <c r="K66" s="32" t="n"/>
      <c r="L66" s="32" t="n"/>
      <c r="M66" s="32" t="n"/>
      <c r="N66" s="32" t="n"/>
      <c r="O66" s="45" t="n"/>
      <c r="P66" s="45" t="n"/>
      <c r="Q66" s="45" t="n"/>
      <c r="R66" s="45" t="n"/>
      <c r="S66" s="45" t="n"/>
      <c r="T66" s="45" t="n"/>
      <c r="U66" s="45" t="n"/>
      <c r="V66" s="45" t="n"/>
      <c r="W66" s="45" t="n"/>
      <c r="X66" s="45" t="n"/>
      <c r="Y66" s="45" t="n"/>
      <c r="Z66" s="45" t="n"/>
      <c r="AA66" s="45" t="n"/>
      <c r="AB66" s="45" t="n"/>
      <c r="AC66" s="45" t="n"/>
      <c r="AD66" s="45" t="n"/>
      <c r="AE66" s="45" t="n"/>
      <c r="AF66" s="45" t="n"/>
      <c r="AG66" s="45" t="n"/>
      <c r="AH66" s="45" t="n"/>
      <c r="AI66" s="45" t="n"/>
      <c r="AJ66" s="45" t="n"/>
      <c r="AK66" s="45" t="n"/>
      <c r="AL66" s="45" t="n"/>
      <c r="AM66" s="45" t="n"/>
      <c r="AN66" s="45" t="n"/>
      <c r="AO66" s="45" t="n"/>
      <c r="AP66" s="45" t="n"/>
      <c r="AQ66" s="45" t="n"/>
      <c r="AR66" s="45" t="n"/>
      <c r="AS66" s="45" t="n"/>
      <c r="AT66" s="45" t="n"/>
      <c r="AU66" s="45" t="n"/>
      <c r="AV66" s="45" t="n"/>
      <c r="AW66" s="45" t="n"/>
      <c r="AX66" s="45" t="n"/>
      <c r="AY66" s="45" t="n"/>
      <c r="AZ66" s="45" t="n"/>
      <c r="BA66" s="45" t="n"/>
      <c r="BB66" s="45" t="n"/>
    </row>
    <row r="67" ht="15" customHeight="1">
      <c r="E67" s="21" t="inlineStr">
        <is>
          <t>Floor start date</t>
        </is>
      </c>
      <c r="G67" s="21" t="inlineStr">
        <is>
          <t>date</t>
        </is>
      </c>
      <c r="I67" s="50" t="n">
        <v>44408</v>
      </c>
    </row>
    <row r="68" ht="15" customHeight="1">
      <c r="E68" s="21" t="inlineStr">
        <is>
          <t>Start of financial year of floor start date</t>
        </is>
      </c>
      <c r="G68" s="21" t="inlineStr">
        <is>
          <t>date</t>
        </is>
      </c>
      <c r="I68" s="41">
        <f>IF(MONTH(I67)&lt;$I$22,DATE(YEAR(I67)-1,$I$22,1),DATE(YEAR(I67),$I$22,1))</f>
        <v/>
      </c>
    </row>
    <row r="69" ht="15" customHeight="1">
      <c r="E69" s="21" t="inlineStr">
        <is>
          <t>End of financial year of floor start date</t>
        </is>
      </c>
      <c r="G69" s="21" t="inlineStr">
        <is>
          <t>date</t>
        </is>
      </c>
      <c r="I69" s="41">
        <f>EOMONTH(I68,11)</f>
        <v/>
      </c>
    </row>
    <row r="70" ht="15" customHeight="1">
      <c r="E70" s="21" t="inlineStr">
        <is>
          <t>Floor start date flag</t>
        </is>
      </c>
      <c r="G70" s="21" t="inlineStr">
        <is>
          <t>flag</t>
        </is>
      </c>
      <c r="O70" s="88">
        <f>IF(AND($I67&lt;=O$4,$I67&gt;=O$3),1,0)</f>
        <v/>
      </c>
      <c r="P70" s="88">
        <f>IF(AND($I67&lt;=P$4,$I67&gt;=P$3),1,0)</f>
        <v/>
      </c>
      <c r="Q70" s="88">
        <f>IF(AND($I67&lt;=Q$4,$I67&gt;=Q$3),1,0)</f>
        <v/>
      </c>
      <c r="R70" s="88">
        <f>IF(AND($I67&lt;=R$4,$I67&gt;=R$3),1,0)</f>
        <v/>
      </c>
      <c r="S70" s="88">
        <f>IF(AND($I67&lt;=S$4,$I67&gt;=S$3),1,0)</f>
        <v/>
      </c>
      <c r="T70" s="88">
        <f>IF(AND($I67&lt;=T$4,$I67&gt;=T$3),1,0)</f>
        <v/>
      </c>
      <c r="U70" s="88">
        <f>IF(AND($I67&lt;=U$4,$I67&gt;=U$3),1,0)</f>
        <v/>
      </c>
      <c r="V70" s="88">
        <f>IF(AND($I67&lt;=V$4,$I67&gt;=V$3),1,0)</f>
        <v/>
      </c>
      <c r="W70" s="88">
        <f>IF(AND($I67&lt;=W$4,$I67&gt;=W$3),1,0)</f>
        <v/>
      </c>
      <c r="X70" s="88">
        <f>IF(AND($I67&lt;=X$4,$I67&gt;=X$3),1,0)</f>
        <v/>
      </c>
      <c r="Y70" s="88">
        <f>IF(AND($I67&lt;=Y$4,$I67&gt;=Y$3),1,0)</f>
        <v/>
      </c>
      <c r="Z70" s="88">
        <f>IF(AND($I67&lt;=Z$4,$I67&gt;=Z$3),1,0)</f>
        <v/>
      </c>
      <c r="AA70" s="88">
        <f>IF(AND($I67&lt;=AA$4,$I67&gt;=AA$3),1,0)</f>
        <v/>
      </c>
      <c r="AB70" s="88">
        <f>IF(AND($I67&lt;=AB$4,$I67&gt;=AB$3),1,0)</f>
        <v/>
      </c>
      <c r="AC70" s="88">
        <f>IF(AND($I67&lt;=AC$4,$I67&gt;=AC$3),1,0)</f>
        <v/>
      </c>
      <c r="AD70" s="88">
        <f>IF(AND($I67&lt;=AD$4,$I67&gt;=AD$3),1,0)</f>
        <v/>
      </c>
      <c r="AE70" s="88">
        <f>IF(AND($I67&lt;=AE$4,$I67&gt;=AE$3),1,0)</f>
        <v/>
      </c>
      <c r="AF70" s="88">
        <f>IF(AND($I67&lt;=AF$4,$I67&gt;=AF$3),1,0)</f>
        <v/>
      </c>
      <c r="AG70" s="88">
        <f>IF(AND($I67&lt;=AG$4,$I67&gt;=AG$3),1,0)</f>
        <v/>
      </c>
      <c r="AH70" s="88">
        <f>IF(AND($I67&lt;=AH$4,$I67&gt;=AH$3),1,0)</f>
        <v/>
      </c>
      <c r="AI70" s="88">
        <f>IF(AND($I67&lt;=AI$4,$I67&gt;=AI$3),1,0)</f>
        <v/>
      </c>
      <c r="AJ70" s="88">
        <f>IF(AND($I67&lt;=AJ$4,$I67&gt;=AJ$3),1,0)</f>
        <v/>
      </c>
      <c r="AK70" s="88">
        <f>IF(AND($I67&lt;=AK$4,$I67&gt;=AK$3),1,0)</f>
        <v/>
      </c>
      <c r="AL70" s="88">
        <f>IF(AND($I67&lt;=AL$4,$I67&gt;=AL$3),1,0)</f>
        <v/>
      </c>
      <c r="AM70" s="88">
        <f>IF(AND($I67&lt;=AM$4,$I67&gt;=AM$3),1,0)</f>
        <v/>
      </c>
      <c r="AN70" s="88">
        <f>IF(AND($I67&lt;=AN$4,$I67&gt;=AN$3),1,0)</f>
        <v/>
      </c>
      <c r="AO70" s="88">
        <f>IF(AND($I67&lt;=AO$4,$I67&gt;=AO$3),1,0)</f>
        <v/>
      </c>
      <c r="AP70" s="88">
        <f>IF(AND($I67&lt;=AP$4,$I67&gt;=AP$3),1,0)</f>
        <v/>
      </c>
      <c r="AQ70" s="88">
        <f>IF(AND($I67&lt;=AQ$4,$I67&gt;=AQ$3),1,0)</f>
        <v/>
      </c>
      <c r="AR70" s="88">
        <f>IF(AND($I67&lt;=AR$4,$I67&gt;=AR$3),1,0)</f>
        <v/>
      </c>
      <c r="AS70" s="88">
        <f>IF(AND($I67&lt;=AS$4,$I67&gt;=AS$3),1,0)</f>
        <v/>
      </c>
      <c r="AT70" s="88">
        <f>IF(AND($I67&lt;=AT$4,$I67&gt;=AT$3),1,0)</f>
        <v/>
      </c>
      <c r="AU70" s="88">
        <f>IF(AND($I67&lt;=AU$4,$I67&gt;=AU$3),1,0)</f>
        <v/>
      </c>
      <c r="AV70" s="88">
        <f>IF(AND($I67&lt;=AV$4,$I67&gt;=AV$3),1,0)</f>
        <v/>
      </c>
      <c r="AW70" s="88">
        <f>IF(AND($I67&lt;=AW$4,$I67&gt;=AW$3),1,0)</f>
        <v/>
      </c>
      <c r="AX70" s="88">
        <f>IF(AND($I67&lt;=AX$4,$I67&gt;=AX$3),1,0)</f>
        <v/>
      </c>
      <c r="AY70" s="88">
        <f>IF(AND($I67&lt;=AY$4,$I67&gt;=AY$3),1,0)</f>
        <v/>
      </c>
      <c r="AZ70" s="88">
        <f>IF(AND($I67&lt;=AZ$4,$I67&gt;=AZ$3),1,0)</f>
        <v/>
      </c>
      <c r="BA70" s="88">
        <f>IF(AND($I67&lt;=BA$4,$I67&gt;=BA$3),1,0)</f>
        <v/>
      </c>
      <c r="BB70" s="88">
        <f>IF(AND($I67&lt;=BB$4,$I67&gt;=BB$3),1,0)</f>
        <v/>
      </c>
    </row>
    <row r="71" ht="15" customHeight="1">
      <c r="E71" s="21" t="inlineStr">
        <is>
          <t>Number of days floor term</t>
        </is>
      </c>
      <c r="G71" s="21" t="inlineStr">
        <is>
          <t>days</t>
        </is>
      </c>
      <c r="H71" s="21" t="inlineStr">
        <is>
          <t>NDF</t>
        </is>
      </c>
      <c r="I71" s="39">
        <f>+I69-I67+1</f>
        <v/>
      </c>
      <c r="O71" s="88" t="n"/>
      <c r="P71" s="88" t="n"/>
      <c r="Q71" s="88" t="n"/>
      <c r="R71" s="88" t="n"/>
      <c r="S71" s="88" t="n"/>
      <c r="T71" s="88" t="n"/>
      <c r="U71" s="88" t="n"/>
      <c r="V71" s="88" t="n"/>
      <c r="W71" s="88" t="n"/>
      <c r="X71" s="88" t="n"/>
      <c r="Y71" s="88" t="n"/>
      <c r="Z71" s="88" t="n"/>
      <c r="AA71" s="88" t="n"/>
      <c r="AB71" s="88" t="n"/>
      <c r="AC71" s="88" t="n"/>
      <c r="AD71" s="88" t="n"/>
      <c r="AE71" s="88" t="n"/>
      <c r="AF71" s="88" t="n"/>
      <c r="AG71" s="88" t="n"/>
      <c r="AH71" s="88" t="n"/>
      <c r="AI71" s="88" t="n"/>
      <c r="AJ71" s="88" t="n"/>
      <c r="AK71" s="88" t="n"/>
      <c r="AL71" s="88" t="n"/>
      <c r="AM71" s="88" t="n"/>
      <c r="AN71" s="88" t="n"/>
      <c r="AO71" s="88" t="n"/>
      <c r="AP71" s="88" t="n"/>
      <c r="AQ71" s="88" t="n"/>
      <c r="AR71" s="88" t="n"/>
      <c r="AS71" s="88" t="n"/>
      <c r="AT71" s="88" t="n"/>
      <c r="AU71" s="88" t="n"/>
      <c r="AV71" s="88" t="n"/>
      <c r="AW71" s="88" t="n"/>
      <c r="AX71" s="88" t="n"/>
      <c r="AY71" s="88" t="n"/>
      <c r="AZ71" s="88" t="n"/>
      <c r="BA71" s="88" t="n"/>
      <c r="BB71" s="88" t="n"/>
    </row>
    <row r="72" ht="15" customHeight="1">
      <c r="E72" s="21" t="inlineStr">
        <is>
          <t>Partial year floor adjustment factor</t>
        </is>
      </c>
      <c r="G72" s="21" t="inlineStr">
        <is>
          <t>flag</t>
        </is>
      </c>
      <c r="H72" s="21" t="inlineStr">
        <is>
          <t>PYFt</t>
        </is>
      </c>
      <c r="O72" s="89">
        <f>IF(O$70=1,$I$71/365.25,IF(SUM($O70:O70)&gt;=1,O64,0))</f>
        <v/>
      </c>
      <c r="P72" s="89">
        <f>IF(P$70=1,$I$71/365.25,IF(SUM($O70:P70)&gt;=1,P64,0))</f>
        <v/>
      </c>
      <c r="Q72" s="89">
        <f>IF(Q$70=1,$I$71/365.25,IF(SUM($O70:Q70)&gt;=1,Q64,0))</f>
        <v/>
      </c>
      <c r="R72" s="89">
        <f>IF(R$70=1,$I$71/365.25,IF(SUM($O70:R70)&gt;=1,R64,0))</f>
        <v/>
      </c>
      <c r="S72" s="89">
        <f>IF(S$70=1,$I$71/365.25,IF(SUM($O70:S70)&gt;=1,S64,0))</f>
        <v/>
      </c>
      <c r="T72" s="89">
        <f>IF(T$70=1,$I$71/365.25,IF(SUM($O70:T70)&gt;=1,T64,0))</f>
        <v/>
      </c>
      <c r="U72" s="89">
        <f>IF(U$70=1,$I$71/365.25,IF(SUM($O70:U70)&gt;=1,U64,0))</f>
        <v/>
      </c>
      <c r="V72" s="89">
        <f>IF(V$70=1,$I$71/365.25,IF(SUM($O70:V70)&gt;=1,V64,0))</f>
        <v/>
      </c>
      <c r="W72" s="89">
        <f>IF(W$70=1,$I$71/365.25,IF(SUM($O70:W70)&gt;=1,W64,0))</f>
        <v/>
      </c>
      <c r="X72" s="89">
        <f>IF(X$70=1,$I$71/365.25,IF(SUM($O70:X70)&gt;=1,X64,0))</f>
        <v/>
      </c>
      <c r="Y72" s="89">
        <f>IF(Y$70=1,$I$71/365.25,IF(SUM($O70:Y70)&gt;=1,Y64,0))</f>
        <v/>
      </c>
      <c r="Z72" s="89">
        <f>IF(Z$70=1,$I$71/365.25,IF(SUM($O70:Z70)&gt;=1,Z64,0))</f>
        <v/>
      </c>
      <c r="AA72" s="89">
        <f>IF(AA$70=1,$I$71/365.25,IF(SUM($O70:AA70)&gt;=1,AA64,0))</f>
        <v/>
      </c>
      <c r="AB72" s="89">
        <f>IF(AB$70=1,$I$71/365.25,IF(SUM($O70:AB70)&gt;=1,AB64,0))</f>
        <v/>
      </c>
      <c r="AC72" s="89">
        <f>IF(AC$70=1,$I$71/365.25,IF(SUM($O70:AC70)&gt;=1,AC64,0))</f>
        <v/>
      </c>
      <c r="AD72" s="89">
        <f>IF(AD$70=1,$I$71/365.25,IF(SUM($O70:AD70)&gt;=1,AD64,0))</f>
        <v/>
      </c>
      <c r="AE72" s="89">
        <f>IF(AE$70=1,$I$71/365.25,IF(SUM($O70:AE70)&gt;=1,AE64,0))</f>
        <v/>
      </c>
      <c r="AF72" s="89">
        <f>IF(AF$70=1,$I$71/365.25,IF(SUM($O70:AF70)&gt;=1,AF64,0))</f>
        <v/>
      </c>
      <c r="AG72" s="89">
        <f>IF(AG$70=1,$I$71/365.25,IF(SUM($O70:AG70)&gt;=1,AG64,0))</f>
        <v/>
      </c>
      <c r="AH72" s="89">
        <f>IF(AH$70=1,$I$71/365.25,IF(SUM($O70:AH70)&gt;=1,AH64,0))</f>
        <v/>
      </c>
      <c r="AI72" s="89">
        <f>IF(AI$70=1,$I$71/365.25,IF(SUM($O70:AI70)&gt;=1,AI64,0))</f>
        <v/>
      </c>
      <c r="AJ72" s="89">
        <f>IF(AJ$70=1,$I$71/365.25,IF(SUM($O70:AJ70)&gt;=1,AJ64,0))</f>
        <v/>
      </c>
      <c r="AK72" s="89">
        <f>IF(AK$70=1,$I$71/365.25,IF(SUM($O70:AK70)&gt;=1,AK64,0))</f>
        <v/>
      </c>
      <c r="AL72" s="89">
        <f>IF(AL$70=1,$I$71/365.25,IF(SUM($O70:AL70)&gt;=1,AL64,0))</f>
        <v/>
      </c>
      <c r="AM72" s="89">
        <f>IF(AM$70=1,$I$71/365.25,IF(SUM($O70:AM70)&gt;=1,AM64,0))</f>
        <v/>
      </c>
      <c r="AN72" s="89">
        <f>IF(AN$70=1,$I$71/365.25,IF(SUM($O70:AN70)&gt;=1,AN64,0))</f>
        <v/>
      </c>
      <c r="AO72" s="89">
        <f>IF(AO$70=1,$I$71/365.25,IF(SUM($O70:AO70)&gt;=1,AO64,0))</f>
        <v/>
      </c>
      <c r="AP72" s="89">
        <f>IF(AP$70=1,$I$71/365.25,IF(SUM($O70:AP70)&gt;=1,AP64,0))</f>
        <v/>
      </c>
      <c r="AQ72" s="89">
        <f>IF(AQ$70=1,$I$71/365.25,IF(SUM($O70:AQ70)&gt;=1,AQ64,0))</f>
        <v/>
      </c>
      <c r="AR72" s="89">
        <f>IF(AR$70=1,$I$71/365.25,IF(SUM($O70:AR70)&gt;=1,AR64,0))</f>
        <v/>
      </c>
      <c r="AS72" s="89">
        <f>IF(AS$70=1,$I$71/365.25,IF(SUM($O70:AS70)&gt;=1,AS64,0))</f>
        <v/>
      </c>
      <c r="AT72" s="89">
        <f>IF(AT$70=1,$I$71/365.25,IF(SUM($O70:AT70)&gt;=1,AT64,0))</f>
        <v/>
      </c>
      <c r="AU72" s="89">
        <f>IF(AU$70=1,$I$71/365.25,IF(SUM($O70:AU70)&gt;=1,AU64,0))</f>
        <v/>
      </c>
      <c r="AV72" s="89">
        <f>IF(AV$70=1,$I$71/365.25,IF(SUM($O70:AV70)&gt;=1,AV64,0))</f>
        <v/>
      </c>
      <c r="AW72" s="89">
        <f>IF(AW$70=1,$I$71/365.25,IF(SUM($O70:AW70)&gt;=1,AW64,0))</f>
        <v/>
      </c>
      <c r="AX72" s="89">
        <f>IF(AX$70=1,$I$71/365.25,IF(SUM($O70:AX70)&gt;=1,AX64,0))</f>
        <v/>
      </c>
      <c r="AY72" s="89">
        <f>IF(AY$70=1,$I$71/365.25,IF(SUM($O70:AY70)&gt;=1,AY64,0))</f>
        <v/>
      </c>
      <c r="AZ72" s="89">
        <f>IF(AZ$70=1,$I$71/365.25,IF(SUM($O70:AZ70)&gt;=1,AZ64,0))</f>
        <v/>
      </c>
      <c r="BA72" s="89">
        <f>IF(BA$70=1,$I$71/365.25,IF(SUM($O70:BA70)&gt;=1,BA64,0))</f>
        <v/>
      </c>
      <c r="BB72" s="89">
        <f>IF(BB$70=1,$I$71/365.25,IF(SUM($O70:BB70)&gt;=1,BB64,0))</f>
        <v/>
      </c>
    </row>
    <row r="73" ht="15" customHeight="1">
      <c r="E73" s="32" t="inlineStr">
        <is>
          <t>Partial year floor adjustment factor check</t>
        </is>
      </c>
      <c r="F73" s="32" t="n"/>
      <c r="G73" s="32" t="inlineStr">
        <is>
          <t>check</t>
        </is>
      </c>
      <c r="H73" s="32" t="n"/>
      <c r="I73" s="162">
        <f>SUM(O72:BB72)=$I$75</f>
        <v/>
      </c>
      <c r="O73" s="89" t="n"/>
      <c r="P73" s="89" t="n"/>
      <c r="Q73" s="89" t="n"/>
      <c r="R73" s="89" t="n"/>
      <c r="S73" s="89" t="n"/>
      <c r="T73" s="89" t="n"/>
      <c r="U73" s="89" t="n"/>
      <c r="V73" s="89" t="n"/>
      <c r="W73" s="89" t="n"/>
      <c r="X73" s="89" t="n"/>
      <c r="Y73" s="89" t="n"/>
      <c r="Z73" s="89" t="n"/>
      <c r="AA73" s="89" t="n"/>
      <c r="AB73" s="89" t="n"/>
      <c r="AC73" s="89" t="n"/>
      <c r="AD73" s="89" t="n"/>
      <c r="AE73" s="89" t="n"/>
      <c r="AF73" s="89" t="n"/>
      <c r="AG73" s="89" t="n"/>
      <c r="AH73" s="89" t="n"/>
      <c r="AI73" s="89" t="n"/>
      <c r="AJ73" s="89" t="n"/>
      <c r="AK73" s="89" t="n"/>
      <c r="AL73" s="89" t="n"/>
      <c r="AM73" s="89" t="n"/>
      <c r="AN73" s="89" t="n"/>
      <c r="AO73" s="89" t="n"/>
      <c r="AP73" s="89" t="n"/>
      <c r="AQ73" s="89" t="n"/>
      <c r="AR73" s="89" t="n"/>
      <c r="AS73" s="89" t="n"/>
      <c r="AT73" s="89" t="n"/>
      <c r="AU73" s="89" t="n"/>
      <c r="AV73" s="89" t="n"/>
      <c r="AW73" s="89" t="n"/>
      <c r="AX73" s="89" t="n"/>
      <c r="AY73" s="89" t="n"/>
      <c r="AZ73" s="89" t="n"/>
      <c r="BA73" s="89" t="n"/>
      <c r="BB73" s="89" t="n"/>
    </row>
    <row r="74" ht="15" customHeight="1">
      <c r="O74" s="45" t="n"/>
      <c r="P74" s="45" t="n"/>
      <c r="Q74" s="45" t="n"/>
      <c r="R74" s="45" t="n"/>
      <c r="S74" s="45" t="n"/>
      <c r="T74" s="45" t="n"/>
      <c r="U74" s="45" t="n"/>
      <c r="V74" s="45" t="n"/>
      <c r="W74" s="45" t="n"/>
      <c r="X74" s="45" t="n"/>
      <c r="Y74" s="45" t="n"/>
      <c r="Z74" s="45" t="n"/>
      <c r="AA74" s="45" t="n"/>
      <c r="AB74" s="45" t="n"/>
      <c r="AC74" s="45" t="n"/>
      <c r="AD74" s="45" t="n"/>
      <c r="AE74" s="45" t="n"/>
      <c r="AF74" s="45" t="n"/>
      <c r="AG74" s="45" t="n"/>
      <c r="AH74" s="45" t="n"/>
      <c r="AI74" s="45" t="n"/>
      <c r="AJ74" s="45" t="n"/>
      <c r="AK74" s="45" t="n"/>
      <c r="AL74" s="45" t="n"/>
      <c r="AM74" s="45" t="n"/>
      <c r="AN74" s="45" t="n"/>
      <c r="AO74" s="45" t="n"/>
      <c r="AP74" s="45" t="n"/>
      <c r="AQ74" s="45" t="n"/>
      <c r="AR74" s="45" t="n"/>
      <c r="AS74" s="45" t="n"/>
      <c r="AT74" s="45" t="n"/>
      <c r="AU74" s="45" t="n"/>
      <c r="AV74" s="45" t="n"/>
      <c r="AW74" s="45" t="n"/>
      <c r="AX74" s="45" t="n"/>
      <c r="AY74" s="45" t="n"/>
      <c r="AZ74" s="45" t="n"/>
      <c r="BA74" s="45" t="n"/>
      <c r="BB74" s="45" t="n"/>
    </row>
    <row r="75" ht="15" customHeight="1">
      <c r="E75" s="21" t="inlineStr">
        <is>
          <t>Number of operational years</t>
        </is>
      </c>
      <c r="G75" s="21" t="inlineStr">
        <is>
          <t>full years</t>
        </is>
      </c>
      <c r="I75" s="137">
        <f>I21</f>
        <v/>
      </c>
    </row>
    <row r="76" ht="15" customHeight="1">
      <c r="E76" s="21" t="inlineStr">
        <is>
          <t>Assessment period length</t>
        </is>
      </c>
      <c r="G76" s="21" t="inlineStr">
        <is>
          <t>full years</t>
        </is>
      </c>
      <c r="I76" s="133" t="n">
        <v>5</v>
      </c>
    </row>
    <row r="77" ht="15" customHeight="1"/>
    <row r="78" ht="15" customHeight="1">
      <c r="B78" s="32" t="n"/>
      <c r="E78" s="21" t="inlineStr">
        <is>
          <t>GB indexed portion of interconnector</t>
        </is>
      </c>
      <c r="G78" s="5" t="inlineStr">
        <is>
          <t>%</t>
        </is>
      </c>
      <c r="I78" s="135" t="n">
        <v>1</v>
      </c>
      <c r="O78" s="68" t="n"/>
      <c r="P78" s="68" t="n"/>
      <c r="Q78" s="68" t="n"/>
      <c r="R78" s="68" t="n"/>
      <c r="S78" s="68" t="n"/>
      <c r="W78" s="68" t="n"/>
      <c r="X78" s="68" t="n"/>
      <c r="Y78" s="68" t="n"/>
      <c r="Z78" s="68" t="n"/>
      <c r="AA78" s="68" t="n"/>
      <c r="AB78" s="68" t="n"/>
      <c r="AC78" s="68" t="n"/>
      <c r="AD78" s="68" t="n"/>
      <c r="AE78" s="68" t="n"/>
      <c r="AF78" s="68" t="n"/>
      <c r="AG78" s="68" t="n"/>
      <c r="AH78" s="68" t="n"/>
      <c r="AI78" s="68" t="n"/>
      <c r="AJ78" s="68" t="n"/>
      <c r="AK78" s="68" t="n"/>
      <c r="AL78" s="68" t="n"/>
      <c r="AM78" s="68" t="n"/>
      <c r="AN78" s="68" t="n"/>
      <c r="AO78" s="68" t="n"/>
      <c r="AP78" s="68" t="n"/>
      <c r="AQ78" s="68" t="n"/>
      <c r="AR78" s="68" t="n"/>
      <c r="AS78" s="68" t="n"/>
      <c r="AT78" s="68" t="n"/>
      <c r="AU78" s="68" t="n"/>
      <c r="AV78" s="68" t="n"/>
      <c r="AW78" s="68" t="n"/>
      <c r="AX78" s="68" t="n"/>
      <c r="AY78" s="68" t="n"/>
      <c r="AZ78" s="68" t="n"/>
      <c r="BA78" s="68" t="n"/>
      <c r="BB78" s="68" t="n"/>
    </row>
    <row r="79" ht="15" customHeight="1">
      <c r="B79" s="32" t="n"/>
      <c r="G79" s="5" t="n"/>
      <c r="O79" s="68" t="n"/>
      <c r="P79" s="68" t="n"/>
      <c r="Q79" s="68" t="n"/>
      <c r="R79" s="68" t="n"/>
      <c r="S79" s="68" t="n"/>
      <c r="W79" s="68" t="n"/>
      <c r="X79" s="68" t="n"/>
      <c r="Y79" s="68" t="n"/>
      <c r="Z79" s="68" t="n"/>
      <c r="AA79" s="68" t="n"/>
      <c r="AB79" s="68" t="n"/>
      <c r="AC79" s="68" t="n"/>
      <c r="AD79" s="68" t="n"/>
      <c r="AE79" s="68" t="n"/>
      <c r="AF79" s="68" t="n"/>
      <c r="AG79" s="68" t="n"/>
      <c r="AH79" s="68" t="n"/>
      <c r="AI79" s="68" t="n"/>
      <c r="AJ79" s="68" t="n"/>
      <c r="AK79" s="68" t="n"/>
      <c r="AL79" s="68" t="n"/>
      <c r="AM79" s="68" t="n"/>
      <c r="AN79" s="68" t="n"/>
      <c r="AO79" s="68" t="n"/>
      <c r="AP79" s="68" t="n"/>
      <c r="AQ79" s="68" t="n"/>
      <c r="AR79" s="68" t="n"/>
      <c r="AS79" s="68" t="n"/>
      <c r="AT79" s="68" t="n"/>
      <c r="AU79" s="68" t="n"/>
      <c r="AV79" s="68" t="n"/>
      <c r="AW79" s="68" t="n"/>
      <c r="AX79" s="68" t="n"/>
      <c r="AY79" s="68" t="n"/>
      <c r="AZ79" s="68" t="n"/>
      <c r="BA79" s="68" t="n"/>
      <c r="BB79" s="68" t="n"/>
    </row>
    <row r="80" ht="15" customHeight="1">
      <c r="B80" s="75" t="inlineStr">
        <is>
          <t>Variables to be updated</t>
        </is>
      </c>
      <c r="C80" s="36" t="n"/>
      <c r="D80" s="36" t="n"/>
      <c r="E80" s="36" t="n"/>
      <c r="F80" s="36" t="n"/>
      <c r="G80" s="36" t="n"/>
      <c r="H80" s="36" t="n"/>
      <c r="I80" s="36" t="n"/>
      <c r="J80" s="36" t="n"/>
      <c r="K80" s="36" t="n"/>
      <c r="L80" s="36" t="n"/>
      <c r="M80" s="36" t="n"/>
      <c r="N80" s="36" t="n"/>
      <c r="O80" s="36" t="n"/>
      <c r="P80" s="36" t="n"/>
      <c r="Q80" s="36" t="n"/>
      <c r="R80" s="36" t="n"/>
      <c r="S80" s="36" t="n"/>
      <c r="T80" s="36" t="n"/>
      <c r="U80" s="36" t="n"/>
      <c r="V80" s="36" t="n"/>
      <c r="W80" s="36" t="n"/>
      <c r="X80" s="36" t="n"/>
      <c r="Y80" s="36" t="n"/>
      <c r="Z80" s="36" t="n"/>
      <c r="AA80" s="36" t="n"/>
      <c r="AB80" s="36" t="n"/>
      <c r="AC80" s="36" t="n"/>
      <c r="AD80" s="36" t="n"/>
      <c r="AE80" s="36" t="n"/>
      <c r="AF80" s="36" t="n"/>
      <c r="AG80" s="36" t="n"/>
      <c r="AH80" s="36" t="n"/>
      <c r="AI80" s="36" t="n"/>
      <c r="AJ80" s="36" t="n"/>
      <c r="AK80" s="36" t="n"/>
      <c r="AL80" s="36" t="n"/>
      <c r="AM80" s="36" t="n"/>
      <c r="AN80" s="36" t="n"/>
      <c r="AO80" s="36" t="n"/>
      <c r="AP80" s="36" t="n"/>
      <c r="AQ80" s="36" t="n"/>
      <c r="AR80" s="36" t="n"/>
      <c r="AS80" s="36" t="n"/>
      <c r="AT80" s="36" t="n"/>
      <c r="AU80" s="36" t="n"/>
      <c r="AV80" s="36" t="n"/>
      <c r="AW80" s="36" t="n"/>
      <c r="AX80" s="36" t="n"/>
      <c r="AY80" s="36" t="n"/>
      <c r="AZ80" s="36" t="n"/>
      <c r="BA80" s="36" t="n"/>
      <c r="BB80" s="36" t="n"/>
    </row>
    <row r="81" ht="15" customHeight="1"/>
    <row r="82" ht="15" customFormat="1" customHeight="1" s="63">
      <c r="C82" s="40" t="inlineStr">
        <is>
          <t>Cost items to be updated up to and beyond PCA stage (actual)</t>
        </is>
      </c>
      <c r="D82" s="42" t="n"/>
      <c r="E82" s="42" t="n"/>
      <c r="F82" s="42" t="n"/>
      <c r="G82" s="42" t="n"/>
      <c r="H82" s="42" t="n"/>
      <c r="I82" s="42" t="n"/>
      <c r="J82" s="42" t="n"/>
      <c r="K82" s="42" t="n"/>
      <c r="L82" s="42" t="n"/>
      <c r="M82" s="42" t="n"/>
      <c r="N82" s="42" t="n"/>
      <c r="O82" s="42" t="n"/>
      <c r="P82" s="42" t="n"/>
      <c r="Q82" s="42" t="n"/>
      <c r="R82" s="42" t="n"/>
      <c r="S82" s="42" t="n"/>
      <c r="T82" s="42" t="n"/>
      <c r="U82" s="42" t="n"/>
      <c r="V82" s="42" t="n"/>
      <c r="W82" s="42" t="n"/>
      <c r="X82" s="42" t="n"/>
      <c r="Y82" s="42" t="n"/>
      <c r="Z82" s="42" t="n"/>
      <c r="AA82" s="42" t="n"/>
      <c r="AB82" s="42" t="n"/>
      <c r="AC82" s="42" t="n"/>
      <c r="AD82" s="42" t="n"/>
      <c r="AE82" s="42" t="n"/>
      <c r="AF82" s="42" t="n"/>
      <c r="AG82" s="42" t="n"/>
      <c r="AH82" s="42" t="n"/>
      <c r="AI82" s="42" t="n"/>
      <c r="AJ82" s="42" t="n"/>
      <c r="AK82" s="42" t="n"/>
      <c r="AL82" s="42" t="n"/>
      <c r="AM82" s="42" t="n"/>
      <c r="AN82" s="42" t="n"/>
      <c r="AO82" s="42" t="n"/>
      <c r="AP82" s="42" t="n"/>
      <c r="AQ82" s="42" t="n"/>
      <c r="AR82" s="42" t="n"/>
      <c r="AS82" s="42" t="n"/>
      <c r="AT82" s="42" t="n"/>
      <c r="AU82" s="42" t="n"/>
      <c r="AV82" s="42" t="n"/>
      <c r="AW82" s="42" t="n"/>
      <c r="AX82" s="42" t="n"/>
      <c r="AY82" s="42" t="n"/>
      <c r="AZ82" s="42" t="n"/>
      <c r="BA82" s="42" t="n"/>
      <c r="BB82" s="42" t="n"/>
    </row>
    <row r="83" ht="15" customHeight="1"/>
    <row r="84" ht="15" customHeight="1">
      <c r="E84" s="21" t="inlineStr">
        <is>
          <t>Non-controllable Opex (actual)</t>
        </is>
      </c>
      <c r="G84" s="5">
        <f>CONCATENATE(CF_currency,"m nominal prices")</f>
        <v/>
      </c>
      <c r="O84" s="33" t="n"/>
      <c r="P84" s="101" t="n">
        <v>0</v>
      </c>
      <c r="Q84" s="101" t="n">
        <v>0</v>
      </c>
      <c r="R84" s="101" t="n">
        <v>0</v>
      </c>
      <c r="S84" s="101" t="n">
        <v>0</v>
      </c>
      <c r="T84" s="101" t="n">
        <v>0</v>
      </c>
      <c r="U84" s="101" t="n">
        <v>0</v>
      </c>
      <c r="V84" s="101" t="n">
        <v>0</v>
      </c>
      <c r="W84" s="101" t="n">
        <v>0</v>
      </c>
      <c r="X84" s="101" t="n">
        <v>0</v>
      </c>
      <c r="Y84" s="101" t="n">
        <v>0</v>
      </c>
      <c r="Z84" s="101" t="n">
        <v>0</v>
      </c>
      <c r="AA84" s="101" t="n">
        <v>0</v>
      </c>
      <c r="AB84" s="101" t="n">
        <v>0</v>
      </c>
      <c r="AC84" s="101" t="n">
        <v>0</v>
      </c>
      <c r="AD84" s="101" t="n">
        <v>0</v>
      </c>
      <c r="AE84" s="101" t="n">
        <v>0</v>
      </c>
      <c r="AF84" s="101" t="n">
        <v>0</v>
      </c>
      <c r="AG84" s="101" t="n">
        <v>0</v>
      </c>
      <c r="AH84" s="101" t="n">
        <v>0</v>
      </c>
      <c r="AI84" s="101" t="n">
        <v>0</v>
      </c>
      <c r="AJ84" s="101" t="n">
        <v>0</v>
      </c>
      <c r="AK84" s="101" t="n">
        <v>0</v>
      </c>
      <c r="AL84" s="101" t="n">
        <v>0</v>
      </c>
      <c r="AM84" s="101" t="n">
        <v>0</v>
      </c>
      <c r="AN84" s="101" t="n">
        <v>0</v>
      </c>
      <c r="AO84" s="101" t="n">
        <v>0</v>
      </c>
      <c r="AP84" s="101" t="n">
        <v>0</v>
      </c>
      <c r="AQ84" s="101" t="n">
        <v>0</v>
      </c>
      <c r="AR84" s="101" t="n">
        <v>0</v>
      </c>
      <c r="AS84" s="101" t="n">
        <v>0</v>
      </c>
      <c r="AT84" s="101" t="n">
        <v>0</v>
      </c>
      <c r="AU84" s="101" t="n">
        <v>0</v>
      </c>
      <c r="AV84" s="101" t="n">
        <v>0</v>
      </c>
      <c r="AW84" s="101" t="n">
        <v>0</v>
      </c>
      <c r="AX84" s="101" t="n">
        <v>0</v>
      </c>
      <c r="AY84" s="101" t="n">
        <v>0</v>
      </c>
      <c r="AZ84" s="101" t="n">
        <v>0</v>
      </c>
      <c r="BA84" s="101" t="n">
        <v>0</v>
      </c>
      <c r="BB84" s="101" t="n">
        <v>0</v>
      </c>
      <c r="BD84" s="63" t="n"/>
      <c r="BE84" s="63" t="n"/>
      <c r="BF84" s="63" t="n"/>
    </row>
    <row r="85" ht="13" customHeight="1">
      <c r="E85" s="47" t="inlineStr">
        <is>
          <t>Non-controllable Opex adjustment following NRA review (actual)</t>
        </is>
      </c>
      <c r="G85" s="5">
        <f>CONCATENATE(CF_currency,"m nominal prices")</f>
        <v/>
      </c>
      <c r="O85" s="33" t="n"/>
      <c r="P85" s="101" t="n">
        <v>0</v>
      </c>
      <c r="Q85" s="101" t="n">
        <v>0</v>
      </c>
      <c r="R85" s="101" t="n">
        <v>0</v>
      </c>
      <c r="S85" s="101" t="n">
        <v>0</v>
      </c>
      <c r="T85" s="101" t="n">
        <v>0</v>
      </c>
      <c r="U85" s="101" t="n">
        <v>0</v>
      </c>
      <c r="V85" s="101" t="n">
        <v>0</v>
      </c>
      <c r="W85" s="101" t="n">
        <v>0</v>
      </c>
      <c r="X85" s="101" t="n">
        <v>0</v>
      </c>
      <c r="Y85" s="101" t="n">
        <v>0</v>
      </c>
      <c r="Z85" s="101" t="n">
        <v>0</v>
      </c>
      <c r="AA85" s="101" t="n">
        <v>0</v>
      </c>
      <c r="AB85" s="101" t="n">
        <v>0</v>
      </c>
      <c r="AC85" s="101" t="n">
        <v>0</v>
      </c>
      <c r="AD85" s="101" t="n">
        <v>0</v>
      </c>
      <c r="AE85" s="101" t="n">
        <v>0</v>
      </c>
      <c r="AF85" s="101" t="n">
        <v>0</v>
      </c>
      <c r="AG85" s="101" t="n">
        <v>0</v>
      </c>
      <c r="AH85" s="101" t="n">
        <v>0</v>
      </c>
      <c r="AI85" s="101" t="n">
        <v>0</v>
      </c>
      <c r="AJ85" s="101" t="n">
        <v>0</v>
      </c>
      <c r="AK85" s="101" t="n">
        <v>0</v>
      </c>
      <c r="AL85" s="101" t="n">
        <v>0</v>
      </c>
      <c r="AM85" s="101" t="n">
        <v>0</v>
      </c>
      <c r="AN85" s="101" t="n">
        <v>0</v>
      </c>
      <c r="AO85" s="101" t="n">
        <v>0</v>
      </c>
      <c r="AP85" s="101" t="n">
        <v>0</v>
      </c>
      <c r="AQ85" s="101" t="n">
        <v>0</v>
      </c>
      <c r="AR85" s="101" t="n">
        <v>0</v>
      </c>
      <c r="AS85" s="101" t="n">
        <v>0</v>
      </c>
      <c r="AT85" s="101" t="n">
        <v>0</v>
      </c>
      <c r="AU85" s="101" t="n">
        <v>0</v>
      </c>
      <c r="AV85" s="101" t="n">
        <v>0</v>
      </c>
      <c r="AW85" s="101" t="n">
        <v>0</v>
      </c>
      <c r="AX85" s="101" t="n">
        <v>0</v>
      </c>
      <c r="AY85" s="101" t="n">
        <v>0</v>
      </c>
      <c r="AZ85" s="101" t="n">
        <v>0</v>
      </c>
      <c r="BA85" s="101" t="n">
        <v>0</v>
      </c>
      <c r="BB85" s="101" t="n">
        <v>0</v>
      </c>
    </row>
    <row r="86" ht="15" customHeight="1">
      <c r="BD86" s="63" t="n"/>
      <c r="BE86" s="63" t="n"/>
      <c r="BF86" s="63" t="n"/>
    </row>
    <row r="87" ht="15" customFormat="1" customHeight="1" s="63">
      <c r="C87" s="40" t="inlineStr">
        <is>
          <t>Revenue items to be updated (actual)</t>
        </is>
      </c>
      <c r="D87" s="42" t="n"/>
      <c r="E87" s="42" t="n"/>
      <c r="F87" s="42" t="n"/>
      <c r="G87" s="42" t="n"/>
      <c r="H87" s="42" t="n"/>
      <c r="I87" s="42" t="n"/>
      <c r="J87" s="42" t="n"/>
      <c r="K87" s="42" t="n"/>
      <c r="L87" s="42" t="n"/>
      <c r="M87" s="42" t="n"/>
      <c r="N87" s="42" t="n"/>
      <c r="O87" s="42" t="n"/>
      <c r="P87" s="42" t="n"/>
      <c r="Q87" s="42" t="n"/>
      <c r="R87" s="42" t="n"/>
      <c r="S87" s="42" t="n"/>
      <c r="T87" s="42" t="n"/>
      <c r="U87" s="42" t="n"/>
      <c r="V87" s="42" t="n"/>
      <c r="W87" s="42" t="n"/>
      <c r="X87" s="42" t="n"/>
      <c r="Y87" s="42" t="n"/>
      <c r="Z87" s="42" t="n"/>
      <c r="AA87" s="42" t="n"/>
      <c r="AB87" s="42" t="n"/>
      <c r="AC87" s="42" t="n"/>
      <c r="AD87" s="42" t="n"/>
      <c r="AE87" s="42" t="n"/>
      <c r="AF87" s="42" t="n"/>
      <c r="AG87" s="42" t="n"/>
      <c r="AH87" s="42" t="n"/>
      <c r="AI87" s="42" t="n"/>
      <c r="AJ87" s="42" t="n"/>
      <c r="AK87" s="42" t="n"/>
      <c r="AL87" s="42" t="n"/>
      <c r="AM87" s="42" t="n"/>
      <c r="AN87" s="42" t="n"/>
      <c r="AO87" s="42" t="n"/>
      <c r="AP87" s="42" t="n"/>
      <c r="AQ87" s="42" t="n"/>
      <c r="AR87" s="42" t="n"/>
      <c r="AS87" s="42" t="n"/>
      <c r="AT87" s="42" t="n"/>
      <c r="AU87" s="42" t="n"/>
      <c r="AV87" s="42" t="n"/>
      <c r="AW87" s="42" t="n"/>
      <c r="AX87" s="42" t="n"/>
      <c r="AY87" s="42" t="n"/>
      <c r="AZ87" s="42" t="n"/>
      <c r="BA87" s="42" t="n"/>
      <c r="BB87" s="42" t="n"/>
    </row>
    <row r="88" ht="15" customHeight="1">
      <c r="Z88" s="70" t="n"/>
      <c r="AA88" s="70" t="n"/>
      <c r="AB88" s="70" t="n"/>
      <c r="AC88" s="70" t="n"/>
      <c r="AD88" s="70" t="n"/>
      <c r="AE88" s="70" t="n"/>
      <c r="AF88" s="70" t="n"/>
      <c r="AG88" s="70" t="n"/>
      <c r="AH88" s="70" t="n"/>
      <c r="AI88" s="70" t="n"/>
      <c r="AJ88" s="70" t="n"/>
      <c r="AK88" s="70" t="n"/>
      <c r="AL88" s="70" t="n"/>
      <c r="AM88" s="70" t="n"/>
      <c r="AN88" s="70" t="n"/>
      <c r="AO88" s="70" t="n"/>
      <c r="AP88" s="70" t="n"/>
      <c r="AQ88" s="70" t="n"/>
      <c r="AR88" s="70" t="n"/>
      <c r="AS88" s="70" t="n"/>
      <c r="AT88" s="70" t="n"/>
      <c r="AU88" s="70" t="n"/>
      <c r="AV88" s="70" t="n"/>
      <c r="AW88" s="70" t="n"/>
      <c r="AX88" s="70" t="n"/>
      <c r="AY88" s="70" t="n"/>
      <c r="AZ88" s="70" t="n"/>
      <c r="BA88" s="70" t="n"/>
      <c r="BB88" s="70" t="n"/>
    </row>
    <row r="89" ht="15" customHeight="1">
      <c r="E89" s="21" t="inlineStr">
        <is>
          <t>Capacity allocation revenue</t>
        </is>
      </c>
      <c r="G89" s="5">
        <f>CONCATENATE(CF_currency,"m nominal prices")</f>
        <v/>
      </c>
      <c r="H89" s="21" t="inlineStr">
        <is>
          <t>CARt</t>
        </is>
      </c>
      <c r="O89" s="33" t="n"/>
      <c r="P89" s="51" t="n">
        <v>0</v>
      </c>
      <c r="Q89" s="51" t="n">
        <v>0</v>
      </c>
      <c r="R89" s="51" t="n">
        <v>0</v>
      </c>
      <c r="S89" s="51" t="n">
        <v>0</v>
      </c>
      <c r="T89" s="51" t="n">
        <v>0</v>
      </c>
      <c r="U89" s="51" t="n">
        <v>0</v>
      </c>
      <c r="V89" s="51" t="n">
        <v>0</v>
      </c>
      <c r="W89" s="51" t="n">
        <v>0</v>
      </c>
      <c r="X89" s="51" t="n">
        <v>0</v>
      </c>
      <c r="Y89" s="51" t="n">
        <v>0</v>
      </c>
      <c r="Z89" s="51" t="n">
        <v>0</v>
      </c>
      <c r="AA89" s="51" t="n">
        <v>0</v>
      </c>
      <c r="AB89" s="51" t="n">
        <v>0</v>
      </c>
      <c r="AC89" s="51" t="n">
        <v>0</v>
      </c>
      <c r="AD89" s="51" t="n">
        <v>0</v>
      </c>
      <c r="AE89" s="51" t="n">
        <v>0</v>
      </c>
      <c r="AF89" s="51" t="n">
        <v>0</v>
      </c>
      <c r="AG89" s="51" t="n">
        <v>0</v>
      </c>
      <c r="AH89" s="51" t="n">
        <v>0</v>
      </c>
      <c r="AI89" s="51" t="n">
        <v>0</v>
      </c>
      <c r="AJ89" s="51" t="n">
        <v>0</v>
      </c>
      <c r="AK89" s="51" t="n">
        <v>0</v>
      </c>
      <c r="AL89" s="51" t="n">
        <v>0</v>
      </c>
      <c r="AM89" s="51" t="n">
        <v>0</v>
      </c>
      <c r="AN89" s="51" t="n">
        <v>0</v>
      </c>
      <c r="AO89" s="51" t="n">
        <v>0</v>
      </c>
      <c r="AP89" s="51" t="n">
        <v>0</v>
      </c>
      <c r="AQ89" s="51" t="n">
        <v>0</v>
      </c>
      <c r="AR89" s="51" t="n">
        <v>0</v>
      </c>
      <c r="AS89" s="51" t="n">
        <v>0</v>
      </c>
      <c r="AT89" s="51" t="n">
        <v>0</v>
      </c>
      <c r="AU89" s="51" t="n">
        <v>0</v>
      </c>
      <c r="AV89" s="51" t="n">
        <v>0</v>
      </c>
      <c r="AW89" s="51" t="n">
        <v>0</v>
      </c>
      <c r="AX89" s="51" t="n">
        <v>0</v>
      </c>
      <c r="AY89" s="51" t="n">
        <v>0</v>
      </c>
      <c r="AZ89" s="51" t="n">
        <v>0</v>
      </c>
      <c r="BA89" s="51" t="n">
        <v>0</v>
      </c>
      <c r="BB89" s="51" t="n">
        <v>0</v>
      </c>
    </row>
    <row r="90" ht="15" customHeight="1">
      <c r="E90" s="21" t="inlineStr">
        <is>
          <t>Ancillary services revenue (GB)</t>
        </is>
      </c>
      <c r="G90" s="5">
        <f>CONCATENATE(CF_currency,"m nominal prices")</f>
        <v/>
      </c>
      <c r="H90" s="21" t="inlineStr">
        <is>
          <t>ASRGBt</t>
        </is>
      </c>
      <c r="O90" s="33" t="n"/>
      <c r="P90" s="51" t="n">
        <v>0</v>
      </c>
      <c r="Q90" s="51" t="n">
        <v>0</v>
      </c>
      <c r="R90" s="51" t="n">
        <v>0</v>
      </c>
      <c r="S90" s="51" t="n">
        <v>0</v>
      </c>
      <c r="T90" s="51" t="n">
        <v>0</v>
      </c>
      <c r="U90" s="51" t="n">
        <v>0</v>
      </c>
      <c r="V90" s="51" t="n">
        <v>0</v>
      </c>
      <c r="W90" s="51" t="n">
        <v>0</v>
      </c>
      <c r="X90" s="51" t="n">
        <v>0</v>
      </c>
      <c r="Y90" s="51" t="n">
        <v>0</v>
      </c>
      <c r="Z90" s="51" t="n">
        <v>0</v>
      </c>
      <c r="AA90" s="51" t="n">
        <v>0</v>
      </c>
      <c r="AB90" s="51" t="n">
        <v>0</v>
      </c>
      <c r="AC90" s="51" t="n">
        <v>0</v>
      </c>
      <c r="AD90" s="51" t="n">
        <v>0</v>
      </c>
      <c r="AE90" s="51" t="n">
        <v>0</v>
      </c>
      <c r="AF90" s="51" t="n">
        <v>0</v>
      </c>
      <c r="AG90" s="51" t="n">
        <v>0</v>
      </c>
      <c r="AH90" s="51" t="n">
        <v>0</v>
      </c>
      <c r="AI90" s="51" t="n">
        <v>0</v>
      </c>
      <c r="AJ90" s="51" t="n">
        <v>0</v>
      </c>
      <c r="AK90" s="51" t="n">
        <v>0</v>
      </c>
      <c r="AL90" s="51" t="n">
        <v>0</v>
      </c>
      <c r="AM90" s="51" t="n">
        <v>0</v>
      </c>
      <c r="AN90" s="51" t="n">
        <v>0</v>
      </c>
      <c r="AO90" s="51" t="n">
        <v>0</v>
      </c>
      <c r="AP90" s="51" t="n">
        <v>0</v>
      </c>
      <c r="AQ90" s="51" t="n">
        <v>0</v>
      </c>
      <c r="AR90" s="51" t="n">
        <v>0</v>
      </c>
      <c r="AS90" s="51" t="n">
        <v>0</v>
      </c>
      <c r="AT90" s="51" t="n">
        <v>0</v>
      </c>
      <c r="AU90" s="51" t="n">
        <v>0</v>
      </c>
      <c r="AV90" s="51" t="n">
        <v>0</v>
      </c>
      <c r="AW90" s="51" t="n">
        <v>0</v>
      </c>
      <c r="AX90" s="51" t="n">
        <v>0</v>
      </c>
      <c r="AY90" s="51" t="n">
        <v>0</v>
      </c>
      <c r="AZ90" s="51" t="n">
        <v>0</v>
      </c>
      <c r="BA90" s="51" t="n">
        <v>0</v>
      </c>
      <c r="BB90" s="51" t="n">
        <v>0</v>
      </c>
    </row>
    <row r="91" ht="15" customFormat="1" customHeight="1" s="174">
      <c r="E91" s="178" t="inlineStr">
        <is>
          <t>Ancillary services revenue (non-GB, if applicable)</t>
        </is>
      </c>
      <c r="F91" s="21" t="n"/>
      <c r="G91" s="181">
        <f>CONCATENATE(CF_currency,"m nominal prices")</f>
        <v/>
      </c>
      <c r="H91" s="178" t="inlineStr">
        <is>
          <t>ASRnGBt</t>
        </is>
      </c>
      <c r="I91" s="21" t="n"/>
      <c r="J91" s="21" t="n"/>
      <c r="K91" s="21" t="n"/>
      <c r="L91" s="21" t="n"/>
      <c r="M91" s="21" t="n"/>
      <c r="N91" s="21" t="n"/>
      <c r="O91" s="33" t="n"/>
      <c r="P91" s="180" t="n">
        <v>0</v>
      </c>
      <c r="Q91" s="180" t="n">
        <v>0</v>
      </c>
      <c r="R91" s="180" t="n">
        <v>0</v>
      </c>
      <c r="S91" s="180" t="n">
        <v>0</v>
      </c>
      <c r="T91" s="180" t="n">
        <v>0</v>
      </c>
      <c r="U91" s="180" t="n">
        <v>0</v>
      </c>
      <c r="V91" s="180" t="n">
        <v>0</v>
      </c>
      <c r="W91" s="180" t="n">
        <v>0</v>
      </c>
      <c r="X91" s="180" t="n">
        <v>0</v>
      </c>
      <c r="Y91" s="180" t="n">
        <v>0</v>
      </c>
      <c r="Z91" s="180" t="n">
        <v>0</v>
      </c>
      <c r="AA91" s="180" t="n">
        <v>0</v>
      </c>
      <c r="AB91" s="180" t="n">
        <v>0</v>
      </c>
      <c r="AC91" s="180" t="n">
        <v>0</v>
      </c>
      <c r="AD91" s="180" t="n">
        <v>0</v>
      </c>
      <c r="AE91" s="180" t="n">
        <v>0</v>
      </c>
      <c r="AF91" s="180" t="n">
        <v>0</v>
      </c>
      <c r="AG91" s="180" t="n">
        <v>0</v>
      </c>
      <c r="AH91" s="180" t="n">
        <v>0</v>
      </c>
      <c r="AI91" s="180" t="n">
        <v>0</v>
      </c>
      <c r="AJ91" s="180" t="n">
        <v>0</v>
      </c>
      <c r="AK91" s="180" t="n">
        <v>0</v>
      </c>
      <c r="AL91" s="180" t="n">
        <v>0</v>
      </c>
      <c r="AM91" s="180" t="n">
        <v>0</v>
      </c>
      <c r="AN91" s="180" t="n">
        <v>0</v>
      </c>
      <c r="AO91" s="180" t="n">
        <v>0</v>
      </c>
      <c r="AP91" s="180" t="n">
        <v>0</v>
      </c>
      <c r="AQ91" s="180" t="n">
        <v>0</v>
      </c>
      <c r="AR91" s="180" t="n">
        <v>0</v>
      </c>
      <c r="AS91" s="180" t="n">
        <v>0</v>
      </c>
      <c r="AT91" s="180" t="n">
        <v>0</v>
      </c>
      <c r="AU91" s="180" t="n">
        <v>0</v>
      </c>
      <c r="AV91" s="180" t="n">
        <v>0</v>
      </c>
      <c r="AW91" s="180" t="n">
        <v>0</v>
      </c>
      <c r="AX91" s="180" t="n">
        <v>0</v>
      </c>
      <c r="AY91" s="180" t="n">
        <v>0</v>
      </c>
      <c r="AZ91" s="180" t="n">
        <v>0</v>
      </c>
      <c r="BA91" s="180" t="n">
        <v>0</v>
      </c>
      <c r="BB91" s="180" t="n">
        <v>0</v>
      </c>
    </row>
    <row r="92" ht="15" customHeight="1">
      <c r="E92" s="21" t="inlineStr">
        <is>
          <t>Capacity market revenue</t>
        </is>
      </c>
      <c r="G92" s="5">
        <f>CONCATENATE(CF_currency,"m nominal prices")</f>
        <v/>
      </c>
      <c r="H92" s="21" t="inlineStr">
        <is>
          <t>CMRt</t>
        </is>
      </c>
      <c r="O92" s="33" t="n"/>
      <c r="P92" s="51" t="n">
        <v>0</v>
      </c>
      <c r="Q92" s="51" t="n">
        <v>0</v>
      </c>
      <c r="R92" s="51" t="n">
        <v>0</v>
      </c>
      <c r="S92" s="51" t="n">
        <v>0</v>
      </c>
      <c r="T92" s="51" t="n">
        <v>0</v>
      </c>
      <c r="U92" s="51" t="n">
        <v>0</v>
      </c>
      <c r="V92" s="51" t="n">
        <v>0</v>
      </c>
      <c r="W92" s="51" t="n">
        <v>0</v>
      </c>
      <c r="X92" s="51" t="n">
        <v>0</v>
      </c>
      <c r="Y92" s="51" t="n">
        <v>0</v>
      </c>
      <c r="Z92" s="51" t="n">
        <v>0</v>
      </c>
      <c r="AA92" s="51" t="n">
        <v>0</v>
      </c>
      <c r="AB92" s="51" t="n">
        <v>0</v>
      </c>
      <c r="AC92" s="51" t="n">
        <v>0</v>
      </c>
      <c r="AD92" s="51" t="n">
        <v>0</v>
      </c>
      <c r="AE92" s="51" t="n">
        <v>0</v>
      </c>
      <c r="AF92" s="51" t="n">
        <v>0</v>
      </c>
      <c r="AG92" s="51" t="n">
        <v>0</v>
      </c>
      <c r="AH92" s="51" t="n">
        <v>0</v>
      </c>
      <c r="AI92" s="51" t="n">
        <v>0</v>
      </c>
      <c r="AJ92" s="51" t="n">
        <v>0</v>
      </c>
      <c r="AK92" s="51" t="n">
        <v>0</v>
      </c>
      <c r="AL92" s="51" t="n">
        <v>0</v>
      </c>
      <c r="AM92" s="51" t="n">
        <v>0</v>
      </c>
      <c r="AN92" s="51" t="n">
        <v>0</v>
      </c>
      <c r="AO92" s="51" t="n">
        <v>0</v>
      </c>
      <c r="AP92" s="51" t="n">
        <v>0</v>
      </c>
      <c r="AQ92" s="51" t="n">
        <v>0</v>
      </c>
      <c r="AR92" s="51" t="n">
        <v>0</v>
      </c>
      <c r="AS92" s="51" t="n">
        <v>0</v>
      </c>
      <c r="AT92" s="51" t="n">
        <v>0</v>
      </c>
      <c r="AU92" s="51" t="n">
        <v>0</v>
      </c>
      <c r="AV92" s="51" t="n">
        <v>0</v>
      </c>
      <c r="AW92" s="51" t="n">
        <v>0</v>
      </c>
      <c r="AX92" s="51" t="n">
        <v>0</v>
      </c>
      <c r="AY92" s="51" t="n">
        <v>0</v>
      </c>
      <c r="AZ92" s="51" t="n">
        <v>0</v>
      </c>
      <c r="BA92" s="51" t="n">
        <v>0</v>
      </c>
      <c r="BB92" s="51" t="n">
        <v>0</v>
      </c>
    </row>
    <row r="93" ht="15" customHeight="1">
      <c r="E93" s="21" t="inlineStr">
        <is>
          <t>Receipts from insurance</t>
        </is>
      </c>
      <c r="G93" s="5">
        <f>CONCATENATE(CF_currency,"m nominal prices")</f>
        <v/>
      </c>
      <c r="H93" s="21" t="inlineStr">
        <is>
          <t>RIt</t>
        </is>
      </c>
      <c r="O93" s="33" t="n"/>
      <c r="P93" s="51" t="n">
        <v>0</v>
      </c>
      <c r="Q93" s="51" t="n">
        <v>0</v>
      </c>
      <c r="R93" s="51" t="n">
        <v>0</v>
      </c>
      <c r="S93" s="51" t="n">
        <v>0</v>
      </c>
      <c r="T93" s="51" t="n">
        <v>0</v>
      </c>
      <c r="U93" s="51" t="n">
        <v>0</v>
      </c>
      <c r="V93" s="51" t="n">
        <v>0</v>
      </c>
      <c r="W93" s="51" t="n">
        <v>0</v>
      </c>
      <c r="X93" s="51" t="n">
        <v>0</v>
      </c>
      <c r="Y93" s="51" t="n">
        <v>0</v>
      </c>
      <c r="Z93" s="51" t="n">
        <v>0</v>
      </c>
      <c r="AA93" s="51" t="n">
        <v>0</v>
      </c>
      <c r="AB93" s="51" t="n">
        <v>0</v>
      </c>
      <c r="AC93" s="51" t="n">
        <v>0</v>
      </c>
      <c r="AD93" s="51" t="n">
        <v>0</v>
      </c>
      <c r="AE93" s="51" t="n">
        <v>0</v>
      </c>
      <c r="AF93" s="51" t="n">
        <v>0</v>
      </c>
      <c r="AG93" s="51" t="n">
        <v>0</v>
      </c>
      <c r="AH93" s="51" t="n">
        <v>0</v>
      </c>
      <c r="AI93" s="51" t="n">
        <v>0</v>
      </c>
      <c r="AJ93" s="51" t="n">
        <v>0</v>
      </c>
      <c r="AK93" s="51" t="n">
        <v>0</v>
      </c>
      <c r="AL93" s="51" t="n">
        <v>0</v>
      </c>
      <c r="AM93" s="51" t="n">
        <v>0</v>
      </c>
      <c r="AN93" s="51" t="n">
        <v>0</v>
      </c>
      <c r="AO93" s="51" t="n">
        <v>0</v>
      </c>
      <c r="AP93" s="51" t="n">
        <v>0</v>
      </c>
      <c r="AQ93" s="51" t="n">
        <v>0</v>
      </c>
      <c r="AR93" s="51" t="n">
        <v>0</v>
      </c>
      <c r="AS93" s="51" t="n">
        <v>0</v>
      </c>
      <c r="AT93" s="51" t="n">
        <v>0</v>
      </c>
      <c r="AU93" s="51" t="n">
        <v>0</v>
      </c>
      <c r="AV93" s="51" t="n">
        <v>0</v>
      </c>
      <c r="AW93" s="51" t="n">
        <v>0</v>
      </c>
      <c r="AX93" s="51" t="n">
        <v>0</v>
      </c>
      <c r="AY93" s="51" t="n">
        <v>0</v>
      </c>
      <c r="AZ93" s="51" t="n">
        <v>0</v>
      </c>
      <c r="BA93" s="51" t="n">
        <v>0</v>
      </c>
      <c r="BB93" s="51" t="n">
        <v>0</v>
      </c>
    </row>
    <row r="94" ht="15" customHeight="1">
      <c r="E94" s="21" t="inlineStr">
        <is>
          <t>Constraint payments (GB)</t>
        </is>
      </c>
      <c r="G94" s="5">
        <f>CONCATENATE(CF_currency,"m nominal prices")</f>
        <v/>
      </c>
      <c r="H94" s="21" t="inlineStr">
        <is>
          <t>CPGBt</t>
        </is>
      </c>
      <c r="O94" s="33" t="n"/>
      <c r="P94" s="51" t="n">
        <v>0</v>
      </c>
      <c r="Q94" s="51" t="n">
        <v>0</v>
      </c>
      <c r="R94" s="51" t="n">
        <v>0</v>
      </c>
      <c r="S94" s="51" t="n">
        <v>0</v>
      </c>
      <c r="T94" s="51" t="n">
        <v>0</v>
      </c>
      <c r="U94" s="51" t="n">
        <v>0</v>
      </c>
      <c r="V94" s="51" t="n">
        <v>0</v>
      </c>
      <c r="W94" s="51" t="n">
        <v>0</v>
      </c>
      <c r="X94" s="51" t="n">
        <v>0</v>
      </c>
      <c r="Y94" s="51" t="n">
        <v>0</v>
      </c>
      <c r="Z94" s="51" t="n">
        <v>0</v>
      </c>
      <c r="AA94" s="51" t="n">
        <v>0</v>
      </c>
      <c r="AB94" s="51" t="n">
        <v>0</v>
      </c>
      <c r="AC94" s="51" t="n">
        <v>0</v>
      </c>
      <c r="AD94" s="51" t="n">
        <v>0</v>
      </c>
      <c r="AE94" s="51" t="n">
        <v>0</v>
      </c>
      <c r="AF94" s="51" t="n">
        <v>0</v>
      </c>
      <c r="AG94" s="51" t="n">
        <v>0</v>
      </c>
      <c r="AH94" s="51" t="n">
        <v>0</v>
      </c>
      <c r="AI94" s="51" t="n">
        <v>0</v>
      </c>
      <c r="AJ94" s="51" t="n">
        <v>0</v>
      </c>
      <c r="AK94" s="51" t="n">
        <v>0</v>
      </c>
      <c r="AL94" s="51" t="n">
        <v>0</v>
      </c>
      <c r="AM94" s="51" t="n">
        <v>0</v>
      </c>
      <c r="AN94" s="51" t="n">
        <v>0</v>
      </c>
      <c r="AO94" s="51" t="n">
        <v>0</v>
      </c>
      <c r="AP94" s="51" t="n">
        <v>0</v>
      </c>
      <c r="AQ94" s="51" t="n">
        <v>0</v>
      </c>
      <c r="AR94" s="51" t="n">
        <v>0</v>
      </c>
      <c r="AS94" s="51" t="n">
        <v>0</v>
      </c>
      <c r="AT94" s="51" t="n">
        <v>0</v>
      </c>
      <c r="AU94" s="51" t="n">
        <v>0</v>
      </c>
      <c r="AV94" s="51" t="n">
        <v>0</v>
      </c>
      <c r="AW94" s="51" t="n">
        <v>0</v>
      </c>
      <c r="AX94" s="51" t="n">
        <v>0</v>
      </c>
      <c r="AY94" s="51" t="n">
        <v>0</v>
      </c>
      <c r="AZ94" s="51" t="n">
        <v>0</v>
      </c>
      <c r="BA94" s="51" t="n">
        <v>0</v>
      </c>
      <c r="BB94" s="51" t="n">
        <v>0</v>
      </c>
    </row>
    <row r="95" ht="15" customFormat="1" customHeight="1" s="174">
      <c r="E95" s="178" t="inlineStr">
        <is>
          <t>Constraint payments (non-GB, if applicable)</t>
        </is>
      </c>
      <c r="F95" s="21" t="n"/>
      <c r="G95" s="181">
        <f>CONCATENATE(CF_currency,"m nominal prices")</f>
        <v/>
      </c>
      <c r="H95" s="178" t="inlineStr">
        <is>
          <t>CPnGBt</t>
        </is>
      </c>
      <c r="I95" s="21" t="n"/>
      <c r="J95" s="21" t="n"/>
      <c r="K95" s="21" t="n"/>
      <c r="L95" s="21" t="n"/>
      <c r="M95" s="21" t="n"/>
      <c r="N95" s="21" t="n"/>
      <c r="O95" s="33" t="n"/>
      <c r="P95" s="180" t="n">
        <v>0</v>
      </c>
      <c r="Q95" s="180" t="n">
        <v>0</v>
      </c>
      <c r="R95" s="180" t="n">
        <v>0</v>
      </c>
      <c r="S95" s="180" t="n">
        <v>0</v>
      </c>
      <c r="T95" s="180" t="n">
        <v>0</v>
      </c>
      <c r="U95" s="180" t="n">
        <v>0</v>
      </c>
      <c r="V95" s="180" t="n">
        <v>0</v>
      </c>
      <c r="W95" s="180" t="n">
        <v>0</v>
      </c>
      <c r="X95" s="180" t="n">
        <v>0</v>
      </c>
      <c r="Y95" s="180" t="n">
        <v>0</v>
      </c>
      <c r="Z95" s="180" t="n">
        <v>0</v>
      </c>
      <c r="AA95" s="180" t="n">
        <v>0</v>
      </c>
      <c r="AB95" s="180" t="n">
        <v>0</v>
      </c>
      <c r="AC95" s="180" t="n">
        <v>0</v>
      </c>
      <c r="AD95" s="180" t="n">
        <v>0</v>
      </c>
      <c r="AE95" s="180" t="n">
        <v>0</v>
      </c>
      <c r="AF95" s="180" t="n">
        <v>0</v>
      </c>
      <c r="AG95" s="180" t="n">
        <v>0</v>
      </c>
      <c r="AH95" s="180" t="n">
        <v>0</v>
      </c>
      <c r="AI95" s="180" t="n">
        <v>0</v>
      </c>
      <c r="AJ95" s="180" t="n">
        <v>0</v>
      </c>
      <c r="AK95" s="180" t="n">
        <v>0</v>
      </c>
      <c r="AL95" s="180" t="n">
        <v>0</v>
      </c>
      <c r="AM95" s="180" t="n">
        <v>0</v>
      </c>
      <c r="AN95" s="180" t="n">
        <v>0</v>
      </c>
      <c r="AO95" s="180" t="n">
        <v>0</v>
      </c>
      <c r="AP95" s="180" t="n">
        <v>0</v>
      </c>
      <c r="AQ95" s="180" t="n">
        <v>0</v>
      </c>
      <c r="AR95" s="180" t="n">
        <v>0</v>
      </c>
      <c r="AS95" s="180" t="n">
        <v>0</v>
      </c>
      <c r="AT95" s="180" t="n">
        <v>0</v>
      </c>
      <c r="AU95" s="180" t="n">
        <v>0</v>
      </c>
      <c r="AV95" s="180" t="n">
        <v>0</v>
      </c>
      <c r="AW95" s="180" t="n">
        <v>0</v>
      </c>
      <c r="AX95" s="180" t="n">
        <v>0</v>
      </c>
      <c r="AY95" s="180" t="n">
        <v>0</v>
      </c>
      <c r="AZ95" s="180" t="n">
        <v>0</v>
      </c>
      <c r="BA95" s="180" t="n">
        <v>0</v>
      </c>
      <c r="BB95" s="180" t="n">
        <v>0</v>
      </c>
    </row>
    <row r="96" ht="15" customHeight="1">
      <c r="E96" s="21" t="inlineStr">
        <is>
          <t>Additional revenue (net of relevant costs)</t>
        </is>
      </c>
      <c r="G96" s="5">
        <f>CONCATENATE(CF_currency,"m nominal prices")</f>
        <v/>
      </c>
      <c r="H96" s="21" t="inlineStr">
        <is>
          <t>ADRt</t>
        </is>
      </c>
      <c r="O96" s="33" t="n"/>
      <c r="P96" s="51" t="n">
        <v>0</v>
      </c>
      <c r="Q96" s="51" t="n">
        <v>0</v>
      </c>
      <c r="R96" s="51" t="n">
        <v>0</v>
      </c>
      <c r="S96" s="51" t="n">
        <v>0</v>
      </c>
      <c r="T96" s="51" t="n">
        <v>0</v>
      </c>
      <c r="U96" s="51" t="n">
        <v>0</v>
      </c>
      <c r="V96" s="51" t="n">
        <v>0</v>
      </c>
      <c r="W96" s="51" t="n">
        <v>0</v>
      </c>
      <c r="X96" s="51" t="n">
        <v>0</v>
      </c>
      <c r="Y96" s="51" t="n">
        <v>0</v>
      </c>
      <c r="Z96" s="51" t="n">
        <v>0</v>
      </c>
      <c r="AA96" s="51" t="n">
        <v>0</v>
      </c>
      <c r="AB96" s="51" t="n">
        <v>0</v>
      </c>
      <c r="AC96" s="51" t="n">
        <v>0</v>
      </c>
      <c r="AD96" s="51" t="n">
        <v>0</v>
      </c>
      <c r="AE96" s="51" t="n">
        <v>0</v>
      </c>
      <c r="AF96" s="51" t="n">
        <v>0</v>
      </c>
      <c r="AG96" s="51" t="n">
        <v>0</v>
      </c>
      <c r="AH96" s="51" t="n">
        <v>0</v>
      </c>
      <c r="AI96" s="51" t="n">
        <v>0</v>
      </c>
      <c r="AJ96" s="51" t="n">
        <v>0</v>
      </c>
      <c r="AK96" s="51" t="n">
        <v>0</v>
      </c>
      <c r="AL96" s="51" t="n">
        <v>0</v>
      </c>
      <c r="AM96" s="51" t="n">
        <v>0</v>
      </c>
      <c r="AN96" s="51" t="n">
        <v>0</v>
      </c>
      <c r="AO96" s="51" t="n">
        <v>0</v>
      </c>
      <c r="AP96" s="51" t="n">
        <v>0</v>
      </c>
      <c r="AQ96" s="51" t="n">
        <v>0</v>
      </c>
      <c r="AR96" s="51" t="n">
        <v>0</v>
      </c>
      <c r="AS96" s="51" t="n">
        <v>0</v>
      </c>
      <c r="AT96" s="51" t="n">
        <v>0</v>
      </c>
      <c r="AU96" s="51" t="n">
        <v>0</v>
      </c>
      <c r="AV96" s="51" t="n">
        <v>0</v>
      </c>
      <c r="AW96" s="51" t="n">
        <v>0</v>
      </c>
      <c r="AX96" s="51" t="n">
        <v>0</v>
      </c>
      <c r="AY96" s="51" t="n">
        <v>0</v>
      </c>
      <c r="AZ96" s="51" t="n">
        <v>0</v>
      </c>
      <c r="BA96" s="51" t="n">
        <v>0</v>
      </c>
      <c r="BB96" s="51" t="n">
        <v>0</v>
      </c>
    </row>
    <row r="97" ht="15" customHeight="1">
      <c r="E97" s="21" t="inlineStr">
        <is>
          <t>Gross congestion revenues</t>
        </is>
      </c>
      <c r="G97" s="5">
        <f>CONCATENATE(CF_currency,"m nominal prices")</f>
        <v/>
      </c>
      <c r="H97" s="21" t="inlineStr">
        <is>
          <t>GCRt</t>
        </is>
      </c>
      <c r="O97" s="33" t="n"/>
      <c r="P97" s="90">
        <f>SUM(P89:P96)</f>
        <v/>
      </c>
      <c r="Q97" s="90">
        <f>SUM(Q89:Q96)</f>
        <v/>
      </c>
      <c r="R97" s="90">
        <f>SUM(R89:R96)</f>
        <v/>
      </c>
      <c r="S97" s="90">
        <f>SUM(S89:S96)</f>
        <v/>
      </c>
      <c r="T97" s="90">
        <f>SUM(T89:T96)</f>
        <v/>
      </c>
      <c r="U97" s="90">
        <f>SUM(U89:U96)</f>
        <v/>
      </c>
      <c r="V97" s="90">
        <f>SUM(V89:V96)</f>
        <v/>
      </c>
      <c r="W97" s="90">
        <f>SUM(W89:W96)</f>
        <v/>
      </c>
      <c r="X97" s="90">
        <f>SUM(X89:X96)</f>
        <v/>
      </c>
      <c r="Y97" s="90">
        <f>SUM(Y89:Y96)</f>
        <v/>
      </c>
      <c r="Z97" s="90">
        <f>SUM(Z89:Z96)</f>
        <v/>
      </c>
      <c r="AA97" s="90">
        <f>SUM(AA89:AA96)</f>
        <v/>
      </c>
      <c r="AB97" s="90">
        <f>SUM(AB89:AB96)</f>
        <v/>
      </c>
      <c r="AC97" s="90">
        <f>SUM(AC89:AC96)</f>
        <v/>
      </c>
      <c r="AD97" s="90">
        <f>SUM(AD89:AD96)</f>
        <v/>
      </c>
      <c r="AE97" s="90">
        <f>SUM(AE89:AE96)</f>
        <v/>
      </c>
      <c r="AF97" s="90">
        <f>SUM(AF89:AF96)</f>
        <v/>
      </c>
      <c r="AG97" s="90">
        <f>SUM(AG89:AG96)</f>
        <v/>
      </c>
      <c r="AH97" s="90">
        <f>SUM(AH89:AH96)</f>
        <v/>
      </c>
      <c r="AI97" s="90">
        <f>SUM(AI89:AI96)</f>
        <v/>
      </c>
      <c r="AJ97" s="90">
        <f>SUM(AJ89:AJ96)</f>
        <v/>
      </c>
      <c r="AK97" s="90">
        <f>SUM(AK89:AK96)</f>
        <v/>
      </c>
      <c r="AL97" s="90">
        <f>SUM(AL89:AL96)</f>
        <v/>
      </c>
      <c r="AM97" s="90">
        <f>SUM(AM89:AM96)</f>
        <v/>
      </c>
      <c r="AN97" s="90">
        <f>SUM(AN89:AN96)</f>
        <v/>
      </c>
      <c r="AO97" s="90">
        <f>SUM(AO89:AO96)</f>
        <v/>
      </c>
      <c r="AP97" s="90">
        <f>SUM(AP89:AP96)</f>
        <v/>
      </c>
      <c r="AQ97" s="90">
        <f>SUM(AQ89:AQ96)</f>
        <v/>
      </c>
      <c r="AR97" s="90">
        <f>SUM(AR89:AR96)</f>
        <v/>
      </c>
      <c r="AS97" s="90">
        <f>SUM(AS89:AS96)</f>
        <v/>
      </c>
      <c r="AT97" s="90">
        <f>SUM(AT89:AT96)</f>
        <v/>
      </c>
      <c r="AU97" s="90">
        <f>SUM(AU89:AU96)</f>
        <v/>
      </c>
      <c r="AV97" s="90">
        <f>SUM(AV89:AV96)</f>
        <v/>
      </c>
      <c r="AW97" s="90">
        <f>SUM(AW89:AW96)</f>
        <v/>
      </c>
      <c r="AX97" s="90">
        <f>SUM(AX89:AX96)</f>
        <v/>
      </c>
      <c r="AY97" s="90">
        <f>SUM(AY89:AY96)</f>
        <v/>
      </c>
      <c r="AZ97" s="90">
        <f>SUM(AZ89:AZ96)</f>
        <v/>
      </c>
      <c r="BA97" s="90">
        <f>SUM(BA89:BA96)</f>
        <v/>
      </c>
      <c r="BB97" s="90">
        <f>SUM(BB89:BB96)</f>
        <v/>
      </c>
    </row>
    <row r="98" ht="15" customHeight="1">
      <c r="Z98" s="70" t="n"/>
      <c r="AA98" s="70" t="n"/>
      <c r="AB98" s="70" t="n"/>
      <c r="AC98" s="70" t="n"/>
      <c r="AD98" s="70" t="n"/>
      <c r="AE98" s="70" t="n"/>
      <c r="AF98" s="70" t="n"/>
      <c r="AG98" s="70" t="n"/>
      <c r="AH98" s="70" t="n"/>
      <c r="AI98" s="70" t="n"/>
      <c r="AJ98" s="70" t="n"/>
      <c r="AK98" s="70" t="n"/>
      <c r="AL98" s="70" t="n"/>
      <c r="AM98" s="70" t="n"/>
      <c r="AN98" s="70" t="n"/>
      <c r="AO98" s="70" t="n"/>
      <c r="AP98" s="70" t="n"/>
      <c r="AQ98" s="70" t="n"/>
      <c r="AR98" s="70" t="n"/>
      <c r="AS98" s="70" t="n"/>
      <c r="AT98" s="70" t="n"/>
      <c r="AU98" s="70" t="n"/>
      <c r="AV98" s="70" t="n"/>
      <c r="AW98" s="70" t="n"/>
      <c r="AX98" s="70" t="n"/>
      <c r="AY98" s="70" t="n"/>
      <c r="AZ98" s="70" t="n"/>
      <c r="BA98" s="70" t="n"/>
      <c r="BB98" s="70" t="n"/>
    </row>
    <row r="99" ht="15" customHeight="1">
      <c r="E99" s="21" t="inlineStr">
        <is>
          <t>Error accounting costs</t>
        </is>
      </c>
      <c r="G99" s="5">
        <f>CONCATENATE(CF_currency,"m nominal prices")</f>
        <v/>
      </c>
      <c r="H99" s="21" t="inlineStr">
        <is>
          <t>EACt</t>
        </is>
      </c>
      <c r="O99" s="33" t="n"/>
      <c r="P99" s="51" t="n">
        <v>0</v>
      </c>
      <c r="Q99" s="51" t="n">
        <v>0</v>
      </c>
      <c r="R99" s="51" t="n">
        <v>0</v>
      </c>
      <c r="S99" s="51" t="n">
        <v>0</v>
      </c>
      <c r="T99" s="51" t="n">
        <v>0</v>
      </c>
      <c r="U99" s="51" t="n">
        <v>0</v>
      </c>
      <c r="V99" s="51" t="n">
        <v>0</v>
      </c>
      <c r="W99" s="51" t="n">
        <v>0</v>
      </c>
      <c r="X99" s="51" t="n">
        <v>0</v>
      </c>
      <c r="Y99" s="51" t="n">
        <v>0</v>
      </c>
      <c r="Z99" s="51" t="n">
        <v>0</v>
      </c>
      <c r="AA99" s="51" t="n">
        <v>0</v>
      </c>
      <c r="AB99" s="51" t="n">
        <v>0</v>
      </c>
      <c r="AC99" s="51" t="n">
        <v>0</v>
      </c>
      <c r="AD99" s="51" t="n">
        <v>0</v>
      </c>
      <c r="AE99" s="51" t="n">
        <v>0</v>
      </c>
      <c r="AF99" s="51" t="n">
        <v>0</v>
      </c>
      <c r="AG99" s="51" t="n">
        <v>0</v>
      </c>
      <c r="AH99" s="51" t="n">
        <v>0</v>
      </c>
      <c r="AI99" s="51" t="n">
        <v>0</v>
      </c>
      <c r="AJ99" s="51" t="n">
        <v>0</v>
      </c>
      <c r="AK99" s="51" t="n">
        <v>0</v>
      </c>
      <c r="AL99" s="51" t="n">
        <v>0</v>
      </c>
      <c r="AM99" s="51" t="n">
        <v>0</v>
      </c>
      <c r="AN99" s="51" t="n">
        <v>0</v>
      </c>
      <c r="AO99" s="51" t="n">
        <v>0</v>
      </c>
      <c r="AP99" s="51" t="n">
        <v>0</v>
      </c>
      <c r="AQ99" s="51" t="n">
        <v>0</v>
      </c>
      <c r="AR99" s="51" t="n">
        <v>0</v>
      </c>
      <c r="AS99" s="51" t="n">
        <v>0</v>
      </c>
      <c r="AT99" s="51" t="n">
        <v>0</v>
      </c>
      <c r="AU99" s="51" t="n">
        <v>0</v>
      </c>
      <c r="AV99" s="51" t="n">
        <v>0</v>
      </c>
      <c r="AW99" s="51" t="n">
        <v>0</v>
      </c>
      <c r="AX99" s="51" t="n">
        <v>0</v>
      </c>
      <c r="AY99" s="51" t="n">
        <v>0</v>
      </c>
      <c r="AZ99" s="51" t="n">
        <v>0</v>
      </c>
      <c r="BA99" s="51" t="n">
        <v>0</v>
      </c>
      <c r="BB99" s="51" t="n">
        <v>0</v>
      </c>
    </row>
    <row r="100" ht="15" customHeight="1">
      <c r="E100" s="21" t="inlineStr">
        <is>
          <t>Firmness costs</t>
        </is>
      </c>
      <c r="G100" s="5">
        <f>CONCATENATE(CF_currency,"m nominal prices")</f>
        <v/>
      </c>
      <c r="H100" s="21" t="inlineStr">
        <is>
          <t>FCt</t>
        </is>
      </c>
      <c r="O100" s="33" t="n"/>
      <c r="P100" s="51" t="n">
        <v>0</v>
      </c>
      <c r="Q100" s="51" t="n">
        <v>0</v>
      </c>
      <c r="R100" s="51" t="n">
        <v>0</v>
      </c>
      <c r="S100" s="51" t="n">
        <v>0</v>
      </c>
      <c r="T100" s="51" t="n">
        <v>0</v>
      </c>
      <c r="U100" s="51" t="n">
        <v>0</v>
      </c>
      <c r="V100" s="51" t="n">
        <v>0</v>
      </c>
      <c r="W100" s="51" t="n">
        <v>0</v>
      </c>
      <c r="X100" s="51" t="n">
        <v>0</v>
      </c>
      <c r="Y100" s="51" t="n">
        <v>0</v>
      </c>
      <c r="Z100" s="51" t="n">
        <v>0</v>
      </c>
      <c r="AA100" s="51" t="n">
        <v>0</v>
      </c>
      <c r="AB100" s="51" t="n">
        <v>0</v>
      </c>
      <c r="AC100" s="51" t="n">
        <v>0</v>
      </c>
      <c r="AD100" s="51" t="n">
        <v>0</v>
      </c>
      <c r="AE100" s="51" t="n">
        <v>0</v>
      </c>
      <c r="AF100" s="51" t="n">
        <v>0</v>
      </c>
      <c r="AG100" s="51" t="n">
        <v>0</v>
      </c>
      <c r="AH100" s="51" t="n">
        <v>0</v>
      </c>
      <c r="AI100" s="51" t="n">
        <v>0</v>
      </c>
      <c r="AJ100" s="51" t="n">
        <v>0</v>
      </c>
      <c r="AK100" s="51" t="n">
        <v>0</v>
      </c>
      <c r="AL100" s="51" t="n">
        <v>0</v>
      </c>
      <c r="AM100" s="51" t="n">
        <v>0</v>
      </c>
      <c r="AN100" s="51" t="n">
        <v>0</v>
      </c>
      <c r="AO100" s="51" t="n">
        <v>0</v>
      </c>
      <c r="AP100" s="51" t="n">
        <v>0</v>
      </c>
      <c r="AQ100" s="51" t="n">
        <v>0</v>
      </c>
      <c r="AR100" s="51" t="n">
        <v>0</v>
      </c>
      <c r="AS100" s="51" t="n">
        <v>0</v>
      </c>
      <c r="AT100" s="51" t="n">
        <v>0</v>
      </c>
      <c r="AU100" s="51" t="n">
        <v>0</v>
      </c>
      <c r="AV100" s="51" t="n">
        <v>0</v>
      </c>
      <c r="AW100" s="51" t="n">
        <v>0</v>
      </c>
      <c r="AX100" s="51" t="n">
        <v>0</v>
      </c>
      <c r="AY100" s="51" t="n">
        <v>0</v>
      </c>
      <c r="AZ100" s="51" t="n">
        <v>0</v>
      </c>
      <c r="BA100" s="51" t="n">
        <v>0</v>
      </c>
      <c r="BB100" s="51" t="n">
        <v>0</v>
      </c>
    </row>
    <row r="101" ht="15" customHeight="1">
      <c r="E101" s="21" t="inlineStr">
        <is>
          <t>Trip contract costs</t>
        </is>
      </c>
      <c r="G101" s="5">
        <f>CONCATENATE(CF_currency,"m nominal prices")</f>
        <v/>
      </c>
      <c r="H101" s="21" t="inlineStr">
        <is>
          <t>TCCt</t>
        </is>
      </c>
      <c r="O101" s="33" t="n"/>
      <c r="P101" s="51" t="n">
        <v>0</v>
      </c>
      <c r="Q101" s="51" t="n">
        <v>0</v>
      </c>
      <c r="R101" s="51" t="n">
        <v>0</v>
      </c>
      <c r="S101" s="51" t="n">
        <v>0</v>
      </c>
      <c r="T101" s="51" t="n">
        <v>0</v>
      </c>
      <c r="U101" s="51" t="n">
        <v>0</v>
      </c>
      <c r="V101" s="51" t="n">
        <v>0</v>
      </c>
      <c r="W101" s="51" t="n">
        <v>0</v>
      </c>
      <c r="X101" s="51" t="n">
        <v>0</v>
      </c>
      <c r="Y101" s="51" t="n">
        <v>0</v>
      </c>
      <c r="Z101" s="51" t="n">
        <v>0</v>
      </c>
      <c r="AA101" s="51" t="n">
        <v>0</v>
      </c>
      <c r="AB101" s="51" t="n">
        <v>0</v>
      </c>
      <c r="AC101" s="51" t="n">
        <v>0</v>
      </c>
      <c r="AD101" s="51" t="n">
        <v>0</v>
      </c>
      <c r="AE101" s="51" t="n">
        <v>0</v>
      </c>
      <c r="AF101" s="51" t="n">
        <v>0</v>
      </c>
      <c r="AG101" s="51" t="n">
        <v>0</v>
      </c>
      <c r="AH101" s="51" t="n">
        <v>0</v>
      </c>
      <c r="AI101" s="51" t="n">
        <v>0</v>
      </c>
      <c r="AJ101" s="51" t="n">
        <v>0</v>
      </c>
      <c r="AK101" s="51" t="n">
        <v>0</v>
      </c>
      <c r="AL101" s="51" t="n">
        <v>0</v>
      </c>
      <c r="AM101" s="51" t="n">
        <v>0</v>
      </c>
      <c r="AN101" s="51" t="n">
        <v>0</v>
      </c>
      <c r="AO101" s="51" t="n">
        <v>0</v>
      </c>
      <c r="AP101" s="51" t="n">
        <v>0</v>
      </c>
      <c r="AQ101" s="51" t="n">
        <v>0</v>
      </c>
      <c r="AR101" s="51" t="n">
        <v>0</v>
      </c>
      <c r="AS101" s="51" t="n">
        <v>0</v>
      </c>
      <c r="AT101" s="51" t="n">
        <v>0</v>
      </c>
      <c r="AU101" s="51" t="n">
        <v>0</v>
      </c>
      <c r="AV101" s="51" t="n">
        <v>0</v>
      </c>
      <c r="AW101" s="51" t="n">
        <v>0</v>
      </c>
      <c r="AX101" s="51" t="n">
        <v>0</v>
      </c>
      <c r="AY101" s="51" t="n">
        <v>0</v>
      </c>
      <c r="AZ101" s="51" t="n">
        <v>0</v>
      </c>
      <c r="BA101" s="51" t="n">
        <v>0</v>
      </c>
      <c r="BB101" s="51" t="n">
        <v>0</v>
      </c>
    </row>
    <row r="102" ht="15" customHeight="1">
      <c r="E102" s="21" t="inlineStr">
        <is>
          <t>Market related costs</t>
        </is>
      </c>
      <c r="G102" s="5">
        <f>CONCATENATE(CF_currency,"m nominal prices")</f>
        <v/>
      </c>
      <c r="H102" s="21" t="inlineStr">
        <is>
          <t>MRCt</t>
        </is>
      </c>
      <c r="O102" s="33" t="n"/>
      <c r="P102" s="90">
        <f>SUM(P99:P101)</f>
        <v/>
      </c>
      <c r="Q102" s="90">
        <f>SUM(Q99:Q101)</f>
        <v/>
      </c>
      <c r="R102" s="90">
        <f>SUM(R99:R101)</f>
        <v/>
      </c>
      <c r="S102" s="90">
        <f>SUM(S99:S101)</f>
        <v/>
      </c>
      <c r="T102" s="90">
        <f>SUM(T99:T101)</f>
        <v/>
      </c>
      <c r="U102" s="90">
        <f>SUM(U99:U101)</f>
        <v/>
      </c>
      <c r="V102" s="90">
        <f>SUM(V99:V101)</f>
        <v/>
      </c>
      <c r="W102" s="90">
        <f>SUM(W99:W101)</f>
        <v/>
      </c>
      <c r="X102" s="90">
        <f>SUM(X99:X101)</f>
        <v/>
      </c>
      <c r="Y102" s="90">
        <f>SUM(Y99:Y101)</f>
        <v/>
      </c>
      <c r="Z102" s="90">
        <f>SUM(Z99:Z101)</f>
        <v/>
      </c>
      <c r="AA102" s="90">
        <f>SUM(AA99:AA101)</f>
        <v/>
      </c>
      <c r="AB102" s="90">
        <f>SUM(AB99:AB101)</f>
        <v/>
      </c>
      <c r="AC102" s="90">
        <f>SUM(AC99:AC101)</f>
        <v/>
      </c>
      <c r="AD102" s="90">
        <f>SUM(AD99:AD101)</f>
        <v/>
      </c>
      <c r="AE102" s="90">
        <f>SUM(AE99:AE101)</f>
        <v/>
      </c>
      <c r="AF102" s="90">
        <f>SUM(AF99:AF101)</f>
        <v/>
      </c>
      <c r="AG102" s="90">
        <f>SUM(AG99:AG101)</f>
        <v/>
      </c>
      <c r="AH102" s="90">
        <f>SUM(AH99:AH101)</f>
        <v/>
      </c>
      <c r="AI102" s="90">
        <f>SUM(AI99:AI101)</f>
        <v/>
      </c>
      <c r="AJ102" s="90">
        <f>SUM(AJ99:AJ101)</f>
        <v/>
      </c>
      <c r="AK102" s="90">
        <f>SUM(AK99:AK101)</f>
        <v/>
      </c>
      <c r="AL102" s="90">
        <f>SUM(AL99:AL101)</f>
        <v/>
      </c>
      <c r="AM102" s="90">
        <f>SUM(AM99:AM101)</f>
        <v/>
      </c>
      <c r="AN102" s="90">
        <f>SUM(AN99:AN101)</f>
        <v/>
      </c>
      <c r="AO102" s="90">
        <f>SUM(AO99:AO101)</f>
        <v/>
      </c>
      <c r="AP102" s="90">
        <f>SUM(AP99:AP101)</f>
        <v/>
      </c>
      <c r="AQ102" s="90">
        <f>SUM(AQ99:AQ101)</f>
        <v/>
      </c>
      <c r="AR102" s="90">
        <f>SUM(AR99:AR101)</f>
        <v/>
      </c>
      <c r="AS102" s="90">
        <f>SUM(AS99:AS101)</f>
        <v/>
      </c>
      <c r="AT102" s="90">
        <f>SUM(AT99:AT101)</f>
        <v/>
      </c>
      <c r="AU102" s="90">
        <f>SUM(AU99:AU101)</f>
        <v/>
      </c>
      <c r="AV102" s="90">
        <f>SUM(AV99:AV101)</f>
        <v/>
      </c>
      <c r="AW102" s="90">
        <f>SUM(AW99:AW101)</f>
        <v/>
      </c>
      <c r="AX102" s="90">
        <f>SUM(AX99:AX101)</f>
        <v/>
      </c>
      <c r="AY102" s="90">
        <f>SUM(AY99:AY101)</f>
        <v/>
      </c>
      <c r="AZ102" s="90">
        <f>SUM(AZ99:AZ101)</f>
        <v/>
      </c>
      <c r="BA102" s="90">
        <f>SUM(BA99:BA101)</f>
        <v/>
      </c>
      <c r="BB102" s="90">
        <f>SUM(BB99:BB101)</f>
        <v/>
      </c>
    </row>
    <row r="103" ht="15" customHeight="1">
      <c r="P103" s="91" t="n"/>
      <c r="Q103" s="91" t="n"/>
      <c r="R103" s="91" t="n"/>
      <c r="S103" s="91" t="n"/>
      <c r="T103" s="91" t="n"/>
      <c r="U103" s="91" t="n"/>
      <c r="V103" s="91" t="n"/>
      <c r="W103" s="91" t="n"/>
      <c r="X103" s="91" t="n"/>
      <c r="Y103" s="91" t="n"/>
      <c r="Z103" s="91" t="n"/>
      <c r="AA103" s="91" t="n"/>
      <c r="AB103" s="91" t="n"/>
      <c r="AC103" s="91" t="n"/>
      <c r="AD103" s="91" t="n"/>
      <c r="AE103" s="91" t="n"/>
      <c r="AF103" s="91" t="n"/>
      <c r="AG103" s="91" t="n"/>
      <c r="AH103" s="91" t="n"/>
      <c r="AI103" s="91" t="n"/>
      <c r="AJ103" s="91" t="n"/>
      <c r="AK103" s="91" t="n"/>
      <c r="AL103" s="91" t="n"/>
      <c r="AM103" s="91" t="n"/>
      <c r="AN103" s="91" t="n"/>
      <c r="AO103" s="91" t="n"/>
      <c r="AP103" s="91" t="n"/>
      <c r="AQ103" s="91" t="n"/>
      <c r="AR103" s="91" t="n"/>
      <c r="AS103" s="91" t="n"/>
      <c r="AT103" s="91" t="n"/>
      <c r="AU103" s="91" t="n"/>
      <c r="AV103" s="91" t="n"/>
      <c r="AW103" s="91" t="n"/>
      <c r="AX103" s="91" t="n"/>
      <c r="AY103" s="91" t="n"/>
      <c r="AZ103" s="91" t="n"/>
      <c r="BA103" s="91" t="n"/>
      <c r="BB103" s="91" t="n"/>
    </row>
    <row r="104" ht="15" customHeight="1">
      <c r="E104" s="21" t="inlineStr">
        <is>
          <t>Income adjusting event</t>
        </is>
      </c>
      <c r="G104" s="5">
        <f>CONCATENATE(CF_currency,"m nominal prices")</f>
        <v/>
      </c>
      <c r="H104" s="21" t="inlineStr">
        <is>
          <t>IATt</t>
        </is>
      </c>
      <c r="O104" s="33" t="n"/>
      <c r="P104" s="51" t="n">
        <v>0</v>
      </c>
      <c r="Q104" s="51" t="n">
        <v>0</v>
      </c>
      <c r="R104" s="51" t="n">
        <v>0</v>
      </c>
      <c r="S104" s="51" t="n">
        <v>0</v>
      </c>
      <c r="T104" s="51" t="n">
        <v>0</v>
      </c>
      <c r="U104" s="51" t="n">
        <v>0</v>
      </c>
      <c r="V104" s="51" t="n">
        <v>0</v>
      </c>
      <c r="W104" s="51" t="n">
        <v>0</v>
      </c>
      <c r="X104" s="51" t="n">
        <v>0</v>
      </c>
      <c r="Y104" s="51" t="n">
        <v>0</v>
      </c>
      <c r="Z104" s="51" t="n">
        <v>0</v>
      </c>
      <c r="AA104" s="51" t="n">
        <v>0</v>
      </c>
      <c r="AB104" s="51" t="n">
        <v>0</v>
      </c>
      <c r="AC104" s="51" t="n">
        <v>0</v>
      </c>
      <c r="AD104" s="51" t="n">
        <v>0</v>
      </c>
      <c r="AE104" s="51" t="n">
        <v>0</v>
      </c>
      <c r="AF104" s="51" t="n">
        <v>0</v>
      </c>
      <c r="AG104" s="51" t="n">
        <v>0</v>
      </c>
      <c r="AH104" s="51" t="n">
        <v>0</v>
      </c>
      <c r="AI104" s="51" t="n">
        <v>0</v>
      </c>
      <c r="AJ104" s="51" t="n">
        <v>0</v>
      </c>
      <c r="AK104" s="51" t="n">
        <v>0</v>
      </c>
      <c r="AL104" s="51" t="n">
        <v>0</v>
      </c>
      <c r="AM104" s="51" t="n">
        <v>0</v>
      </c>
      <c r="AN104" s="51" t="n">
        <v>0</v>
      </c>
      <c r="AO104" s="51" t="n">
        <v>0</v>
      </c>
      <c r="AP104" s="51" t="n">
        <v>0</v>
      </c>
      <c r="AQ104" s="51" t="n">
        <v>0</v>
      </c>
      <c r="AR104" s="51" t="n">
        <v>0</v>
      </c>
      <c r="AS104" s="51" t="n">
        <v>0</v>
      </c>
      <c r="AT104" s="51" t="n">
        <v>0</v>
      </c>
      <c r="AU104" s="51" t="n">
        <v>0</v>
      </c>
      <c r="AV104" s="51" t="n">
        <v>0</v>
      </c>
      <c r="AW104" s="51" t="n">
        <v>0</v>
      </c>
      <c r="AX104" s="51" t="n">
        <v>0</v>
      </c>
      <c r="AY104" s="51" t="n">
        <v>0</v>
      </c>
      <c r="AZ104" s="51" t="n">
        <v>0</v>
      </c>
      <c r="BA104" s="51" t="n">
        <v>0</v>
      </c>
      <c r="BB104" s="51" t="n">
        <v>0</v>
      </c>
    </row>
    <row r="105" ht="15" customHeight="1">
      <c r="P105" s="91" t="n"/>
      <c r="Q105" s="91" t="n"/>
      <c r="R105" s="91" t="n"/>
      <c r="S105" s="91" t="n"/>
      <c r="T105" s="91" t="n"/>
      <c r="U105" s="91" t="n"/>
      <c r="V105" s="91" t="n"/>
      <c r="W105" s="91" t="n"/>
      <c r="X105" s="91" t="n"/>
      <c r="Y105" s="91" t="n"/>
      <c r="Z105" s="91" t="n"/>
      <c r="AA105" s="91" t="n"/>
      <c r="AB105" s="91" t="n"/>
      <c r="AC105" s="91" t="n"/>
      <c r="AD105" s="91" t="n"/>
      <c r="AE105" s="91" t="n"/>
      <c r="AF105" s="91" t="n"/>
      <c r="AG105" s="91" t="n"/>
      <c r="AH105" s="91" t="n"/>
      <c r="AI105" s="91" t="n"/>
      <c r="AJ105" s="91" t="n"/>
      <c r="AK105" s="91" t="n"/>
      <c r="AL105" s="91" t="n"/>
      <c r="AM105" s="91" t="n"/>
      <c r="AN105" s="91" t="n"/>
      <c r="AO105" s="91" t="n"/>
      <c r="AP105" s="91" t="n"/>
      <c r="AQ105" s="91" t="n"/>
      <c r="AR105" s="91" t="n"/>
      <c r="AS105" s="91" t="n"/>
      <c r="AT105" s="91" t="n"/>
      <c r="AU105" s="91" t="n"/>
      <c r="AV105" s="91" t="n"/>
      <c r="AW105" s="91" t="n"/>
      <c r="AX105" s="91" t="n"/>
      <c r="AY105" s="91" t="n"/>
      <c r="AZ105" s="91" t="n"/>
      <c r="BA105" s="91" t="n"/>
      <c r="BB105" s="91" t="n"/>
    </row>
    <row r="106" ht="15" customHeight="1">
      <c r="E106" s="21" t="inlineStr">
        <is>
          <t>Notional assessed revenue</t>
        </is>
      </c>
      <c r="G106" s="5">
        <f>CONCATENATE(CF_currency,"m nominal prices")</f>
        <v/>
      </c>
      <c r="H106" s="21" t="inlineStr">
        <is>
          <t>NARt</t>
        </is>
      </c>
      <c r="O106" s="33" t="n"/>
      <c r="P106" s="91">
        <f>P97-P102-P104</f>
        <v/>
      </c>
      <c r="Q106" s="91">
        <f>Q97-Q102-Q104</f>
        <v/>
      </c>
      <c r="R106" s="91">
        <f>R97-R102-R104</f>
        <v/>
      </c>
      <c r="S106" s="91">
        <f>S97-S102-S104</f>
        <v/>
      </c>
      <c r="T106" s="91">
        <f>T97-T102-T104</f>
        <v/>
      </c>
      <c r="U106" s="91">
        <f>U97-U102-U104</f>
        <v/>
      </c>
      <c r="V106" s="91">
        <f>V97-V102-V104</f>
        <v/>
      </c>
      <c r="W106" s="91">
        <f>W97-W102-W104</f>
        <v/>
      </c>
      <c r="X106" s="91">
        <f>X97-X102-X104</f>
        <v/>
      </c>
      <c r="Y106" s="91">
        <f>Y97-Y102-Y104</f>
        <v/>
      </c>
      <c r="Z106" s="91">
        <f>Z97-Z102-Z104</f>
        <v/>
      </c>
      <c r="AA106" s="91">
        <f>AA97-AA102-AA104</f>
        <v/>
      </c>
      <c r="AB106" s="91">
        <f>AB97-AB102-AB104</f>
        <v/>
      </c>
      <c r="AC106" s="91">
        <f>AC97-AC102-AC104</f>
        <v/>
      </c>
      <c r="AD106" s="91">
        <f>AD97-AD102-AD104</f>
        <v/>
      </c>
      <c r="AE106" s="91">
        <f>AE97-AE102-AE104</f>
        <v/>
      </c>
      <c r="AF106" s="91">
        <f>AF97-AF102-AF104</f>
        <v/>
      </c>
      <c r="AG106" s="91">
        <f>AG97-AG102-AG104</f>
        <v/>
      </c>
      <c r="AH106" s="91">
        <f>AH97-AH102-AH104</f>
        <v/>
      </c>
      <c r="AI106" s="91">
        <f>AI97-AI102-AI104</f>
        <v/>
      </c>
      <c r="AJ106" s="91">
        <f>AJ97-AJ102-AJ104</f>
        <v/>
      </c>
      <c r="AK106" s="91">
        <f>AK97-AK102-AK104</f>
        <v/>
      </c>
      <c r="AL106" s="91">
        <f>AL97-AL102-AL104</f>
        <v/>
      </c>
      <c r="AM106" s="91">
        <f>AM97-AM102-AM104</f>
        <v/>
      </c>
      <c r="AN106" s="91">
        <f>AN97-AN102-AN104</f>
        <v/>
      </c>
      <c r="AO106" s="91">
        <f>AO97-AO102-AO104</f>
        <v/>
      </c>
      <c r="AP106" s="91">
        <f>AP97-AP102-AP104</f>
        <v/>
      </c>
      <c r="AQ106" s="91">
        <f>AQ97-AQ102-AQ104</f>
        <v/>
      </c>
      <c r="AR106" s="91">
        <f>AR97-AR102-AR104</f>
        <v/>
      </c>
      <c r="AS106" s="91">
        <f>AS97-AS102-AS104</f>
        <v/>
      </c>
      <c r="AT106" s="91">
        <f>AT97-AT102-AT104</f>
        <v/>
      </c>
      <c r="AU106" s="91">
        <f>AU97-AU102-AU104</f>
        <v/>
      </c>
      <c r="AV106" s="91">
        <f>AV97-AV102-AV104</f>
        <v/>
      </c>
      <c r="AW106" s="91">
        <f>AW97-AW102-AW104</f>
        <v/>
      </c>
      <c r="AX106" s="91">
        <f>AX97-AX102-AX104</f>
        <v/>
      </c>
      <c r="AY106" s="91">
        <f>AY97-AY102-AY104</f>
        <v/>
      </c>
      <c r="AZ106" s="91">
        <f>AZ97-AZ102-AZ104</f>
        <v/>
      </c>
      <c r="BA106" s="91">
        <f>BA97-BA102-BA104</f>
        <v/>
      </c>
      <c r="BB106" s="91">
        <f>BB97-BB102-BB104</f>
        <v/>
      </c>
    </row>
    <row r="107" ht="15" customHeight="1">
      <c r="P107" s="91" t="n"/>
      <c r="Q107" s="91" t="n"/>
      <c r="R107" s="91" t="n"/>
      <c r="S107" s="91" t="n"/>
      <c r="T107" s="91" t="n"/>
      <c r="U107" s="91" t="n"/>
      <c r="V107" s="91" t="n"/>
      <c r="W107" s="91" t="n"/>
      <c r="X107" s="91" t="n"/>
      <c r="Y107" s="91" t="n"/>
      <c r="Z107" s="91" t="n"/>
      <c r="AA107" s="91" t="n"/>
      <c r="AB107" s="91" t="n"/>
      <c r="AC107" s="91" t="n"/>
      <c r="AD107" s="91" t="n"/>
      <c r="AE107" s="91" t="n"/>
      <c r="AF107" s="91" t="n"/>
      <c r="AG107" s="91" t="n"/>
      <c r="AH107" s="91" t="n"/>
      <c r="AI107" s="91" t="n"/>
      <c r="AJ107" s="91" t="n"/>
      <c r="AK107" s="91" t="n"/>
      <c r="AL107" s="91" t="n"/>
      <c r="AM107" s="91" t="n"/>
      <c r="AN107" s="91" t="n"/>
      <c r="AO107" s="91" t="n"/>
      <c r="AP107" s="91" t="n"/>
      <c r="AQ107" s="91" t="n"/>
      <c r="AR107" s="91" t="n"/>
      <c r="AS107" s="91" t="n"/>
      <c r="AT107" s="91" t="n"/>
      <c r="AU107" s="91" t="n"/>
      <c r="AV107" s="91" t="n"/>
      <c r="AW107" s="91" t="n"/>
      <c r="AX107" s="91" t="n"/>
      <c r="AY107" s="91" t="n"/>
      <c r="AZ107" s="91" t="n"/>
      <c r="BA107" s="91" t="n"/>
      <c r="BB107" s="91" t="n"/>
    </row>
    <row r="108" ht="15" customHeight="1">
      <c r="E108" s="21" t="inlineStr">
        <is>
          <t>Assessed revenue</t>
        </is>
      </c>
      <c r="G108" s="5">
        <f>CONCATENATE(CF_currency,"m nominal prices")</f>
        <v/>
      </c>
      <c r="H108" s="21" t="inlineStr">
        <is>
          <t>ARt</t>
        </is>
      </c>
      <c r="O108" s="33" t="n"/>
      <c r="P108" s="102">
        <f>IF(P106&gt;0,P106,0)</f>
        <v/>
      </c>
      <c r="Q108" s="102">
        <f>IF(Q106&gt;0,Q106,0)</f>
        <v/>
      </c>
      <c r="R108" s="102">
        <f>IF(R106&gt;0,R106,0)</f>
        <v/>
      </c>
      <c r="S108" s="102">
        <f>IF(S106&gt;0,S106,0)</f>
        <v/>
      </c>
      <c r="T108" s="102">
        <f>IF(T106&gt;0,T106,0)</f>
        <v/>
      </c>
      <c r="U108" s="102">
        <f>IF(U106&gt;0,U106,0)</f>
        <v/>
      </c>
      <c r="V108" s="102">
        <f>IF(V106&gt;0,V106,0)</f>
        <v/>
      </c>
      <c r="W108" s="102">
        <f>IF(W106&gt;0,W106,0)</f>
        <v/>
      </c>
      <c r="X108" s="102">
        <f>IF(X106&gt;0,X106,0)</f>
        <v/>
      </c>
      <c r="Y108" s="102">
        <f>IF(Y106&gt;0,Y106,0)</f>
        <v/>
      </c>
      <c r="Z108" s="102">
        <f>IF(Z106&gt;0,Z106,0)</f>
        <v/>
      </c>
      <c r="AA108" s="102">
        <f>IF(AA106&gt;0,AA106,0)</f>
        <v/>
      </c>
      <c r="AB108" s="102">
        <f>IF(AB106&gt;0,AB106,0)</f>
        <v/>
      </c>
      <c r="AC108" s="102">
        <f>IF(AC106&gt;0,AC106,0)</f>
        <v/>
      </c>
      <c r="AD108" s="102">
        <f>IF(AD106&gt;0,AD106,0)</f>
        <v/>
      </c>
      <c r="AE108" s="102">
        <f>IF(AE106&gt;0,AE106,0)</f>
        <v/>
      </c>
      <c r="AF108" s="102">
        <f>IF(AF106&gt;0,AF106,0)</f>
        <v/>
      </c>
      <c r="AG108" s="102">
        <f>IF(AG106&gt;0,AG106,0)</f>
        <v/>
      </c>
      <c r="AH108" s="102">
        <f>IF(AH106&gt;0,AH106,0)</f>
        <v/>
      </c>
      <c r="AI108" s="102">
        <f>IF(AI106&gt;0,AI106,0)</f>
        <v/>
      </c>
      <c r="AJ108" s="102">
        <f>IF(AJ106&gt;0,AJ106,0)</f>
        <v/>
      </c>
      <c r="AK108" s="102">
        <f>IF(AK106&gt;0,AK106,0)</f>
        <v/>
      </c>
      <c r="AL108" s="102">
        <f>IF(AL106&gt;0,AL106,0)</f>
        <v/>
      </c>
      <c r="AM108" s="102">
        <f>IF(AM106&gt;0,AM106,0)</f>
        <v/>
      </c>
      <c r="AN108" s="102">
        <f>IF(AN106&gt;0,AN106,0)</f>
        <v/>
      </c>
      <c r="AO108" s="102">
        <f>IF(AO106&gt;0,AO106,0)</f>
        <v/>
      </c>
      <c r="AP108" s="102">
        <f>IF(AP106&gt;0,AP106,0)</f>
        <v/>
      </c>
      <c r="AQ108" s="102">
        <f>IF(AQ106&gt;0,AQ106,0)</f>
        <v/>
      </c>
      <c r="AR108" s="102">
        <f>IF(AR106&gt;0,AR106,0)</f>
        <v/>
      </c>
      <c r="AS108" s="102">
        <f>IF(AS106&gt;0,AS106,0)</f>
        <v/>
      </c>
      <c r="AT108" s="102">
        <f>IF(AT106&gt;0,AT106,0)</f>
        <v/>
      </c>
      <c r="AU108" s="102">
        <f>IF(AU106&gt;0,AU106,0)</f>
        <v/>
      </c>
      <c r="AV108" s="102">
        <f>IF(AV106&gt;0,AV106,0)</f>
        <v/>
      </c>
      <c r="AW108" s="102">
        <f>IF(AW106&gt;0,AW106,0)</f>
        <v/>
      </c>
      <c r="AX108" s="102">
        <f>IF(AX106&gt;0,AX106,0)</f>
        <v/>
      </c>
      <c r="AY108" s="102">
        <f>IF(AY106&gt;0,AY106,0)</f>
        <v/>
      </c>
      <c r="AZ108" s="102">
        <f>IF(AZ106&gt;0,AZ106,0)</f>
        <v/>
      </c>
      <c r="BA108" s="102">
        <f>IF(BA106&gt;0,BA106,0)</f>
        <v/>
      </c>
      <c r="BB108" s="102">
        <f>IF(BB106&gt;0,BB106,0)</f>
        <v/>
      </c>
    </row>
    <row r="109" ht="15" customHeight="1">
      <c r="S109" s="91" t="n"/>
      <c r="T109" s="91" t="n"/>
      <c r="U109" s="91" t="n"/>
      <c r="V109" s="91" t="n"/>
      <c r="W109" s="91" t="n"/>
      <c r="X109" s="91" t="n"/>
      <c r="Y109" s="91" t="n"/>
      <c r="Z109" s="91" t="n"/>
      <c r="AA109" s="91" t="n"/>
      <c r="AB109" s="91" t="n"/>
      <c r="AC109" s="91" t="n"/>
      <c r="AD109" s="91" t="n"/>
      <c r="AE109" s="91" t="n"/>
      <c r="AF109" s="91" t="n"/>
      <c r="AG109" s="91" t="n"/>
      <c r="AH109" s="91" t="n"/>
      <c r="AI109" s="91" t="n"/>
      <c r="AJ109" s="91" t="n"/>
      <c r="AK109" s="91" t="n"/>
      <c r="AL109" s="91" t="n"/>
      <c r="AM109" s="91" t="n"/>
      <c r="AN109" s="91" t="n"/>
      <c r="AO109" s="91" t="n"/>
      <c r="AP109" s="91" t="n"/>
      <c r="AQ109" s="91" t="n"/>
      <c r="AR109" s="91" t="n"/>
      <c r="AS109" s="91" t="n"/>
      <c r="AT109" s="91" t="n"/>
      <c r="AU109" s="91" t="n"/>
      <c r="AV109" s="91" t="n"/>
      <c r="AW109" s="91" t="n"/>
      <c r="AX109" s="91" t="n"/>
      <c r="AY109" s="91" t="n"/>
      <c r="AZ109" s="91" t="n"/>
      <c r="BA109" s="91" t="n"/>
      <c r="BB109" s="91" t="n"/>
    </row>
    <row r="110" ht="26" customHeight="1">
      <c r="E110" s="47" t="inlineStr">
        <is>
          <t>Within-period adjustment (assessed) (negative value: payment to consumers; positive value: payment from consumers)</t>
        </is>
      </c>
      <c r="G110" s="5" t="inlineStr">
        <is>
          <t>£m nominal prices</t>
        </is>
      </c>
      <c r="H110" s="21" t="inlineStr">
        <is>
          <t>WPAt</t>
        </is>
      </c>
      <c r="O110" s="33" t="n"/>
      <c r="P110" s="101" t="n">
        <v>0</v>
      </c>
      <c r="Q110" s="101" t="n">
        <v>0</v>
      </c>
      <c r="R110" s="101" t="n">
        <v>0</v>
      </c>
      <c r="S110" s="101" t="n">
        <v>0</v>
      </c>
      <c r="T110" s="101" t="n">
        <v>0</v>
      </c>
      <c r="U110" s="101" t="n">
        <v>0</v>
      </c>
      <c r="V110" s="101" t="n">
        <v>0</v>
      </c>
      <c r="W110" s="101" t="n">
        <v>0</v>
      </c>
      <c r="X110" s="101" t="n">
        <v>0</v>
      </c>
      <c r="Y110" s="101" t="n">
        <v>0</v>
      </c>
      <c r="Z110" s="101" t="n">
        <v>0</v>
      </c>
      <c r="AA110" s="101" t="n">
        <v>0</v>
      </c>
      <c r="AB110" s="101" t="n">
        <v>0</v>
      </c>
      <c r="AC110" s="101" t="n">
        <v>0</v>
      </c>
      <c r="AD110" s="101" t="n">
        <v>0</v>
      </c>
      <c r="AE110" s="101" t="n">
        <v>0</v>
      </c>
      <c r="AF110" s="101" t="n">
        <v>0</v>
      </c>
      <c r="AG110" s="101" t="n">
        <v>0</v>
      </c>
      <c r="AH110" s="101" t="n">
        <v>0</v>
      </c>
      <c r="AI110" s="101" t="n">
        <v>0</v>
      </c>
      <c r="AJ110" s="101" t="n">
        <v>0</v>
      </c>
      <c r="AK110" s="101" t="n">
        <v>0</v>
      </c>
      <c r="AL110" s="101" t="n">
        <v>0</v>
      </c>
      <c r="AM110" s="101" t="n">
        <v>0</v>
      </c>
      <c r="AN110" s="101" t="n">
        <v>0</v>
      </c>
      <c r="AO110" s="101" t="n">
        <v>0</v>
      </c>
      <c r="AP110" s="101" t="n">
        <v>0</v>
      </c>
      <c r="AQ110" s="101" t="n">
        <v>0</v>
      </c>
      <c r="AR110" s="101" t="n">
        <v>0</v>
      </c>
      <c r="AS110" s="101" t="n">
        <v>0</v>
      </c>
      <c r="AT110" s="101" t="n">
        <v>0</v>
      </c>
      <c r="AU110" s="101" t="n">
        <v>0</v>
      </c>
      <c r="AV110" s="101" t="n">
        <v>0</v>
      </c>
      <c r="AW110" s="101" t="n">
        <v>0</v>
      </c>
      <c r="AX110" s="101" t="n">
        <v>0</v>
      </c>
      <c r="AY110" s="101" t="n">
        <v>0</v>
      </c>
      <c r="AZ110" s="101" t="n">
        <v>0</v>
      </c>
      <c r="BA110" s="101" t="n">
        <v>0</v>
      </c>
      <c r="BB110" s="101" t="n">
        <v>0</v>
      </c>
    </row>
    <row r="111" ht="15" customHeight="1">
      <c r="G111" s="5" t="n"/>
      <c r="O111" s="5" t="n"/>
      <c r="P111" s="16" t="n"/>
      <c r="Q111" s="16" t="n"/>
      <c r="R111" s="16" t="n"/>
      <c r="S111" s="16" t="n"/>
      <c r="T111" s="16" t="n"/>
      <c r="U111" s="16" t="n"/>
      <c r="V111" s="16" t="n"/>
      <c r="W111" s="16" t="n"/>
      <c r="X111" s="16" t="n"/>
      <c r="Y111" s="16" t="n"/>
      <c r="Z111" s="16" t="n"/>
      <c r="AA111" s="16" t="n"/>
      <c r="AB111" s="16" t="n"/>
      <c r="AC111" s="16" t="n"/>
      <c r="AD111" s="16" t="n"/>
      <c r="AE111" s="16" t="n"/>
      <c r="AF111" s="16" t="n"/>
      <c r="AG111" s="16" t="n"/>
      <c r="AH111" s="16" t="n"/>
      <c r="AI111" s="16" t="n"/>
      <c r="AJ111" s="16" t="n"/>
      <c r="AK111" s="16" t="n"/>
      <c r="AL111" s="16" t="n"/>
      <c r="AM111" s="16" t="n"/>
      <c r="AN111" s="16" t="n"/>
      <c r="AO111" s="16" t="n"/>
      <c r="AP111" s="16" t="n"/>
      <c r="AQ111" s="16" t="n"/>
      <c r="AR111" s="16" t="n"/>
      <c r="AS111" s="16" t="n"/>
      <c r="AT111" s="16" t="n"/>
      <c r="AU111" s="16" t="n"/>
      <c r="AV111" s="16" t="n"/>
      <c r="AW111" s="16" t="n"/>
      <c r="AX111" s="16" t="n"/>
      <c r="AY111" s="16" t="n"/>
      <c r="AZ111" s="16" t="n"/>
      <c r="BA111" s="16" t="n"/>
      <c r="BB111" s="16" t="n"/>
    </row>
    <row r="112" ht="15" customFormat="1" customHeight="1" s="5">
      <c r="B112" s="75" t="inlineStr">
        <is>
          <t>Adjustment to Cap and Floor levels</t>
        </is>
      </c>
      <c r="C112" s="36" t="n"/>
      <c r="D112" s="36" t="n"/>
      <c r="E112" s="36" t="n"/>
      <c r="F112" s="36" t="n"/>
      <c r="G112" s="36" t="n"/>
      <c r="H112" s="36" t="n"/>
      <c r="I112" s="36" t="n"/>
      <c r="J112" s="36" t="n"/>
      <c r="K112" s="36" t="n"/>
      <c r="L112" s="36" t="n"/>
      <c r="M112" s="36" t="n"/>
      <c r="N112" s="36" t="n"/>
      <c r="O112" s="36" t="n"/>
      <c r="P112" s="36" t="n"/>
      <c r="Q112" s="36" t="n"/>
      <c r="R112" s="36" t="n"/>
      <c r="S112" s="36" t="n"/>
      <c r="T112" s="36" t="n"/>
      <c r="U112" s="36" t="n"/>
      <c r="V112" s="36" t="n"/>
      <c r="W112" s="36" t="n"/>
      <c r="X112" s="36" t="n"/>
      <c r="Y112" s="36" t="n"/>
      <c r="Z112" s="36" t="n"/>
      <c r="AA112" s="36" t="n"/>
      <c r="AB112" s="36" t="n"/>
      <c r="AC112" s="36" t="n"/>
      <c r="AD112" s="36" t="n"/>
      <c r="AE112" s="36" t="n"/>
      <c r="AF112" s="36" t="n"/>
      <c r="AG112" s="36" t="n"/>
      <c r="AH112" s="36" t="n"/>
      <c r="AI112" s="36" t="n"/>
      <c r="AJ112" s="36" t="n"/>
      <c r="AK112" s="36" t="n"/>
      <c r="AL112" s="36" t="n"/>
      <c r="AM112" s="36" t="n"/>
      <c r="AN112" s="36" t="n"/>
      <c r="AO112" s="36" t="n"/>
      <c r="AP112" s="36" t="n"/>
      <c r="AQ112" s="36" t="n"/>
      <c r="AR112" s="36" t="n"/>
      <c r="AS112" s="36" t="n"/>
      <c r="AT112" s="36" t="n"/>
      <c r="AU112" s="36" t="n"/>
      <c r="AV112" s="36" t="n"/>
      <c r="AW112" s="36" t="n"/>
      <c r="AX112" s="36" t="n"/>
      <c r="AY112" s="36" t="n"/>
      <c r="AZ112" s="36" t="n"/>
      <c r="BA112" s="36" t="n"/>
      <c r="BB112" s="36" t="n"/>
    </row>
    <row r="113" ht="15" customFormat="1" customHeight="1" s="5">
      <c r="B113" s="72" t="n"/>
    </row>
    <row r="114" ht="15" customHeight="1">
      <c r="C114" s="40" t="inlineStr">
        <is>
          <t>Availability incentive</t>
        </is>
      </c>
      <c r="D114" s="40" t="n"/>
      <c r="E114" s="40" t="n"/>
      <c r="F114" s="40" t="n"/>
      <c r="G114" s="40" t="n"/>
      <c r="H114" s="40" t="n"/>
      <c r="I114" s="40" t="n"/>
      <c r="J114" s="40" t="n"/>
      <c r="K114" s="40" t="n"/>
      <c r="L114" s="40" t="n"/>
      <c r="M114" s="40" t="n"/>
      <c r="N114" s="40" t="n"/>
      <c r="O114" s="40" t="n"/>
      <c r="P114" s="40" t="n"/>
      <c r="Q114" s="40" t="n"/>
      <c r="R114" s="40" t="n"/>
      <c r="S114" s="40" t="n"/>
      <c r="T114" s="40" t="n"/>
      <c r="U114" s="40" t="n"/>
      <c r="V114" s="40" t="n"/>
      <c r="W114" s="40" t="n"/>
      <c r="X114" s="40" t="n"/>
      <c r="Y114" s="40" t="n"/>
      <c r="Z114" s="40" t="n"/>
      <c r="AA114" s="40" t="n"/>
      <c r="AB114" s="40" t="n"/>
      <c r="AC114" s="40" t="n"/>
      <c r="AD114" s="40" t="n"/>
      <c r="AE114" s="40" t="n"/>
      <c r="AF114" s="40" t="n"/>
      <c r="AG114" s="40" t="n"/>
      <c r="AH114" s="40" t="n"/>
      <c r="AI114" s="40" t="n"/>
      <c r="AJ114" s="40" t="n"/>
      <c r="AK114" s="40" t="n"/>
      <c r="AL114" s="40" t="n"/>
      <c r="AM114" s="40" t="n"/>
      <c r="AN114" s="40" t="n"/>
      <c r="AO114" s="40" t="n"/>
      <c r="AP114" s="40" t="n"/>
      <c r="AQ114" s="40" t="n"/>
      <c r="AR114" s="40" t="n"/>
      <c r="AS114" s="40" t="n"/>
      <c r="AT114" s="40" t="n"/>
      <c r="AU114" s="40" t="n"/>
      <c r="AV114" s="40" t="n"/>
      <c r="AW114" s="40" t="n"/>
      <c r="AX114" s="40" t="n"/>
      <c r="AY114" s="40" t="n"/>
      <c r="AZ114" s="40" t="n"/>
      <c r="BA114" s="40" t="n"/>
      <c r="BB114" s="40" t="n"/>
      <c r="BC114" s="5" t="n"/>
    </row>
    <row r="115" ht="15" customHeight="1">
      <c r="G115" s="5" t="n"/>
    </row>
    <row r="116" ht="15" customHeight="1">
      <c r="E116" s="21" t="inlineStr">
        <is>
          <t>Cap availability incentive ratio</t>
        </is>
      </c>
      <c r="G116" s="21" t="inlineStr">
        <is>
          <t>ratio</t>
        </is>
      </c>
      <c r="I116" s="53" t="n">
        <v>1</v>
      </c>
    </row>
    <row r="117" ht="15" customHeight="1">
      <c r="E117" s="21" t="inlineStr">
        <is>
          <t>Cap availability incentive target</t>
        </is>
      </c>
      <c r="G117" s="5" t="inlineStr">
        <is>
          <t>%</t>
        </is>
      </c>
      <c r="I117" s="135" t="n">
        <v>0.9659</v>
      </c>
    </row>
    <row r="118" ht="15" customHeight="1">
      <c r="E118" s="21" t="inlineStr">
        <is>
          <t>Cap availability incentive upper limit</t>
        </is>
      </c>
      <c r="G118" s="5" t="inlineStr">
        <is>
          <t>scalar</t>
        </is>
      </c>
      <c r="I118" s="138">
        <f>I116*(1+2%)</f>
        <v/>
      </c>
    </row>
    <row r="119" ht="15" customHeight="1">
      <c r="E119" s="21" t="inlineStr">
        <is>
          <t>Cap availability incentive lower limit</t>
        </is>
      </c>
      <c r="G119" s="5" t="inlineStr">
        <is>
          <t>scalar</t>
        </is>
      </c>
      <c r="I119" s="138">
        <f>I116*(1-2%)</f>
        <v/>
      </c>
    </row>
    <row r="120" ht="15" customHeight="1">
      <c r="G120" s="5" t="n"/>
    </row>
    <row r="121" ht="15" customHeight="1">
      <c r="E121" s="21" t="inlineStr">
        <is>
          <t>Interconnector rated capacity</t>
        </is>
      </c>
      <c r="G121" s="5" t="inlineStr">
        <is>
          <t>MW</t>
        </is>
      </c>
      <c r="H121" s="21" t="inlineStr">
        <is>
          <t>RC</t>
        </is>
      </c>
      <c r="I121" s="139" t="n">
        <v>1000</v>
      </c>
    </row>
    <row r="122" ht="15" customHeight="1">
      <c r="E122" s="21" t="inlineStr">
        <is>
          <t>Number of hours in relevant year</t>
        </is>
      </c>
      <c r="G122" s="5" t="inlineStr">
        <is>
          <t>hours pa</t>
        </is>
      </c>
      <c r="I122" s="140">
        <f>365.25*24</f>
        <v/>
      </c>
    </row>
    <row r="123" ht="15" customHeight="1">
      <c r="G123" s="5" t="n"/>
    </row>
    <row r="124" ht="15" customHeight="1">
      <c r="E124" s="21" t="inlineStr">
        <is>
          <t>Total interconnector outages during active Cap period</t>
        </is>
      </c>
      <c r="G124" s="5" t="inlineStr">
        <is>
          <t>MWh</t>
        </is>
      </c>
      <c r="O124" s="33" t="n"/>
      <c r="P124" s="48" t="n">
        <v>0</v>
      </c>
      <c r="Q124" s="48" t="n">
        <v>0</v>
      </c>
      <c r="R124" s="48" t="n">
        <v>0</v>
      </c>
      <c r="S124" s="48" t="n">
        <v>0</v>
      </c>
      <c r="T124" s="48" t="n">
        <v>0</v>
      </c>
      <c r="U124" s="48" t="n">
        <v>0</v>
      </c>
      <c r="V124" s="48" t="n">
        <v>0</v>
      </c>
      <c r="W124" s="48" t="n">
        <v>0</v>
      </c>
      <c r="X124" s="48" t="n">
        <v>0</v>
      </c>
      <c r="Y124" s="48" t="n">
        <v>0</v>
      </c>
      <c r="Z124" s="48" t="n">
        <v>0</v>
      </c>
      <c r="AA124" s="48" t="n">
        <v>0</v>
      </c>
      <c r="AB124" s="48" t="n">
        <v>0</v>
      </c>
      <c r="AC124" s="48" t="n">
        <v>0</v>
      </c>
      <c r="AD124" s="48" t="n">
        <v>0</v>
      </c>
      <c r="AE124" s="48" t="n">
        <v>0</v>
      </c>
      <c r="AF124" s="48" t="n">
        <v>0</v>
      </c>
      <c r="AG124" s="48" t="n">
        <v>0</v>
      </c>
      <c r="AH124" s="48" t="n">
        <v>0</v>
      </c>
      <c r="AI124" s="48" t="n">
        <v>0</v>
      </c>
      <c r="AJ124" s="48" t="n">
        <v>0</v>
      </c>
      <c r="AK124" s="48" t="n">
        <v>0</v>
      </c>
      <c r="AL124" s="48" t="n">
        <v>0</v>
      </c>
      <c r="AM124" s="48" t="n">
        <v>0</v>
      </c>
      <c r="AN124" s="48" t="n">
        <v>0</v>
      </c>
      <c r="AO124" s="48" t="n">
        <v>0</v>
      </c>
      <c r="AP124" s="48" t="n">
        <v>0</v>
      </c>
      <c r="AQ124" s="48" t="n">
        <v>0</v>
      </c>
      <c r="AR124" s="48" t="n">
        <v>0</v>
      </c>
      <c r="AS124" s="48" t="n">
        <v>0</v>
      </c>
      <c r="AT124" s="48" t="n">
        <v>0</v>
      </c>
      <c r="AU124" s="48" t="n">
        <v>0</v>
      </c>
      <c r="AV124" s="48" t="n">
        <v>0</v>
      </c>
      <c r="AW124" s="48" t="n">
        <v>0</v>
      </c>
      <c r="AX124" s="48" t="n">
        <v>0</v>
      </c>
      <c r="AY124" s="48" t="n">
        <v>0</v>
      </c>
      <c r="AZ124" s="48" t="n">
        <v>0</v>
      </c>
      <c r="BA124" s="48" t="n">
        <v>0</v>
      </c>
      <c r="BB124" s="48" t="n">
        <v>0</v>
      </c>
    </row>
    <row r="125" ht="15" customHeight="1">
      <c r="E125" s="21" t="inlineStr">
        <is>
          <t>Allowed outages during active Cap period</t>
        </is>
      </c>
      <c r="G125" s="5" t="inlineStr">
        <is>
          <t>MWh</t>
        </is>
      </c>
      <c r="O125" s="33" t="n"/>
      <c r="P125" s="48" t="n">
        <v>0</v>
      </c>
      <c r="Q125" s="48" t="n">
        <v>0</v>
      </c>
      <c r="R125" s="48" t="n">
        <v>0</v>
      </c>
      <c r="S125" s="48" t="n">
        <v>0</v>
      </c>
      <c r="T125" s="48" t="n">
        <v>0</v>
      </c>
      <c r="U125" s="48" t="n">
        <v>0</v>
      </c>
      <c r="V125" s="48" t="n">
        <v>0</v>
      </c>
      <c r="W125" s="48" t="n">
        <v>0</v>
      </c>
      <c r="X125" s="48" t="n">
        <v>0</v>
      </c>
      <c r="Y125" s="48" t="n">
        <v>0</v>
      </c>
      <c r="Z125" s="48" t="n">
        <v>0</v>
      </c>
      <c r="AA125" s="48" t="n">
        <v>0</v>
      </c>
      <c r="AB125" s="48" t="n">
        <v>0</v>
      </c>
      <c r="AC125" s="48" t="n">
        <v>0</v>
      </c>
      <c r="AD125" s="48" t="n">
        <v>0</v>
      </c>
      <c r="AE125" s="48" t="n">
        <v>0</v>
      </c>
      <c r="AF125" s="48" t="n">
        <v>0</v>
      </c>
      <c r="AG125" s="48" t="n">
        <v>0</v>
      </c>
      <c r="AH125" s="48" t="n">
        <v>0</v>
      </c>
      <c r="AI125" s="48" t="n">
        <v>0</v>
      </c>
      <c r="AJ125" s="48" t="n">
        <v>0</v>
      </c>
      <c r="AK125" s="48" t="n">
        <v>0</v>
      </c>
      <c r="AL125" s="48" t="n">
        <v>0</v>
      </c>
      <c r="AM125" s="48" t="n">
        <v>0</v>
      </c>
      <c r="AN125" s="48" t="n">
        <v>0</v>
      </c>
      <c r="AO125" s="48" t="n">
        <v>0</v>
      </c>
      <c r="AP125" s="48" t="n">
        <v>0</v>
      </c>
      <c r="AQ125" s="48" t="n">
        <v>0</v>
      </c>
      <c r="AR125" s="48" t="n">
        <v>0</v>
      </c>
      <c r="AS125" s="48" t="n">
        <v>0</v>
      </c>
      <c r="AT125" s="48" t="n">
        <v>0</v>
      </c>
      <c r="AU125" s="48" t="n">
        <v>0</v>
      </c>
      <c r="AV125" s="48" t="n">
        <v>0</v>
      </c>
      <c r="AW125" s="48" t="n">
        <v>0</v>
      </c>
      <c r="AX125" s="48" t="n">
        <v>0</v>
      </c>
      <c r="AY125" s="48" t="n">
        <v>0</v>
      </c>
      <c r="AZ125" s="48" t="n">
        <v>0</v>
      </c>
      <c r="BA125" s="48" t="n">
        <v>0</v>
      </c>
      <c r="BB125" s="48" t="n">
        <v>0</v>
      </c>
    </row>
    <row r="126" ht="13" customHeight="1">
      <c r="E126" s="47" t="inlineStr">
        <is>
          <t>Total interconnector outages less allowed outages during active Cap period</t>
        </is>
      </c>
      <c r="G126" s="5" t="inlineStr">
        <is>
          <t>MWh</t>
        </is>
      </c>
      <c r="H126" s="21" t="inlineStr">
        <is>
          <t>IOt</t>
        </is>
      </c>
      <c r="O126" s="33" t="n"/>
      <c r="P126" s="141">
        <f>P124-P125</f>
        <v/>
      </c>
      <c r="Q126" s="141">
        <f>Q124-Q125</f>
        <v/>
      </c>
      <c r="R126" s="141">
        <f>R124-R125</f>
        <v/>
      </c>
      <c r="S126" s="141">
        <f>S124-S125</f>
        <v/>
      </c>
      <c r="T126" s="141">
        <f>T124-T125</f>
        <v/>
      </c>
      <c r="U126" s="141">
        <f>U124-U125</f>
        <v/>
      </c>
      <c r="V126" s="141">
        <f>V124-V125</f>
        <v/>
      </c>
      <c r="W126" s="141">
        <f>W124-W125</f>
        <v/>
      </c>
      <c r="X126" s="141">
        <f>X124-X125</f>
        <v/>
      </c>
      <c r="Y126" s="141">
        <f>Y124-Y125</f>
        <v/>
      </c>
      <c r="Z126" s="141">
        <f>Z124-Z125</f>
        <v/>
      </c>
      <c r="AA126" s="141">
        <f>AA124-AA125</f>
        <v/>
      </c>
      <c r="AB126" s="141">
        <f>AB124-AB125</f>
        <v/>
      </c>
      <c r="AC126" s="141">
        <f>AC124-AC125</f>
        <v/>
      </c>
      <c r="AD126" s="141">
        <f>AD124-AD125</f>
        <v/>
      </c>
      <c r="AE126" s="141">
        <f>AE124-AE125</f>
        <v/>
      </c>
      <c r="AF126" s="141">
        <f>AF124-AF125</f>
        <v/>
      </c>
      <c r="AG126" s="141">
        <f>AG124-AG125</f>
        <v/>
      </c>
      <c r="AH126" s="141">
        <f>AH124-AH125</f>
        <v/>
      </c>
      <c r="AI126" s="141">
        <f>AI124-AI125</f>
        <v/>
      </c>
      <c r="AJ126" s="141">
        <f>AJ124-AJ125</f>
        <v/>
      </c>
      <c r="AK126" s="141">
        <f>AK124-AK125</f>
        <v/>
      </c>
      <c r="AL126" s="141">
        <f>AL124-AL125</f>
        <v/>
      </c>
      <c r="AM126" s="141">
        <f>AM124-AM125</f>
        <v/>
      </c>
      <c r="AN126" s="141">
        <f>AN124-AN125</f>
        <v/>
      </c>
      <c r="AO126" s="141">
        <f>AO124-AO125</f>
        <v/>
      </c>
      <c r="AP126" s="141">
        <f>AP124-AP125</f>
        <v/>
      </c>
      <c r="AQ126" s="141">
        <f>AQ124-AQ125</f>
        <v/>
      </c>
      <c r="AR126" s="141">
        <f>AR124-AR125</f>
        <v/>
      </c>
      <c r="AS126" s="141">
        <f>AS124-AS125</f>
        <v/>
      </c>
      <c r="AT126" s="141">
        <f>AT124-AT125</f>
        <v/>
      </c>
      <c r="AU126" s="141">
        <f>AU124-AU125</f>
        <v/>
      </c>
      <c r="AV126" s="141">
        <f>AV124-AV125</f>
        <v/>
      </c>
      <c r="AW126" s="141">
        <f>AW124-AW125</f>
        <v/>
      </c>
      <c r="AX126" s="141">
        <f>AX124-AX125</f>
        <v/>
      </c>
      <c r="AY126" s="141">
        <f>AY124-AY125</f>
        <v/>
      </c>
      <c r="AZ126" s="141">
        <f>AZ124-AZ125</f>
        <v/>
      </c>
      <c r="BA126" s="141">
        <f>BA124-BA125</f>
        <v/>
      </c>
      <c r="BB126" s="141">
        <f>BB124-BB125</f>
        <v/>
      </c>
    </row>
    <row r="127" ht="15" customHeight="1">
      <c r="E127" s="21" t="inlineStr">
        <is>
          <t>Total Interconnector outages during active Floor period</t>
        </is>
      </c>
      <c r="G127" s="5" t="inlineStr">
        <is>
          <t>MWh</t>
        </is>
      </c>
      <c r="O127" s="33" t="n"/>
      <c r="P127" s="48" t="n">
        <v>0</v>
      </c>
      <c r="Q127" s="48" t="n">
        <v>0</v>
      </c>
      <c r="R127" s="48" t="n">
        <v>0</v>
      </c>
      <c r="S127" s="48" t="n">
        <v>0</v>
      </c>
      <c r="T127" s="48" t="n">
        <v>0</v>
      </c>
      <c r="U127" s="48" t="n">
        <v>0</v>
      </c>
      <c r="V127" s="48" t="n">
        <v>0</v>
      </c>
      <c r="W127" s="48" t="n">
        <v>0</v>
      </c>
      <c r="X127" s="48" t="n">
        <v>0</v>
      </c>
      <c r="Y127" s="48" t="n">
        <v>0</v>
      </c>
      <c r="Z127" s="48" t="n">
        <v>0</v>
      </c>
      <c r="AA127" s="48" t="n">
        <v>0</v>
      </c>
      <c r="AB127" s="48" t="n">
        <v>0</v>
      </c>
      <c r="AC127" s="48" t="n">
        <v>0</v>
      </c>
      <c r="AD127" s="48" t="n">
        <v>0</v>
      </c>
      <c r="AE127" s="48" t="n">
        <v>0</v>
      </c>
      <c r="AF127" s="48" t="n">
        <v>0</v>
      </c>
      <c r="AG127" s="48" t="n">
        <v>0</v>
      </c>
      <c r="AH127" s="48" t="n">
        <v>0</v>
      </c>
      <c r="AI127" s="48" t="n">
        <v>0</v>
      </c>
      <c r="AJ127" s="48" t="n">
        <v>0</v>
      </c>
      <c r="AK127" s="48" t="n">
        <v>0</v>
      </c>
      <c r="AL127" s="48" t="n">
        <v>0</v>
      </c>
      <c r="AM127" s="48" t="n">
        <v>0</v>
      </c>
      <c r="AN127" s="48" t="n">
        <v>0</v>
      </c>
      <c r="AO127" s="48" t="n">
        <v>0</v>
      </c>
      <c r="AP127" s="48" t="n">
        <v>0</v>
      </c>
      <c r="AQ127" s="48" t="n">
        <v>0</v>
      </c>
      <c r="AR127" s="48" t="n">
        <v>0</v>
      </c>
      <c r="AS127" s="48" t="n">
        <v>0</v>
      </c>
      <c r="AT127" s="48" t="n">
        <v>0</v>
      </c>
      <c r="AU127" s="48" t="n">
        <v>0</v>
      </c>
      <c r="AV127" s="48" t="n">
        <v>0</v>
      </c>
      <c r="AW127" s="48" t="n">
        <v>0</v>
      </c>
      <c r="AX127" s="48" t="n">
        <v>0</v>
      </c>
      <c r="AY127" s="48" t="n">
        <v>0</v>
      </c>
      <c r="AZ127" s="48" t="n">
        <v>0</v>
      </c>
      <c r="BA127" s="48" t="n">
        <v>0</v>
      </c>
      <c r="BB127" s="48" t="n">
        <v>0</v>
      </c>
    </row>
    <row r="128" ht="15" customHeight="1">
      <c r="E128" s="21" t="inlineStr">
        <is>
          <t>Allowed outages during active Floor period</t>
        </is>
      </c>
      <c r="G128" s="5" t="inlineStr">
        <is>
          <t>MWh</t>
        </is>
      </c>
      <c r="O128" s="33" t="n"/>
      <c r="P128" s="48" t="n">
        <v>0</v>
      </c>
      <c r="Q128" s="48" t="n">
        <v>0</v>
      </c>
      <c r="R128" s="48" t="n">
        <v>0</v>
      </c>
      <c r="S128" s="48" t="n">
        <v>0</v>
      </c>
      <c r="T128" s="48" t="n">
        <v>0</v>
      </c>
      <c r="U128" s="48" t="n">
        <v>0</v>
      </c>
      <c r="V128" s="48" t="n">
        <v>0</v>
      </c>
      <c r="W128" s="48" t="n">
        <v>0</v>
      </c>
      <c r="X128" s="48" t="n">
        <v>0</v>
      </c>
      <c r="Y128" s="48" t="n">
        <v>0</v>
      </c>
      <c r="Z128" s="48" t="n">
        <v>0</v>
      </c>
      <c r="AA128" s="48" t="n">
        <v>0</v>
      </c>
      <c r="AB128" s="48" t="n">
        <v>0</v>
      </c>
      <c r="AC128" s="48" t="n">
        <v>0</v>
      </c>
      <c r="AD128" s="48" t="n">
        <v>0</v>
      </c>
      <c r="AE128" s="48" t="n">
        <v>0</v>
      </c>
      <c r="AF128" s="48" t="n">
        <v>0</v>
      </c>
      <c r="AG128" s="48" t="n">
        <v>0</v>
      </c>
      <c r="AH128" s="48" t="n">
        <v>0</v>
      </c>
      <c r="AI128" s="48" t="n">
        <v>0</v>
      </c>
      <c r="AJ128" s="48" t="n">
        <v>0</v>
      </c>
      <c r="AK128" s="48" t="n">
        <v>0</v>
      </c>
      <c r="AL128" s="48" t="n">
        <v>0</v>
      </c>
      <c r="AM128" s="48" t="n">
        <v>0</v>
      </c>
      <c r="AN128" s="48" t="n">
        <v>0</v>
      </c>
      <c r="AO128" s="48" t="n">
        <v>0</v>
      </c>
      <c r="AP128" s="48" t="n">
        <v>0</v>
      </c>
      <c r="AQ128" s="48" t="n">
        <v>0</v>
      </c>
      <c r="AR128" s="48" t="n">
        <v>0</v>
      </c>
      <c r="AS128" s="48" t="n">
        <v>0</v>
      </c>
      <c r="AT128" s="48" t="n">
        <v>0</v>
      </c>
      <c r="AU128" s="48" t="n">
        <v>0</v>
      </c>
      <c r="AV128" s="48" t="n">
        <v>0</v>
      </c>
      <c r="AW128" s="48" t="n">
        <v>0</v>
      </c>
      <c r="AX128" s="48" t="n">
        <v>0</v>
      </c>
      <c r="AY128" s="48" t="n">
        <v>0</v>
      </c>
      <c r="AZ128" s="48" t="n">
        <v>0</v>
      </c>
      <c r="BA128" s="48" t="n">
        <v>0</v>
      </c>
      <c r="BB128" s="48" t="n">
        <v>0</v>
      </c>
    </row>
    <row r="129" ht="13" customHeight="1">
      <c r="E129" s="47" t="inlineStr">
        <is>
          <t>Total interconnector outages less allowed outages during active Floor period</t>
        </is>
      </c>
      <c r="G129" s="5" t="inlineStr">
        <is>
          <t>MWh</t>
        </is>
      </c>
      <c r="H129" s="21" t="inlineStr">
        <is>
          <t>IOt</t>
        </is>
      </c>
      <c r="O129" s="33" t="n"/>
      <c r="P129" s="141">
        <f>P127-P128</f>
        <v/>
      </c>
      <c r="Q129" s="141">
        <f>Q127-Q128</f>
        <v/>
      </c>
      <c r="R129" s="141">
        <f>R127-R128</f>
        <v/>
      </c>
      <c r="S129" s="141">
        <f>S127-S128</f>
        <v/>
      </c>
      <c r="T129" s="141">
        <f>T127-T128</f>
        <v/>
      </c>
      <c r="U129" s="141">
        <f>U127-U128</f>
        <v/>
      </c>
      <c r="V129" s="141">
        <f>V127-V128</f>
        <v/>
      </c>
      <c r="W129" s="141">
        <f>W127-W128</f>
        <v/>
      </c>
      <c r="X129" s="141">
        <f>X127-X128</f>
        <v/>
      </c>
      <c r="Y129" s="141">
        <f>Y127-Y128</f>
        <v/>
      </c>
      <c r="Z129" s="141">
        <f>Z127-Z128</f>
        <v/>
      </c>
      <c r="AA129" s="141">
        <f>AA127-AA128</f>
        <v/>
      </c>
      <c r="AB129" s="141">
        <f>AB127-AB128</f>
        <v/>
      </c>
      <c r="AC129" s="141">
        <f>AC127-AC128</f>
        <v/>
      </c>
      <c r="AD129" s="141">
        <f>AD127-AD128</f>
        <v/>
      </c>
      <c r="AE129" s="141">
        <f>AE127-AE128</f>
        <v/>
      </c>
      <c r="AF129" s="141">
        <f>AF127-AF128</f>
        <v/>
      </c>
      <c r="AG129" s="141">
        <f>AG127-AG128</f>
        <v/>
      </c>
      <c r="AH129" s="141">
        <f>AH127-AH128</f>
        <v/>
      </c>
      <c r="AI129" s="141">
        <f>AI127-AI128</f>
        <v/>
      </c>
      <c r="AJ129" s="141">
        <f>AJ127-AJ128</f>
        <v/>
      </c>
      <c r="AK129" s="141">
        <f>AK127-AK128</f>
        <v/>
      </c>
      <c r="AL129" s="141">
        <f>AL127-AL128</f>
        <v/>
      </c>
      <c r="AM129" s="141">
        <f>AM127-AM128</f>
        <v/>
      </c>
      <c r="AN129" s="141">
        <f>AN127-AN128</f>
        <v/>
      </c>
      <c r="AO129" s="141">
        <f>AO127-AO128</f>
        <v/>
      </c>
      <c r="AP129" s="141">
        <f>AP127-AP128</f>
        <v/>
      </c>
      <c r="AQ129" s="141">
        <f>AQ127-AQ128</f>
        <v/>
      </c>
      <c r="AR129" s="141">
        <f>AR127-AR128</f>
        <v/>
      </c>
      <c r="AS129" s="141">
        <f>AS127-AS128</f>
        <v/>
      </c>
      <c r="AT129" s="141">
        <f>AT127-AT128</f>
        <v/>
      </c>
      <c r="AU129" s="141">
        <f>AU127-AU128</f>
        <v/>
      </c>
      <c r="AV129" s="141">
        <f>AV127-AV128</f>
        <v/>
      </c>
      <c r="AW129" s="141">
        <f>AW127-AW128</f>
        <v/>
      </c>
      <c r="AX129" s="141">
        <f>AX127-AX128</f>
        <v/>
      </c>
      <c r="AY129" s="141">
        <f>AY127-AY128</f>
        <v/>
      </c>
      <c r="AZ129" s="141">
        <f>AZ127-AZ128</f>
        <v/>
      </c>
      <c r="BA129" s="141">
        <f>BA127-BA128</f>
        <v/>
      </c>
      <c r="BB129" s="141">
        <f>BB127-BB128</f>
        <v/>
      </c>
    </row>
    <row r="130" ht="15" customHeight="1">
      <c r="E130" s="21" t="inlineStr">
        <is>
          <t>Outages associated with exceptional events</t>
        </is>
      </c>
      <c r="G130" s="5" t="inlineStr">
        <is>
          <t>MWh</t>
        </is>
      </c>
      <c r="O130" s="33" t="n"/>
      <c r="P130" s="142" t="n">
        <v>0</v>
      </c>
      <c r="Q130" s="142" t="n">
        <v>0</v>
      </c>
      <c r="R130" s="142" t="n">
        <v>0</v>
      </c>
      <c r="S130" s="142" t="n">
        <v>0</v>
      </c>
      <c r="T130" s="142" t="n">
        <v>0</v>
      </c>
      <c r="U130" s="142" t="n">
        <v>0</v>
      </c>
      <c r="V130" s="142" t="n">
        <v>0</v>
      </c>
      <c r="W130" s="142" t="n">
        <v>0</v>
      </c>
      <c r="X130" s="142" t="n">
        <v>0</v>
      </c>
      <c r="Y130" s="142" t="n">
        <v>0</v>
      </c>
      <c r="Z130" s="142" t="n">
        <v>0</v>
      </c>
      <c r="AA130" s="142" t="n">
        <v>0</v>
      </c>
      <c r="AB130" s="142" t="n">
        <v>0</v>
      </c>
      <c r="AC130" s="142" t="n">
        <v>0</v>
      </c>
      <c r="AD130" s="142" t="n">
        <v>0</v>
      </c>
      <c r="AE130" s="142" t="n">
        <v>0</v>
      </c>
      <c r="AF130" s="142" t="n">
        <v>0</v>
      </c>
      <c r="AG130" s="142" t="n">
        <v>0</v>
      </c>
      <c r="AH130" s="142" t="n">
        <v>0</v>
      </c>
      <c r="AI130" s="142" t="n">
        <v>0</v>
      </c>
      <c r="AJ130" s="142" t="n">
        <v>0</v>
      </c>
      <c r="AK130" s="142" t="n">
        <v>0</v>
      </c>
      <c r="AL130" s="142" t="n">
        <v>0</v>
      </c>
      <c r="AM130" s="142" t="n">
        <v>0</v>
      </c>
      <c r="AN130" s="142" t="n">
        <v>0</v>
      </c>
      <c r="AO130" s="142" t="n">
        <v>0</v>
      </c>
      <c r="AP130" s="142" t="n">
        <v>0</v>
      </c>
      <c r="AQ130" s="142" t="n">
        <v>0</v>
      </c>
      <c r="AR130" s="142" t="n">
        <v>0</v>
      </c>
      <c r="AS130" s="142" t="n">
        <v>0</v>
      </c>
      <c r="AT130" s="142" t="n">
        <v>0</v>
      </c>
      <c r="AU130" s="142" t="n">
        <v>0</v>
      </c>
      <c r="AV130" s="142" t="n">
        <v>0</v>
      </c>
      <c r="AW130" s="142" t="n">
        <v>0</v>
      </c>
      <c r="AX130" s="142" t="n">
        <v>0</v>
      </c>
      <c r="AY130" s="142" t="n">
        <v>0</v>
      </c>
      <c r="AZ130" s="142" t="n">
        <v>0</v>
      </c>
      <c r="BA130" s="142" t="n">
        <v>0</v>
      </c>
      <c r="BB130" s="142" t="n">
        <v>0</v>
      </c>
    </row>
    <row r="131" ht="15" customHeight="1">
      <c r="G131" s="5" t="n"/>
    </row>
    <row r="132" ht="15" customHeight="1">
      <c r="A132" s="5" t="n"/>
      <c r="B132" s="5" t="n"/>
      <c r="D132" s="5" t="n"/>
      <c r="E132" s="21" t="inlineStr">
        <is>
          <t>Floor availability incentive target</t>
        </is>
      </c>
      <c r="G132" s="5" t="inlineStr">
        <is>
          <t>%</t>
        </is>
      </c>
      <c r="I132" s="135" t="n">
        <v>0.8</v>
      </c>
    </row>
    <row r="133" ht="15" customHeight="1">
      <c r="G133" s="5" t="n"/>
    </row>
    <row r="134" ht="15" customHeight="1">
      <c r="C134" s="40" t="inlineStr">
        <is>
          <t>Inflation and exchange rate</t>
        </is>
      </c>
      <c r="D134" s="40" t="n"/>
      <c r="E134" s="40" t="n"/>
      <c r="F134" s="40" t="n"/>
      <c r="G134" s="40" t="n"/>
      <c r="H134" s="40" t="n"/>
      <c r="I134" s="40" t="n"/>
      <c r="J134" s="40" t="n"/>
      <c r="K134" s="40" t="n"/>
      <c r="L134" s="40" t="n"/>
      <c r="M134" s="40" t="n"/>
      <c r="N134" s="40" t="n"/>
      <c r="O134" s="40" t="n"/>
      <c r="P134" s="40" t="n"/>
      <c r="Q134" s="40" t="n"/>
      <c r="R134" s="40" t="n"/>
      <c r="S134" s="40" t="n"/>
      <c r="T134" s="40" t="n"/>
      <c r="U134" s="40" t="n"/>
      <c r="V134" s="40" t="n"/>
      <c r="W134" s="40" t="n"/>
      <c r="X134" s="40" t="n"/>
      <c r="Y134" s="40" t="n"/>
      <c r="Z134" s="40" t="n"/>
      <c r="AA134" s="40" t="n"/>
      <c r="AB134" s="40" t="n"/>
      <c r="AC134" s="40" t="n"/>
      <c r="AD134" s="40" t="n"/>
      <c r="AE134" s="40" t="n"/>
      <c r="AF134" s="40" t="n"/>
      <c r="AG134" s="40" t="n"/>
      <c r="AH134" s="40" t="n"/>
      <c r="AI134" s="40" t="n"/>
      <c r="AJ134" s="40" t="n"/>
      <c r="AK134" s="40" t="n"/>
      <c r="AL134" s="40" t="n"/>
      <c r="AM134" s="40" t="n"/>
      <c r="AN134" s="40" t="n"/>
      <c r="AO134" s="40" t="n"/>
      <c r="AP134" s="40" t="n"/>
      <c r="AQ134" s="40" t="n"/>
      <c r="AR134" s="40" t="n"/>
      <c r="AS134" s="40" t="n"/>
      <c r="AT134" s="40" t="n"/>
      <c r="AU134" s="40" t="n"/>
      <c r="AV134" s="40" t="n"/>
      <c r="AW134" s="40" t="n"/>
      <c r="AX134" s="40" t="n"/>
      <c r="AY134" s="40" t="n"/>
      <c r="AZ134" s="40" t="n"/>
      <c r="BA134" s="40" t="n"/>
      <c r="BB134" s="40" t="n"/>
      <c r="BC134" s="5" t="n"/>
    </row>
    <row r="135" ht="15" customHeight="1">
      <c r="A135" s="5" t="n"/>
      <c r="B135" s="5" t="n"/>
      <c r="D135" s="5" t="n"/>
      <c r="O135" s="34" t="n"/>
      <c r="P135" s="34" t="n"/>
      <c r="Q135" s="34" t="n"/>
      <c r="R135" s="34" t="n"/>
      <c r="S135" s="34" t="n"/>
      <c r="U135" s="34" t="n"/>
      <c r="V135" s="34" t="n"/>
      <c r="W135" s="34" t="n"/>
      <c r="X135" s="34" t="n"/>
      <c r="Y135" s="34" t="n"/>
      <c r="Z135" s="34" t="n"/>
      <c r="AA135" s="34" t="n"/>
      <c r="AB135" s="34" t="n"/>
      <c r="AC135" s="34" t="n"/>
      <c r="AD135" s="34" t="n"/>
      <c r="AE135" s="34" t="n"/>
      <c r="AF135" s="34" t="n"/>
      <c r="AG135" s="34" t="n"/>
      <c r="AH135" s="34" t="n"/>
      <c r="AI135" s="34" t="n"/>
      <c r="AJ135" s="34" t="n"/>
      <c r="AK135" s="34" t="n"/>
      <c r="AL135" s="34" t="n"/>
      <c r="AM135" s="34" t="n"/>
      <c r="AN135" s="34" t="n"/>
      <c r="AO135" s="34" t="n"/>
      <c r="AP135" s="34" t="n"/>
      <c r="AQ135" s="34" t="n"/>
      <c r="AR135" s="34" t="n"/>
      <c r="AS135" s="34" t="n"/>
      <c r="AT135" s="34" t="n"/>
      <c r="AU135" s="34" t="n"/>
      <c r="AV135" s="34" t="n"/>
      <c r="AW135" s="34" t="n"/>
      <c r="AX135" s="34" t="n"/>
      <c r="AY135" s="34" t="n"/>
      <c r="AZ135" s="34" t="n"/>
      <c r="BA135" s="34" t="n"/>
      <c r="BB135" s="34" t="n"/>
    </row>
    <row r="136" ht="28.5" customHeight="1">
      <c r="A136" s="5" t="n"/>
      <c r="B136" s="5" t="n"/>
      <c r="D136" s="5" t="n"/>
      <c r="E136" s="21">
        <f>E46</f>
        <v/>
      </c>
      <c r="G136" s="21">
        <f>G46</f>
        <v/>
      </c>
      <c r="H136" s="47">
        <f>H46</f>
        <v/>
      </c>
      <c r="I136" s="91">
        <f>I46</f>
        <v/>
      </c>
      <c r="O136" s="34" t="n"/>
      <c r="P136" s="34" t="n"/>
      <c r="Q136" s="34" t="n"/>
      <c r="R136" s="34" t="n"/>
      <c r="S136" s="34" t="n"/>
      <c r="U136" s="34" t="n"/>
      <c r="V136" s="34" t="n"/>
      <c r="W136" s="34" t="n"/>
      <c r="X136" s="34" t="n"/>
      <c r="Y136" s="34" t="n"/>
      <c r="Z136" s="34" t="n"/>
      <c r="AA136" s="34" t="n"/>
      <c r="AB136" s="34" t="n"/>
      <c r="AC136" s="34" t="n"/>
      <c r="AD136" s="34" t="n"/>
      <c r="AE136" s="34" t="n"/>
      <c r="AF136" s="34" t="n"/>
      <c r="AG136" s="34" t="n"/>
      <c r="AH136" s="34" t="n"/>
      <c r="AI136" s="34" t="n"/>
      <c r="AJ136" s="34" t="n"/>
      <c r="AK136" s="34" t="n"/>
      <c r="AL136" s="34" t="n"/>
      <c r="AM136" s="34" t="n"/>
      <c r="AN136" s="34" t="n"/>
      <c r="AO136" s="34" t="n"/>
      <c r="AP136" s="34" t="n"/>
      <c r="AQ136" s="34" t="n"/>
      <c r="AR136" s="34" t="n"/>
      <c r="AS136" s="34" t="n"/>
      <c r="AT136" s="34" t="n"/>
      <c r="AU136" s="34" t="n"/>
      <c r="AV136" s="34" t="n"/>
      <c r="AW136" s="34" t="n"/>
      <c r="AX136" s="34" t="n"/>
      <c r="AY136" s="34" t="n"/>
      <c r="AZ136" s="34" t="n"/>
      <c r="BA136" s="34" t="n"/>
      <c r="BB136" s="34" t="n"/>
    </row>
    <row r="137" ht="28.5" customFormat="1" customHeight="1" s="174">
      <c r="A137" s="175" t="n"/>
      <c r="B137" s="175" t="n"/>
      <c r="D137" s="175" t="n"/>
      <c r="E137" s="178">
        <f>E47</f>
        <v/>
      </c>
      <c r="F137" s="178" t="n"/>
      <c r="G137" s="178">
        <f>G47</f>
        <v/>
      </c>
      <c r="H137" s="179">
        <f>H47</f>
        <v/>
      </c>
      <c r="I137" s="180">
        <f>I47</f>
        <v/>
      </c>
      <c r="O137" s="176" t="n"/>
      <c r="P137" s="176" t="n"/>
      <c r="Q137" s="176" t="n"/>
      <c r="R137" s="176" t="n"/>
      <c r="S137" s="176" t="n"/>
      <c r="U137" s="176" t="n"/>
      <c r="V137" s="176" t="n"/>
      <c r="W137" s="176" t="n"/>
      <c r="X137" s="176" t="n"/>
      <c r="Y137" s="176" t="n"/>
      <c r="Z137" s="176" t="n"/>
      <c r="AA137" s="176" t="n"/>
      <c r="AB137" s="176" t="n"/>
      <c r="AC137" s="176" t="n"/>
      <c r="AD137" s="176" t="n"/>
      <c r="AE137" s="176" t="n"/>
      <c r="AF137" s="176" t="n"/>
      <c r="AG137" s="176" t="n"/>
      <c r="AH137" s="176" t="n"/>
      <c r="AI137" s="176" t="n"/>
      <c r="AJ137" s="176" t="n"/>
      <c r="AK137" s="176" t="n"/>
      <c r="AL137" s="176" t="n"/>
      <c r="AM137" s="176" t="n"/>
      <c r="AN137" s="176" t="n"/>
      <c r="AO137" s="176" t="n"/>
      <c r="AP137" s="176" t="n"/>
      <c r="AQ137" s="176" t="n"/>
      <c r="AR137" s="176" t="n"/>
      <c r="AS137" s="176" t="n"/>
      <c r="AT137" s="176" t="n"/>
      <c r="AU137" s="176" t="n"/>
      <c r="AV137" s="176" t="n"/>
      <c r="AW137" s="176" t="n"/>
      <c r="AX137" s="176" t="n"/>
      <c r="AY137" s="176" t="n"/>
      <c r="AZ137" s="176" t="n"/>
      <c r="BA137" s="176" t="n"/>
      <c r="BB137" s="176" t="n"/>
    </row>
    <row r="138" ht="28.5" customFormat="1" customHeight="1" s="174">
      <c r="A138" s="175" t="n"/>
      <c r="B138" s="175" t="n"/>
      <c r="D138" s="175" t="n"/>
      <c r="E138" s="178">
        <f>E48</f>
        <v/>
      </c>
      <c r="F138" s="178" t="n"/>
      <c r="G138" s="178">
        <f>G48</f>
        <v/>
      </c>
      <c r="H138" s="179">
        <f>H48</f>
        <v/>
      </c>
      <c r="I138" s="180">
        <f>I48</f>
        <v/>
      </c>
      <c r="O138" s="176" t="n"/>
      <c r="P138" s="176" t="n"/>
      <c r="Q138" s="176" t="n"/>
      <c r="R138" s="176" t="n"/>
      <c r="S138" s="176" t="n"/>
      <c r="U138" s="176" t="n"/>
      <c r="V138" s="176" t="n"/>
      <c r="W138" s="176" t="n"/>
      <c r="X138" s="176" t="n"/>
      <c r="Y138" s="176" t="n"/>
      <c r="Z138" s="176" t="n"/>
      <c r="AA138" s="176" t="n"/>
      <c r="AB138" s="176" t="n"/>
      <c r="AC138" s="176" t="n"/>
      <c r="AD138" s="176" t="n"/>
      <c r="AE138" s="176" t="n"/>
      <c r="AF138" s="176" t="n"/>
      <c r="AG138" s="176" t="n"/>
      <c r="AH138" s="176" t="n"/>
      <c r="AI138" s="176" t="n"/>
      <c r="AJ138" s="176" t="n"/>
      <c r="AK138" s="176" t="n"/>
      <c r="AL138" s="176" t="n"/>
      <c r="AM138" s="176" t="n"/>
      <c r="AN138" s="176" t="n"/>
      <c r="AO138" s="176" t="n"/>
      <c r="AP138" s="176" t="n"/>
      <c r="AQ138" s="176" t="n"/>
      <c r="AR138" s="176" t="n"/>
      <c r="AS138" s="176" t="n"/>
      <c r="AT138" s="176" t="n"/>
      <c r="AU138" s="176" t="n"/>
      <c r="AV138" s="176" t="n"/>
      <c r="AW138" s="176" t="n"/>
      <c r="AX138" s="176" t="n"/>
      <c r="AY138" s="176" t="n"/>
      <c r="AZ138" s="176" t="n"/>
      <c r="BA138" s="176" t="n"/>
      <c r="BB138" s="176" t="n"/>
    </row>
    <row r="139" ht="15" customHeight="1">
      <c r="A139" s="5" t="n"/>
      <c r="B139" s="5" t="n"/>
      <c r="D139" s="5" t="n"/>
      <c r="O139" s="34" t="n"/>
      <c r="P139" s="34" t="n"/>
      <c r="Q139" s="34" t="n"/>
      <c r="R139" s="34" t="n"/>
      <c r="S139" s="34" t="n"/>
      <c r="U139" s="34" t="n"/>
      <c r="V139" s="34" t="n"/>
      <c r="W139" s="34" t="n"/>
      <c r="X139" s="34" t="n"/>
      <c r="Y139" s="34" t="n"/>
      <c r="Z139" s="34" t="n"/>
      <c r="AA139" s="34" t="n"/>
      <c r="AB139" s="34" t="n"/>
      <c r="AC139" s="34" t="n"/>
      <c r="AD139" s="34" t="n"/>
      <c r="AE139" s="34" t="n"/>
      <c r="AF139" s="34" t="n"/>
      <c r="AG139" s="34" t="n"/>
      <c r="AH139" s="34" t="n"/>
      <c r="AI139" s="34" t="n"/>
      <c r="AJ139" s="34" t="n"/>
      <c r="AK139" s="34" t="n"/>
      <c r="AL139" s="34" t="n"/>
      <c r="AM139" s="34" t="n"/>
      <c r="AN139" s="34" t="n"/>
      <c r="AO139" s="34" t="n"/>
      <c r="AP139" s="34" t="n"/>
      <c r="AQ139" s="34" t="n"/>
      <c r="AR139" s="34" t="n"/>
      <c r="AS139" s="34" t="n"/>
      <c r="AT139" s="34" t="n"/>
      <c r="AU139" s="34" t="n"/>
      <c r="AV139" s="34" t="n"/>
      <c r="AW139" s="34" t="n"/>
      <c r="AX139" s="34" t="n"/>
      <c r="AY139" s="34" t="n"/>
      <c r="AZ139" s="34" t="n"/>
      <c r="BA139" s="34" t="n"/>
      <c r="BB139" s="34" t="n"/>
    </row>
    <row r="140" ht="15" customHeight="1">
      <c r="B140" s="32" t="n"/>
      <c r="E140" s="161" t="inlineStr">
        <is>
          <t>Average UK CPIH L522</t>
        </is>
      </c>
      <c r="G140" s="21">
        <f>G136</f>
        <v/>
      </c>
      <c r="H140" s="161" t="inlineStr">
        <is>
          <t>UK CPIH L522 t</t>
        </is>
      </c>
      <c r="O140" s="51" t="n">
        <v>122.7790571189237</v>
      </c>
      <c r="P140" s="51" t="n">
        <v>125.2346382613022</v>
      </c>
      <c r="Q140" s="51" t="n">
        <v>127.7393310265283</v>
      </c>
      <c r="R140" s="51" t="n">
        <v>130.2941176470588</v>
      </c>
      <c r="S140" s="51" t="n">
        <v>132.9</v>
      </c>
      <c r="T140" s="51" t="n">
        <v>135.558</v>
      </c>
      <c r="U140" s="51" t="n">
        <v>138.26916</v>
      </c>
      <c r="V140" s="51" t="n">
        <v>141.0345432</v>
      </c>
      <c r="W140" s="51" t="n">
        <v>143.855234064</v>
      </c>
      <c r="X140" s="51" t="n">
        <v>146.73233874528</v>
      </c>
      <c r="Y140" s="51" t="n">
        <v>149.6669855201856</v>
      </c>
      <c r="Z140" s="51" t="n">
        <v>152.6603252305893</v>
      </c>
      <c r="AA140" s="51" t="n">
        <v>155.7135317352011</v>
      </c>
      <c r="AB140" s="51" t="n">
        <v>158.8278023699052</v>
      </c>
      <c r="AC140" s="51" t="n">
        <v>162.0043584173033</v>
      </c>
      <c r="AD140" s="51" t="n">
        <v>165.2444455856493</v>
      </c>
      <c r="AE140" s="51" t="n">
        <v>168.5493344973623</v>
      </c>
      <c r="AF140" s="51" t="n">
        <v>171.9203211873096</v>
      </c>
      <c r="AG140" s="51" t="n">
        <v>175.3587276110557</v>
      </c>
      <c r="AH140" s="51" t="n">
        <v>178.8659021632769</v>
      </c>
      <c r="AI140" s="51" t="n">
        <v>182.4432202065424</v>
      </c>
      <c r="AJ140" s="51" t="n">
        <v>186.0920846106733</v>
      </c>
      <c r="AK140" s="51" t="n">
        <v>189.8139263028867</v>
      </c>
      <c r="AL140" s="51" t="n">
        <v>193.6102048289445</v>
      </c>
      <c r="AM140" s="51" t="n">
        <v>197.4824089255234</v>
      </c>
      <c r="AN140" s="51" t="n">
        <v>201.4320571040338</v>
      </c>
      <c r="AO140" s="51" t="n">
        <v>205.4606982461145</v>
      </c>
      <c r="AP140" s="51" t="n">
        <v>209.5699122110368</v>
      </c>
      <c r="AQ140" s="51" t="n">
        <v>213.7613104552576</v>
      </c>
      <c r="AR140" s="51" t="n">
        <v>218.0365366643627</v>
      </c>
      <c r="AS140" s="51" t="n">
        <v>222.39726739765</v>
      </c>
      <c r="AT140" s="51" t="n">
        <v>226.845212745603</v>
      </c>
      <c r="AU140" s="51" t="n">
        <v>231.3821170005151</v>
      </c>
      <c r="AV140" s="51" t="n">
        <v>236.0097593405253</v>
      </c>
      <c r="AW140" s="51" t="n">
        <v>240.7299545273358</v>
      </c>
      <c r="AX140" s="51" t="n">
        <v>245.5445536178826</v>
      </c>
      <c r="AY140" s="51" t="n">
        <v>250.4554446902402</v>
      </c>
      <c r="AZ140" s="51" t="n">
        <v>255.464553584045</v>
      </c>
      <c r="BA140" s="51" t="n">
        <v>260.573844655726</v>
      </c>
      <c r="BB140" s="51" t="n">
        <v>265.7853215488405</v>
      </c>
    </row>
    <row r="141" ht="15" customFormat="1" customHeight="1" s="174">
      <c r="B141" s="177" t="n"/>
      <c r="E141" s="178" t="inlineStr">
        <is>
          <t>Average non-GB inflation index value</t>
        </is>
      </c>
      <c r="G141" s="21">
        <f>G137</f>
        <v/>
      </c>
      <c r="H141" s="178" t="inlineStr">
        <is>
          <t>non-GB inflation index t</t>
        </is>
      </c>
      <c r="O141" s="180" t="n"/>
      <c r="P141" s="180" t="n"/>
      <c r="Q141" s="180" t="n"/>
      <c r="R141" s="180" t="n"/>
      <c r="S141" s="180" t="n"/>
      <c r="T141" s="180" t="n"/>
      <c r="U141" s="180" t="n"/>
      <c r="V141" s="180" t="n"/>
      <c r="W141" s="180" t="n"/>
      <c r="X141" s="180" t="n"/>
      <c r="Y141" s="180" t="n"/>
      <c r="Z141" s="180" t="n"/>
      <c r="AA141" s="180" t="n"/>
      <c r="AB141" s="180" t="n"/>
      <c r="AC141" s="180" t="n"/>
      <c r="AD141" s="180" t="n"/>
      <c r="AE141" s="180" t="n"/>
      <c r="AF141" s="180" t="n"/>
      <c r="AG141" s="180" t="n"/>
      <c r="AH141" s="180" t="n"/>
      <c r="AI141" s="180" t="n"/>
      <c r="AJ141" s="180" t="n"/>
      <c r="AK141" s="180" t="n"/>
      <c r="AL141" s="180" t="n"/>
      <c r="AM141" s="180" t="n"/>
      <c r="AN141" s="180" t="n"/>
      <c r="AO141" s="180" t="n"/>
      <c r="AP141" s="180" t="n"/>
      <c r="AQ141" s="180" t="n"/>
      <c r="AR141" s="180" t="n"/>
      <c r="AS141" s="180" t="n"/>
      <c r="AT141" s="180" t="n"/>
      <c r="AU141" s="180" t="n"/>
      <c r="AV141" s="180" t="n"/>
      <c r="AW141" s="180" t="n"/>
      <c r="AX141" s="180" t="n"/>
      <c r="AY141" s="180" t="n"/>
      <c r="AZ141" s="180" t="n"/>
      <c r="BA141" s="180" t="n"/>
      <c r="BB141" s="180" t="n"/>
    </row>
    <row r="142" ht="15" customHeight="1">
      <c r="B142" s="32" t="n"/>
      <c r="O142" s="91" t="n"/>
      <c r="P142" s="91" t="n"/>
      <c r="Q142" s="91" t="n"/>
      <c r="R142" s="91" t="n"/>
      <c r="S142" s="91" t="n"/>
      <c r="T142" s="91" t="n"/>
      <c r="U142" s="91" t="n"/>
      <c r="V142" s="91" t="n"/>
      <c r="W142" s="91" t="n"/>
      <c r="X142" s="91" t="n"/>
      <c r="Y142" s="91" t="n"/>
      <c r="Z142" s="91" t="n"/>
      <c r="AA142" s="91" t="n"/>
      <c r="AB142" s="91" t="n"/>
      <c r="AC142" s="91" t="n"/>
      <c r="AD142" s="91" t="n"/>
      <c r="AE142" s="91" t="n"/>
      <c r="AF142" s="91" t="n"/>
      <c r="AG142" s="91" t="n"/>
      <c r="AH142" s="91" t="n"/>
      <c r="AI142" s="91" t="n"/>
      <c r="AJ142" s="91" t="n"/>
      <c r="AK142" s="91" t="n"/>
      <c r="AL142" s="91" t="n"/>
      <c r="AM142" s="91" t="n"/>
      <c r="AN142" s="91" t="n"/>
      <c r="AO142" s="91" t="n"/>
      <c r="AP142" s="91" t="n"/>
      <c r="AQ142" s="91" t="n"/>
      <c r="AR142" s="91" t="n"/>
      <c r="AS142" s="91" t="n"/>
      <c r="AT142" s="91" t="n"/>
      <c r="AU142" s="91" t="n"/>
      <c r="AV142" s="91" t="n"/>
      <c r="AW142" s="91" t="n"/>
      <c r="AX142" s="91" t="n"/>
      <c r="AY142" s="91" t="n"/>
      <c r="AZ142" s="91" t="n"/>
      <c r="BA142" s="91" t="n"/>
      <c r="BB142" s="91" t="n"/>
    </row>
    <row r="143" ht="15" customFormat="1" customHeight="1" s="174">
      <c r="B143" s="177" t="n"/>
      <c r="E143" s="178" t="inlineStr">
        <is>
          <t>Average exchange rate (XUMAERS)</t>
        </is>
      </c>
      <c r="G143" s="21">
        <f>G138</f>
        <v/>
      </c>
      <c r="H143" s="178" t="inlineStr">
        <is>
          <t>GBPt/EURt</t>
        </is>
      </c>
      <c r="O143" s="180" t="n"/>
      <c r="P143" s="180" t="n"/>
      <c r="Q143" s="180" t="n"/>
      <c r="R143" s="180" t="n"/>
      <c r="S143" s="180" t="n"/>
      <c r="T143" s="180" t="n"/>
      <c r="U143" s="180" t="n"/>
      <c r="V143" s="180" t="n"/>
      <c r="W143" s="180" t="n"/>
      <c r="X143" s="180" t="n"/>
      <c r="Y143" s="180" t="n"/>
      <c r="Z143" s="180" t="n"/>
      <c r="AA143" s="180" t="n"/>
      <c r="AB143" s="180" t="n"/>
      <c r="AC143" s="180" t="n"/>
      <c r="AD143" s="180" t="n"/>
      <c r="AE143" s="180" t="n"/>
      <c r="AF143" s="180" t="n"/>
      <c r="AG143" s="180" t="n"/>
      <c r="AH143" s="180" t="n"/>
      <c r="AI143" s="180" t="n"/>
      <c r="AJ143" s="180" t="n"/>
      <c r="AK143" s="180" t="n"/>
      <c r="AL143" s="180" t="n"/>
      <c r="AM143" s="180" t="n"/>
      <c r="AN143" s="180" t="n"/>
      <c r="AO143" s="180" t="n"/>
      <c r="AP143" s="180" t="n"/>
      <c r="AQ143" s="180" t="n"/>
      <c r="AR143" s="180" t="n"/>
      <c r="AS143" s="180" t="n"/>
      <c r="AT143" s="180" t="n"/>
      <c r="AU143" s="180" t="n"/>
      <c r="AV143" s="180" t="n"/>
      <c r="AW143" s="180" t="n"/>
      <c r="AX143" s="180" t="n"/>
      <c r="AY143" s="180" t="n"/>
      <c r="AZ143" s="180" t="n"/>
      <c r="BA143" s="180" t="n"/>
      <c r="BB143" s="180" t="n"/>
    </row>
    <row r="144" ht="15" customHeight="1">
      <c r="B144" s="32" t="n"/>
      <c r="O144" s="91" t="n"/>
      <c r="P144" s="91" t="n"/>
      <c r="Q144" s="91" t="n"/>
      <c r="R144" s="91" t="n"/>
      <c r="S144" s="91" t="n"/>
      <c r="T144" s="91" t="n"/>
      <c r="U144" s="91" t="n"/>
      <c r="V144" s="91" t="n"/>
      <c r="W144" s="91" t="n"/>
      <c r="X144" s="91" t="n"/>
      <c r="Y144" s="91" t="n"/>
      <c r="Z144" s="91" t="n"/>
      <c r="AA144" s="91" t="n"/>
      <c r="AB144" s="91" t="n"/>
      <c r="AC144" s="91" t="n"/>
      <c r="AD144" s="91" t="n"/>
      <c r="AE144" s="91" t="n"/>
      <c r="AF144" s="91" t="n"/>
      <c r="AG144" s="91" t="n"/>
      <c r="AH144" s="91" t="n"/>
      <c r="AI144" s="91" t="n"/>
      <c r="AJ144" s="91" t="n"/>
      <c r="AK144" s="91" t="n"/>
      <c r="AL144" s="91" t="n"/>
      <c r="AM144" s="91" t="n"/>
      <c r="AN144" s="91" t="n"/>
      <c r="AO144" s="91" t="n"/>
      <c r="AP144" s="91" t="n"/>
      <c r="AQ144" s="91" t="n"/>
      <c r="AR144" s="91" t="n"/>
      <c r="AS144" s="91" t="n"/>
      <c r="AT144" s="91" t="n"/>
      <c r="AU144" s="91" t="n"/>
      <c r="AV144" s="91" t="n"/>
      <c r="AW144" s="91" t="n"/>
      <c r="AX144" s="91" t="n"/>
      <c r="AY144" s="91" t="n"/>
      <c r="AZ144" s="91" t="n"/>
      <c r="BA144" s="91" t="n"/>
      <c r="BB144" s="91" t="n"/>
    </row>
    <row r="145" ht="15" customHeight="1">
      <c r="B145" s="32" t="n"/>
      <c r="E145" s="21" t="inlineStr">
        <is>
          <t>Indexation Factor</t>
        </is>
      </c>
      <c r="H145" s="21" t="inlineStr">
        <is>
          <t>CPIHt</t>
        </is>
      </c>
      <c r="I145" s="34" t="n"/>
      <c r="O145" s="102">
        <f>IF($I$78=100%,O140/$I$136,($I$78*(O140/$I$136)+(1-$I$78)*(O141/$I$137)/(O143/$I$138)))</f>
        <v/>
      </c>
      <c r="P145" s="102">
        <f>IF($I$78=100%,P140/$I$136,($I$78*(P140/$I$136)+(1-$I$78)*(P141/$I$137)/(P143/$I$138)))</f>
        <v/>
      </c>
      <c r="Q145" s="102">
        <f>IF($I$78=100%,Q140/$I$136,($I$78*(Q140/$I$136)+(1-$I$78)*(Q141/$I$137)/(Q143/$I$138)))</f>
        <v/>
      </c>
      <c r="R145" s="102">
        <f>IF($I$78=100%,R140/$I$136,($I$78*(R140/$I$136)+(1-$I$78)*(R141/$I$137)/(R143/$I$138)))</f>
        <v/>
      </c>
      <c r="S145" s="102">
        <f>IF($I$78=100%,S140/$I$136,($I$78*(S140/$I$136)+(1-$I$78)*(S141/$I$137)/(S143/$I$138)))</f>
        <v/>
      </c>
      <c r="T145" s="102">
        <f>IF($I$78=100%,T140/$I$136,($I$78*(T140/$I$136)+(1-$I$78)*(T141/$I$137)/(T143/$I$138)))</f>
        <v/>
      </c>
      <c r="U145" s="102">
        <f>IF($I$78=100%,U140/$I$136,($I$78*(U140/$I$136)+(1-$I$78)*(U141/$I$137)/(U143/$I$138)))</f>
        <v/>
      </c>
      <c r="V145" s="102">
        <f>IF($I$78=100%,V140/$I$136,($I$78*(V140/$I$136)+(1-$I$78)*(V141/$I$137)/(V143/$I$138)))</f>
        <v/>
      </c>
      <c r="W145" s="102">
        <f>IF($I$78=100%,W140/$I$136,($I$78*(W140/$I$136)+(1-$I$78)*(W141/$I$137)/(W143/$I$138)))</f>
        <v/>
      </c>
      <c r="X145" s="102">
        <f>IF($I$78=100%,X140/$I$136,($I$78*(X140/$I$136)+(1-$I$78)*(X141/$I$137)/(X143/$I$138)))</f>
        <v/>
      </c>
      <c r="Y145" s="102">
        <f>IF($I$78=100%,Y140/$I$136,($I$78*(Y140/$I$136)+(1-$I$78)*(Y141/$I$137)/(Y143/$I$138)))</f>
        <v/>
      </c>
      <c r="Z145" s="102">
        <f>IF($I$78=100%,Z140/$I$136,($I$78*(Z140/$I$136)+(1-$I$78)*(Z141/$I$137)/(Z143/$I$138)))</f>
        <v/>
      </c>
      <c r="AA145" s="102">
        <f>IF($I$78=100%,AA140/$I$136,($I$78*(AA140/$I$136)+(1-$I$78)*(AA141/$I$137)/(AA143/$I$138)))</f>
        <v/>
      </c>
      <c r="AB145" s="102">
        <f>IF($I$78=100%,AB140/$I$136,($I$78*(AB140/$I$136)+(1-$I$78)*(AB141/$I$137)/(AB143/$I$138)))</f>
        <v/>
      </c>
      <c r="AC145" s="102">
        <f>IF($I$78=100%,AC140/$I$136,($I$78*(AC140/$I$136)+(1-$I$78)*(AC141/$I$137)/(AC143/$I$138)))</f>
        <v/>
      </c>
      <c r="AD145" s="102">
        <f>IF($I$78=100%,AD140/$I$136,($I$78*(AD140/$I$136)+(1-$I$78)*(AD141/$I$137)/(AD143/$I$138)))</f>
        <v/>
      </c>
      <c r="AE145" s="102">
        <f>IF($I$78=100%,AE140/$I$136,($I$78*(AE140/$I$136)+(1-$I$78)*(AE141/$I$137)/(AE143/$I$138)))</f>
        <v/>
      </c>
      <c r="AF145" s="102">
        <f>IF($I$78=100%,AF140/$I$136,($I$78*(AF140/$I$136)+(1-$I$78)*(AF141/$I$137)/(AF143/$I$138)))</f>
        <v/>
      </c>
      <c r="AG145" s="102">
        <f>IF($I$78=100%,AG140/$I$136,($I$78*(AG140/$I$136)+(1-$I$78)*(AG141/$I$137)/(AG143/$I$138)))</f>
        <v/>
      </c>
      <c r="AH145" s="102">
        <f>IF($I$78=100%,AH140/$I$136,($I$78*(AH140/$I$136)+(1-$I$78)*(AH141/$I$137)/(AH143/$I$138)))</f>
        <v/>
      </c>
      <c r="AI145" s="102">
        <f>IF($I$78=100%,AI140/$I$136,($I$78*(AI140/$I$136)+(1-$I$78)*(AI141/$I$137)/(AI143/$I$138)))</f>
        <v/>
      </c>
      <c r="AJ145" s="102">
        <f>IF($I$78=100%,AJ140/$I$136,($I$78*(AJ140/$I$136)+(1-$I$78)*(AJ141/$I$137)/(AJ143/$I$138)))</f>
        <v/>
      </c>
      <c r="AK145" s="102">
        <f>IF($I$78=100%,AK140/$I$136,($I$78*(AK140/$I$136)+(1-$I$78)*(AK141/$I$137)/(AK143/$I$138)))</f>
        <v/>
      </c>
      <c r="AL145" s="102">
        <f>IF($I$78=100%,AL140/$I$136,($I$78*(AL140/$I$136)+(1-$I$78)*(AL141/$I$137)/(AL143/$I$138)))</f>
        <v/>
      </c>
      <c r="AM145" s="102">
        <f>IF($I$78=100%,AM140/$I$136,($I$78*(AM140/$I$136)+(1-$I$78)*(AM141/$I$137)/(AM143/$I$138)))</f>
        <v/>
      </c>
      <c r="AN145" s="102">
        <f>IF($I$78=100%,AN140/$I$136,($I$78*(AN140/$I$136)+(1-$I$78)*(AN141/$I$137)/(AN143/$I$138)))</f>
        <v/>
      </c>
      <c r="AO145" s="102">
        <f>IF($I$78=100%,AO140/$I$136,($I$78*(AO140/$I$136)+(1-$I$78)*(AO141/$I$137)/(AO143/$I$138)))</f>
        <v/>
      </c>
      <c r="AP145" s="102">
        <f>IF($I$78=100%,AP140/$I$136,($I$78*(AP140/$I$136)+(1-$I$78)*(AP141/$I$137)/(AP143/$I$138)))</f>
        <v/>
      </c>
      <c r="AQ145" s="102">
        <f>IF($I$78=100%,AQ140/$I$136,($I$78*(AQ140/$I$136)+(1-$I$78)*(AQ141/$I$137)/(AQ143/$I$138)))</f>
        <v/>
      </c>
      <c r="AR145" s="102">
        <f>IF($I$78=100%,AR140/$I$136,($I$78*(AR140/$I$136)+(1-$I$78)*(AR141/$I$137)/(AR143/$I$138)))</f>
        <v/>
      </c>
      <c r="AS145" s="102">
        <f>IF($I$78=100%,AS140/$I$136,($I$78*(AS140/$I$136)+(1-$I$78)*(AS141/$I$137)/(AS143/$I$138)))</f>
        <v/>
      </c>
      <c r="AT145" s="102">
        <f>IF($I$78=100%,AT140/$I$136,($I$78*(AT140/$I$136)+(1-$I$78)*(AT141/$I$137)/(AT143/$I$138)))</f>
        <v/>
      </c>
      <c r="AU145" s="102">
        <f>IF($I$78=100%,AU140/$I$136,($I$78*(AU140/$I$136)+(1-$I$78)*(AU141/$I$137)/(AU143/$I$138)))</f>
        <v/>
      </c>
      <c r="AV145" s="102">
        <f>IF($I$78=100%,AV140/$I$136,($I$78*(AV140/$I$136)+(1-$I$78)*(AV141/$I$137)/(AV143/$I$138)))</f>
        <v/>
      </c>
      <c r="AW145" s="102">
        <f>IF($I$78=100%,AW140/$I$136,($I$78*(AW140/$I$136)+(1-$I$78)*(AW141/$I$137)/(AW143/$I$138)))</f>
        <v/>
      </c>
      <c r="AX145" s="102">
        <f>IF($I$78=100%,AX140/$I$136,($I$78*(AX140/$I$136)+(1-$I$78)*(AX141/$I$137)/(AX143/$I$138)))</f>
        <v/>
      </c>
      <c r="AY145" s="102">
        <f>IF($I$78=100%,AY140/$I$136,($I$78*(AY140/$I$136)+(1-$I$78)*(AY141/$I$137)/(AY143/$I$138)))</f>
        <v/>
      </c>
      <c r="AZ145" s="102">
        <f>IF($I$78=100%,AZ140/$I$136,($I$78*(AZ140/$I$136)+(1-$I$78)*(AZ141/$I$137)/(AZ143/$I$138)))</f>
        <v/>
      </c>
      <c r="BA145" s="102">
        <f>IF($I$78=100%,BA140/$I$136,($I$78*(BA140/$I$136)+(1-$I$78)*(BA141/$I$137)/(BA143/$I$138)))</f>
        <v/>
      </c>
      <c r="BB145" s="102">
        <f>IF($I$78=100%,BB140/$I$136,($I$78*(BB140/$I$136)+(1-$I$78)*(BB141/$I$137)/(BB143/$I$138)))</f>
        <v/>
      </c>
    </row>
    <row r="146" ht="15" customHeight="1">
      <c r="A146" s="5" t="n"/>
      <c r="B146" s="5" t="n"/>
      <c r="D146" s="5" t="n"/>
      <c r="O146" s="34" t="n"/>
      <c r="P146" s="34" t="n"/>
      <c r="Q146" s="34" t="n"/>
      <c r="R146" s="34" t="n"/>
      <c r="S146" s="34" t="n"/>
      <c r="W146" s="34" t="n"/>
      <c r="X146" s="34" t="n"/>
      <c r="Y146" s="34" t="n"/>
      <c r="Z146" s="34" t="n"/>
      <c r="AA146" s="34" t="n"/>
      <c r="AB146" s="34" t="n"/>
      <c r="AC146" s="34" t="n"/>
      <c r="AD146" s="34" t="n"/>
      <c r="AE146" s="34" t="n"/>
      <c r="AF146" s="34" t="n"/>
      <c r="AG146" s="34" t="n"/>
      <c r="AH146" s="34" t="n"/>
      <c r="AI146" s="34" t="n"/>
      <c r="AJ146" s="34" t="n"/>
      <c r="AK146" s="34" t="n"/>
      <c r="AL146" s="34" t="n"/>
      <c r="AM146" s="34" t="n"/>
      <c r="AN146" s="34" t="n"/>
      <c r="AO146" s="34" t="n"/>
      <c r="AP146" s="34" t="n"/>
      <c r="AQ146" s="34" t="n"/>
      <c r="AR146" s="34" t="n"/>
      <c r="AS146" s="34" t="n"/>
      <c r="AT146" s="34" t="n"/>
      <c r="AU146" s="34" t="n"/>
      <c r="AV146" s="34" t="n"/>
      <c r="AW146" s="34" t="n"/>
      <c r="AX146" s="34" t="n"/>
      <c r="AY146" s="34" t="n"/>
      <c r="AZ146" s="34" t="n"/>
      <c r="BA146" s="34" t="n"/>
      <c r="BB146" s="34" t="n"/>
    </row>
    <row r="147" ht="15" customFormat="1" customHeight="1" s="5">
      <c r="C147" s="40" t="inlineStr">
        <is>
          <t>PCA adjustment</t>
        </is>
      </c>
      <c r="D147" s="40" t="n"/>
      <c r="E147" s="40" t="n"/>
      <c r="F147" s="40" t="n"/>
      <c r="G147" s="40" t="n"/>
      <c r="H147" s="40" t="n"/>
      <c r="I147" s="40" t="n"/>
      <c r="J147" s="40" t="n"/>
      <c r="K147" s="40" t="n"/>
      <c r="L147" s="40" t="n"/>
      <c r="M147" s="40" t="n"/>
      <c r="N147" s="40" t="n"/>
      <c r="O147" s="40" t="n"/>
      <c r="P147" s="40" t="n"/>
      <c r="Q147" s="40" t="n"/>
      <c r="R147" s="40" t="n"/>
      <c r="S147" s="40" t="n"/>
      <c r="T147" s="40" t="n"/>
      <c r="U147" s="40" t="n"/>
      <c r="V147" s="40" t="n"/>
      <c r="W147" s="40" t="n"/>
      <c r="X147" s="40" t="n"/>
      <c r="Y147" s="40" t="n"/>
      <c r="Z147" s="40" t="n"/>
      <c r="AA147" s="40" t="n"/>
      <c r="AB147" s="40" t="n"/>
      <c r="AC147" s="40" t="n"/>
      <c r="AD147" s="40" t="n"/>
      <c r="AE147" s="40" t="n"/>
      <c r="AF147" s="40" t="n"/>
      <c r="AG147" s="40" t="n"/>
      <c r="AH147" s="40" t="n"/>
      <c r="AI147" s="40" t="n"/>
      <c r="AJ147" s="40" t="n"/>
      <c r="AK147" s="40" t="n"/>
      <c r="AL147" s="40" t="n"/>
      <c r="AM147" s="40" t="n"/>
      <c r="AN147" s="40" t="n"/>
      <c r="AO147" s="40" t="n"/>
      <c r="AP147" s="40" t="n"/>
      <c r="AQ147" s="40" t="n"/>
      <c r="AR147" s="40" t="n"/>
      <c r="AS147" s="40" t="n"/>
      <c r="AT147" s="40" t="n"/>
      <c r="AU147" s="40" t="n"/>
      <c r="AV147" s="40" t="n"/>
      <c r="AW147" s="40" t="n"/>
      <c r="AX147" s="40" t="n"/>
      <c r="AY147" s="40" t="n"/>
      <c r="AZ147" s="40" t="n"/>
      <c r="BA147" s="40" t="n"/>
      <c r="BB147" s="40" t="n"/>
    </row>
    <row r="148" ht="15" customHeight="1">
      <c r="O148" s="45" t="n"/>
      <c r="P148" s="45" t="n"/>
      <c r="Q148" s="45" t="n"/>
      <c r="R148" s="45" t="n"/>
      <c r="S148" s="45" t="n"/>
      <c r="T148" s="45" t="n"/>
      <c r="U148" s="45" t="n"/>
      <c r="V148" s="45" t="n"/>
      <c r="W148" s="45" t="n"/>
      <c r="X148" s="45" t="n"/>
      <c r="Y148" s="45" t="n"/>
      <c r="Z148" s="45" t="n"/>
      <c r="AA148" s="45" t="n"/>
      <c r="AB148" s="45" t="n"/>
      <c r="AC148" s="45" t="n"/>
      <c r="AD148" s="45" t="n"/>
      <c r="AE148" s="45" t="n"/>
      <c r="AF148" s="45" t="n"/>
      <c r="AG148" s="45" t="n"/>
      <c r="AH148" s="45" t="n"/>
      <c r="AI148" s="45" t="n"/>
      <c r="AJ148" s="45" t="n"/>
      <c r="AK148" s="45" t="n"/>
      <c r="AL148" s="45" t="n"/>
      <c r="AM148" s="45" t="n"/>
      <c r="AN148" s="45" t="n"/>
      <c r="AO148" s="45" t="n"/>
      <c r="AP148" s="45" t="n"/>
      <c r="AQ148" s="45" t="n"/>
      <c r="AR148" s="45" t="n"/>
      <c r="AS148" s="45" t="n"/>
      <c r="AT148" s="45" t="n"/>
      <c r="AU148" s="45" t="n"/>
      <c r="AV148" s="45" t="n"/>
      <c r="AW148" s="45" t="n"/>
      <c r="AX148" s="45" t="n"/>
      <c r="AY148" s="45" t="n"/>
      <c r="AZ148" s="45" t="n"/>
      <c r="BA148" s="45" t="n"/>
      <c r="BB148" s="45" t="n"/>
    </row>
    <row r="149" ht="15" customHeight="1">
      <c r="E149" s="21" t="inlineStr">
        <is>
          <t>PCA/PFA adjustment - Ofgem start date</t>
        </is>
      </c>
      <c r="G149" s="21" t="inlineStr">
        <is>
          <t>date</t>
        </is>
      </c>
      <c r="I149" s="50" t="n">
        <v>44197</v>
      </c>
      <c r="O149" s="45" t="n"/>
      <c r="P149" s="45" t="n"/>
      <c r="Q149" s="45" t="n"/>
      <c r="R149" s="45" t="n"/>
      <c r="S149" s="45" t="n"/>
      <c r="T149" s="45" t="n"/>
      <c r="U149" s="45" t="n"/>
      <c r="V149" s="45" t="n"/>
      <c r="W149" s="45" t="n"/>
      <c r="X149" s="45" t="n"/>
      <c r="Y149" s="45" t="n"/>
      <c r="Z149" s="45" t="n"/>
      <c r="AA149" s="45" t="n"/>
      <c r="AB149" s="45" t="n"/>
      <c r="AC149" s="45" t="n"/>
      <c r="AD149" s="45" t="n"/>
      <c r="AE149" s="45" t="n"/>
      <c r="AF149" s="45" t="n"/>
      <c r="AG149" s="45" t="n"/>
      <c r="AH149" s="45" t="n"/>
      <c r="AI149" s="45" t="n"/>
      <c r="AJ149" s="45" t="n"/>
      <c r="AK149" s="45" t="n"/>
      <c r="AL149" s="45" t="n"/>
      <c r="AM149" s="45" t="n"/>
      <c r="AN149" s="45" t="n"/>
      <c r="AO149" s="45" t="n"/>
      <c r="AP149" s="45" t="n"/>
      <c r="AQ149" s="45" t="n"/>
      <c r="AR149" s="45" t="n"/>
      <c r="AS149" s="45" t="n"/>
      <c r="AT149" s="45" t="n"/>
      <c r="AU149" s="45" t="n"/>
      <c r="AV149" s="45" t="n"/>
      <c r="AW149" s="45" t="n"/>
      <c r="AX149" s="45" t="n"/>
      <c r="AY149" s="45" t="n"/>
      <c r="AZ149" s="45" t="n"/>
      <c r="BA149" s="45" t="n"/>
      <c r="BB149" s="45" t="n"/>
    </row>
    <row r="150" ht="15" customHeight="1">
      <c r="E150" s="21" t="inlineStr">
        <is>
          <t>Later of PCA/PFA start date and Regime start date</t>
        </is>
      </c>
      <c r="G150" s="21" t="inlineStr">
        <is>
          <t>date</t>
        </is>
      </c>
      <c r="I150" s="41">
        <f>MAX(I149,I55)</f>
        <v/>
      </c>
      <c r="O150" s="45" t="n"/>
      <c r="P150" s="45" t="n"/>
      <c r="Q150" s="45" t="n"/>
      <c r="R150" s="45" t="n"/>
      <c r="S150" s="45" t="n"/>
      <c r="T150" s="45" t="n"/>
      <c r="U150" s="45" t="n"/>
      <c r="V150" s="45" t="n"/>
      <c r="W150" s="45" t="n"/>
      <c r="X150" s="45" t="n"/>
      <c r="Y150" s="45" t="n"/>
      <c r="Z150" s="45" t="n"/>
      <c r="AA150" s="45" t="n"/>
      <c r="AB150" s="45" t="n"/>
      <c r="AC150" s="45" t="n"/>
      <c r="AD150" s="45" t="n"/>
      <c r="AE150" s="45" t="n"/>
      <c r="AF150" s="45" t="n"/>
      <c r="AG150" s="45" t="n"/>
      <c r="AH150" s="45" t="n"/>
      <c r="AI150" s="45" t="n"/>
      <c r="AJ150" s="45" t="n"/>
      <c r="AK150" s="45" t="n"/>
      <c r="AL150" s="45" t="n"/>
      <c r="AM150" s="45" t="n"/>
      <c r="AN150" s="45" t="n"/>
      <c r="AO150" s="45" t="n"/>
      <c r="AP150" s="45" t="n"/>
      <c r="AQ150" s="45" t="n"/>
      <c r="AR150" s="45" t="n"/>
      <c r="AS150" s="45" t="n"/>
      <c r="AT150" s="45" t="n"/>
      <c r="AU150" s="45" t="n"/>
      <c r="AV150" s="45" t="n"/>
      <c r="AW150" s="45" t="n"/>
      <c r="AX150" s="45" t="n"/>
      <c r="AY150" s="45" t="n"/>
      <c r="AZ150" s="45" t="n"/>
      <c r="BA150" s="45" t="n"/>
      <c r="BB150" s="45" t="n"/>
    </row>
    <row r="151" ht="15" customHeight="1">
      <c r="E151" s="21" t="inlineStr">
        <is>
          <t>Later of PCA/PFA start date and Floor start date</t>
        </is>
      </c>
      <c r="G151" s="21" t="inlineStr">
        <is>
          <t>date</t>
        </is>
      </c>
      <c r="I151" s="41">
        <f>MAX(I149,I67)</f>
        <v/>
      </c>
      <c r="O151" s="45" t="n"/>
      <c r="P151" s="45" t="n"/>
      <c r="Q151" s="45" t="n"/>
      <c r="R151" s="45" t="n"/>
      <c r="S151" s="45" t="n"/>
      <c r="T151" s="45" t="n"/>
      <c r="U151" s="45" t="n"/>
      <c r="V151" s="45" t="n"/>
      <c r="W151" s="45" t="n"/>
      <c r="X151" s="45" t="n"/>
      <c r="Y151" s="45" t="n"/>
      <c r="Z151" s="45" t="n"/>
      <c r="AA151" s="45" t="n"/>
      <c r="AB151" s="45" t="n"/>
      <c r="AC151" s="45" t="n"/>
      <c r="AD151" s="45" t="n"/>
      <c r="AE151" s="45" t="n"/>
      <c r="AF151" s="45" t="n"/>
      <c r="AG151" s="45" t="n"/>
      <c r="AH151" s="45" t="n"/>
      <c r="AI151" s="45" t="n"/>
      <c r="AJ151" s="45" t="n"/>
      <c r="AK151" s="45" t="n"/>
      <c r="AL151" s="45" t="n"/>
      <c r="AM151" s="45" t="n"/>
      <c r="AN151" s="45" t="n"/>
      <c r="AO151" s="45" t="n"/>
      <c r="AP151" s="45" t="n"/>
      <c r="AQ151" s="45" t="n"/>
      <c r="AR151" s="45" t="n"/>
      <c r="AS151" s="45" t="n"/>
      <c r="AT151" s="45" t="n"/>
      <c r="AU151" s="45" t="n"/>
      <c r="AV151" s="45" t="n"/>
      <c r="AW151" s="45" t="n"/>
      <c r="AX151" s="45" t="n"/>
      <c r="AY151" s="45" t="n"/>
      <c r="AZ151" s="45" t="n"/>
      <c r="BA151" s="45" t="n"/>
      <c r="BB151" s="45" t="n"/>
    </row>
    <row r="152" ht="15" customHeight="1">
      <c r="E152" s="21" t="inlineStr">
        <is>
          <t>Apply PCA adjustment factor?</t>
        </is>
      </c>
      <c r="G152" s="21" t="inlineStr">
        <is>
          <t>switch</t>
        </is>
      </c>
      <c r="I152" s="143" t="inlineStr">
        <is>
          <t>Yes</t>
        </is>
      </c>
      <c r="O152" s="45" t="n"/>
      <c r="P152" s="45" t="n"/>
      <c r="Q152" s="45" t="n"/>
      <c r="R152" s="45" t="n"/>
      <c r="S152" s="45" t="n"/>
      <c r="T152" s="45" t="n"/>
      <c r="U152" s="45" t="n"/>
      <c r="V152" s="45" t="n"/>
      <c r="W152" s="45" t="n"/>
      <c r="X152" s="45" t="n"/>
      <c r="Y152" s="45" t="n"/>
      <c r="Z152" s="45" t="n"/>
      <c r="AA152" s="45" t="n"/>
      <c r="AB152" s="45" t="n"/>
      <c r="AC152" s="45" t="n"/>
      <c r="AD152" s="45" t="n"/>
      <c r="AE152" s="45" t="n"/>
      <c r="AF152" s="45" t="n"/>
      <c r="AG152" s="45" t="n"/>
      <c r="AH152" s="45" t="n"/>
      <c r="AI152" s="45" t="n"/>
      <c r="AJ152" s="45" t="n"/>
      <c r="AK152" s="45" t="n"/>
      <c r="AL152" s="45" t="n"/>
      <c r="AM152" s="45" t="n"/>
      <c r="AN152" s="45" t="n"/>
      <c r="AO152" s="45" t="n"/>
      <c r="AP152" s="45" t="n"/>
      <c r="AQ152" s="45" t="n"/>
      <c r="AR152" s="45" t="n"/>
      <c r="AS152" s="45" t="n"/>
      <c r="AT152" s="45" t="n"/>
      <c r="AU152" s="45" t="n"/>
      <c r="AV152" s="45" t="n"/>
      <c r="AW152" s="45" t="n"/>
      <c r="AX152" s="45" t="n"/>
      <c r="AY152" s="45" t="n"/>
      <c r="AZ152" s="45" t="n"/>
      <c r="BA152" s="45" t="n"/>
      <c r="BB152" s="45" t="n"/>
    </row>
    <row r="153" ht="15" customHeight="1">
      <c r="E153" s="21" t="inlineStr">
        <is>
          <t>PCA adjustment factor</t>
        </is>
      </c>
      <c r="G153" s="21" t="inlineStr">
        <is>
          <t>flag</t>
        </is>
      </c>
      <c r="I153" s="41" t="n"/>
      <c r="O153" s="45">
        <f>IF(AND($I150&lt;=O$4,$I150&gt;N4),(O$4-$I150+1)/365.25,IF($I150&gt;O$4,0,O$64))</f>
        <v/>
      </c>
      <c r="P153" s="144">
        <f>IF(AND($I150&lt;=P$4,$I150&gt;O4),(P$4-$I150+1)/365.25,IF($I150&gt;P$4,0,P$64))</f>
        <v/>
      </c>
      <c r="Q153" s="144">
        <f>IF(AND($I150&lt;=Q$4,$I150&gt;P4),(Q$4-$I150+1)/365.25,IF($I150&gt;Q$4,0,Q$64))</f>
        <v/>
      </c>
      <c r="R153" s="144">
        <f>IF(AND($I150&lt;=R$4,$I150&gt;Q4),(R$4-$I150+1)/365.25,IF($I150&gt;R$4,0,R$64))</f>
        <v/>
      </c>
      <c r="S153" s="144">
        <f>IF(AND($I150&lt;=S$4,$I150&gt;R4),(S$4-$I150+1)/365.25,IF($I150&gt;S$4,0,S$64))</f>
        <v/>
      </c>
      <c r="T153" s="144">
        <f>IF(AND($I150&lt;=T$4,$I150&gt;S4),(T$4-$I150+1)/365.25,IF($I150&gt;T$4,0,T$64))</f>
        <v/>
      </c>
      <c r="U153" s="144">
        <f>IF(AND($I150&lt;=U$4,$I150&gt;T4),(U$4-$I150+1)/365.25,IF($I150&gt;U$4,0,U$64))</f>
        <v/>
      </c>
      <c r="V153" s="144">
        <f>IF(AND($I150&lt;=V$4,$I150&gt;U4),(V$4-$I150+1)/365.25,IF($I150&gt;V$4,0,V$64))</f>
        <v/>
      </c>
      <c r="W153" s="144">
        <f>IF(AND($I150&lt;=W$4,$I150&gt;V4),(W$4-$I150+1)/365.25,IF($I150&gt;W$4,0,W$64))</f>
        <v/>
      </c>
      <c r="X153" s="144">
        <f>IF(AND($I150&lt;=X$4,$I150&gt;W4),(X$4-$I150+1)/365.25,IF($I150&gt;X$4,0,X$64))</f>
        <v/>
      </c>
      <c r="Y153" s="144">
        <f>IF(AND($I150&lt;=Y$4,$I150&gt;X4),(Y$4-$I150+1)/365.25,IF($I150&gt;Y$4,0,Y$64))</f>
        <v/>
      </c>
      <c r="Z153" s="144">
        <f>IF(AND($I150&lt;=Z$4,$I150&gt;Y4),(Z$4-$I150+1)/365.25,IF($I150&gt;Z$4,0,Z$64))</f>
        <v/>
      </c>
      <c r="AA153" s="144">
        <f>IF(AND($I150&lt;=AA$4,$I150&gt;Z4),(AA$4-$I150+1)/365.25,IF($I150&gt;AA$4,0,AA$64))</f>
        <v/>
      </c>
      <c r="AB153" s="144">
        <f>IF(AND($I150&lt;=AB$4,$I150&gt;AA4),(AB$4-$I150+1)/365.25,IF($I150&gt;AB$4,0,AB$64))</f>
        <v/>
      </c>
      <c r="AC153" s="144">
        <f>IF(AND($I150&lt;=AC$4,$I150&gt;AB4),(AC$4-$I150+1)/365.25,IF($I150&gt;AC$4,0,AC$64))</f>
        <v/>
      </c>
      <c r="AD153" s="144">
        <f>IF(AND($I150&lt;=AD$4,$I150&gt;AC4),(AD$4-$I150+1)/365.25,IF($I150&gt;AD$4,0,AD$64))</f>
        <v/>
      </c>
      <c r="AE153" s="144">
        <f>IF(AND($I150&lt;=AE$4,$I150&gt;AD4),(AE$4-$I150+1)/365.25,IF($I150&gt;AE$4,0,AE$64))</f>
        <v/>
      </c>
      <c r="AF153" s="144">
        <f>IF(AND($I150&lt;=AF$4,$I150&gt;AE4),(AF$4-$I150+1)/365.25,IF($I150&gt;AF$4,0,AF$64))</f>
        <v/>
      </c>
      <c r="AG153" s="144">
        <f>IF(AND($I150&lt;=AG$4,$I150&gt;AF4),(AG$4-$I150+1)/365.25,IF($I150&gt;AG$4,0,AG$64))</f>
        <v/>
      </c>
      <c r="AH153" s="144">
        <f>IF(AND($I150&lt;=AH$4,$I150&gt;AG4),(AH$4-$I150+1)/365.25,IF($I150&gt;AH$4,0,AH$64))</f>
        <v/>
      </c>
      <c r="AI153" s="144">
        <f>IF(AND($I150&lt;=AI$4,$I150&gt;AH4),(AI$4-$I150+1)/365.25,IF($I150&gt;AI$4,0,AI$64))</f>
        <v/>
      </c>
      <c r="AJ153" s="144">
        <f>IF(AND($I150&lt;=AJ$4,$I150&gt;AI4),(AJ$4-$I150+1)/365.25,IF($I150&gt;AJ$4,0,AJ$64))</f>
        <v/>
      </c>
      <c r="AK153" s="144">
        <f>IF(AND($I150&lt;=AK$4,$I150&gt;AJ4),(AK$4-$I150+1)/365.25,IF($I150&gt;AK$4,0,AK$64))</f>
        <v/>
      </c>
      <c r="AL153" s="144">
        <f>IF(AND($I150&lt;=AL$4,$I150&gt;AK4),(AL$4-$I150+1)/365.25,IF($I150&gt;AL$4,0,AL$64))</f>
        <v/>
      </c>
      <c r="AM153" s="144">
        <f>IF(AND($I150&lt;=AM$4,$I150&gt;AL4),(AM$4-$I150+1)/365.25,IF($I150&gt;AM$4,0,AM$64))</f>
        <v/>
      </c>
      <c r="AN153" s="144">
        <f>IF(AND($I150&lt;=AN$4,$I150&gt;AM4),(AN$4-$I150+1)/365.25,IF($I150&gt;AN$4,0,AN$64))</f>
        <v/>
      </c>
      <c r="AO153" s="144">
        <f>IF(AND($I150&lt;=AO$4,$I150&gt;AN4),(AO$4-$I150+1)/365.25,IF($I150&gt;AO$4,0,AO$64))</f>
        <v/>
      </c>
      <c r="AP153" s="144">
        <f>IF(AND($I150&lt;=AP$4,$I150&gt;AO4),(AP$4-$I150+1)/365.25,IF($I150&gt;AP$4,0,AP$64))</f>
        <v/>
      </c>
      <c r="AQ153" s="144">
        <f>IF(AND($I150&lt;=AQ$4,$I150&gt;AP4),(AQ$4-$I150+1)/365.25,IF($I150&gt;AQ$4,0,AQ$64))</f>
        <v/>
      </c>
      <c r="AR153" s="144">
        <f>IF(AND($I150&lt;=AR$4,$I150&gt;AQ4),(AR$4-$I150+1)/365.25,IF($I150&gt;AR$4,0,AR$64))</f>
        <v/>
      </c>
      <c r="AS153" s="144">
        <f>IF(AND($I150&lt;=AS$4,$I150&gt;AR4),(AS$4-$I150+1)/365.25,IF($I150&gt;AS$4,0,AS$64))</f>
        <v/>
      </c>
      <c r="AT153" s="144">
        <f>IF(AND($I150&lt;=AT$4,$I150&gt;AS4),(AT$4-$I150+1)/365.25,IF($I150&gt;AT$4,0,AT$64))</f>
        <v/>
      </c>
      <c r="AU153" s="144">
        <f>IF(AND($I150&lt;=AU$4,$I150&gt;AT4),(AU$4-$I150+1)/365.25,IF($I150&gt;AU$4,0,AU$64))</f>
        <v/>
      </c>
      <c r="AV153" s="144">
        <f>IF(AND($I150&lt;=AV$4,$I150&gt;AU4),(AV$4-$I150+1)/365.25,IF($I150&gt;AV$4,0,AV$64))</f>
        <v/>
      </c>
      <c r="AW153" s="144">
        <f>IF(AND($I150&lt;=AW$4,$I150&gt;AV4),(AW$4-$I150+1)/365.25,IF($I150&gt;AW$4,0,AW$64))</f>
        <v/>
      </c>
      <c r="AX153" s="144">
        <f>IF(AND($I150&lt;=AX$4,$I150&gt;AW4),(AX$4-$I150+1)/365.25,IF($I150&gt;AX$4,0,AX$64))</f>
        <v/>
      </c>
      <c r="AY153" s="144">
        <f>IF(AND($I150&lt;=AY$4,$I150&gt;AX4),(AY$4-$I150+1)/365.25,IF($I150&gt;AY$4,0,AY$64))</f>
        <v/>
      </c>
      <c r="AZ153" s="144">
        <f>IF(AND($I150&lt;=AZ$4,$I150&gt;AY4),(AZ$4-$I150+1)/365.25,IF($I150&gt;AZ$4,0,AZ$64))</f>
        <v/>
      </c>
      <c r="BA153" s="144">
        <f>IF(AND($I150&lt;=BA$4,$I150&gt;AZ4),(BA$4-$I150+1)/365.25,IF($I150&gt;BA$4,0,BA$64))</f>
        <v/>
      </c>
      <c r="BB153" s="144">
        <f>IF(AND($I150&lt;=BB$4,$I150&gt;BA4),(BB$4-$I150+1)/365.25,IF($I150&gt;BB$4,0,BB$64))</f>
        <v/>
      </c>
    </row>
    <row r="154" ht="15" customHeight="1">
      <c r="E154" s="21" t="inlineStr">
        <is>
          <t>PFA adjustment factor</t>
        </is>
      </c>
      <c r="G154" s="21" t="inlineStr">
        <is>
          <t>flag</t>
        </is>
      </c>
      <c r="I154" s="41" t="n"/>
      <c r="O154" s="45">
        <f>IF(AND($I151&lt;=O$4,$I151&gt;N$4),(O$4-$I151+1)/365.25,IF($I151&gt;O$4,0,O$72))</f>
        <v/>
      </c>
      <c r="P154" s="144">
        <f>IF(AND($I151&lt;=P$4,$I151&gt;O$4),(P$4-$I151+1)/365.25,IF($I151&gt;P$4,0,P$72))</f>
        <v/>
      </c>
      <c r="Q154" s="144">
        <f>IF(AND($I151&lt;=Q$4,$I151&gt;P$4),(Q$4-$I151+1)/365.25,IF($I151&gt;Q$4,0,Q$72))</f>
        <v/>
      </c>
      <c r="R154" s="144">
        <f>IF(AND($I151&lt;=R$4,$I151&gt;Q$4),(R$4-$I151+1)/365.25,IF($I151&gt;R$4,0,R$72))</f>
        <v/>
      </c>
      <c r="S154" s="144">
        <f>IF(AND($I151&lt;=S$4,$I151&gt;R$4),(S$4-$I151+1)/365.25,IF($I151&gt;S$4,0,S$72))</f>
        <v/>
      </c>
      <c r="T154" s="144">
        <f>IF(AND($I151&lt;=T$4,$I151&gt;S$4),(T$4-$I151+1)/365.25,IF($I151&gt;T$4,0,T$72))</f>
        <v/>
      </c>
      <c r="U154" s="144">
        <f>IF(AND($I151&lt;=U$4,$I151&gt;T$4),(U$4-$I151+1)/365.25,IF($I151&gt;U$4,0,U$72))</f>
        <v/>
      </c>
      <c r="V154" s="144">
        <f>IF(AND($I151&lt;=V$4,$I151&gt;U$4),(V$4-$I151+1)/365.25,IF($I151&gt;V$4,0,V$72))</f>
        <v/>
      </c>
      <c r="W154" s="144">
        <f>IF(AND($I151&lt;=W$4,$I151&gt;V$4),(W$4-$I151+1)/365.25,IF($I151&gt;W$4,0,W$72))</f>
        <v/>
      </c>
      <c r="X154" s="144">
        <f>IF(AND($I151&lt;=X$4,$I151&gt;W$4),(X$4-$I151+1)/365.25,IF($I151&gt;X$4,0,X$72))</f>
        <v/>
      </c>
      <c r="Y154" s="144">
        <f>IF(AND($I151&lt;=Y$4,$I151&gt;X$4),(Y$4-$I151+1)/365.25,IF($I151&gt;Y$4,0,Y$72))</f>
        <v/>
      </c>
      <c r="Z154" s="144">
        <f>IF(AND($I151&lt;=Z$4,$I151&gt;Y$4),(Z$4-$I151+1)/365.25,IF($I151&gt;Z$4,0,Z$72))</f>
        <v/>
      </c>
      <c r="AA154" s="144">
        <f>IF(AND($I151&lt;=AA$4,$I151&gt;Z$4),(AA$4-$I151+1)/365.25,IF($I151&gt;AA$4,0,AA$72))</f>
        <v/>
      </c>
      <c r="AB154" s="144">
        <f>IF(AND($I151&lt;=AB$4,$I151&gt;AA$4),(AB$4-$I151+1)/365.25,IF($I151&gt;AB$4,0,AB$72))</f>
        <v/>
      </c>
      <c r="AC154" s="144">
        <f>IF(AND($I151&lt;=AC$4,$I151&gt;AB$4),(AC$4-$I151+1)/365.25,IF($I151&gt;AC$4,0,AC$72))</f>
        <v/>
      </c>
      <c r="AD154" s="144">
        <f>IF(AND($I151&lt;=AD$4,$I151&gt;AC$4),(AD$4-$I151+1)/365.25,IF($I151&gt;AD$4,0,AD$72))</f>
        <v/>
      </c>
      <c r="AE154" s="144">
        <f>IF(AND($I151&lt;=AE$4,$I151&gt;AD$4),(AE$4-$I151+1)/365.25,IF($I151&gt;AE$4,0,AE$72))</f>
        <v/>
      </c>
      <c r="AF154" s="144">
        <f>IF(AND($I151&lt;=AF$4,$I151&gt;AE$4),(AF$4-$I151+1)/365.25,IF($I151&gt;AF$4,0,AF$72))</f>
        <v/>
      </c>
      <c r="AG154" s="144">
        <f>IF(AND($I151&lt;=AG$4,$I151&gt;AF$4),(AG$4-$I151+1)/365.25,IF($I151&gt;AG$4,0,AG$72))</f>
        <v/>
      </c>
      <c r="AH154" s="144">
        <f>IF(AND($I151&lt;=AH$4,$I151&gt;AG$4),(AH$4-$I151+1)/365.25,IF($I151&gt;AH$4,0,AH$72))</f>
        <v/>
      </c>
      <c r="AI154" s="144">
        <f>IF(AND($I151&lt;=AI$4,$I151&gt;AH$4),(AI$4-$I151+1)/365.25,IF($I151&gt;AI$4,0,AI$72))</f>
        <v/>
      </c>
      <c r="AJ154" s="144">
        <f>IF(AND($I151&lt;=AJ$4,$I151&gt;AI$4),(AJ$4-$I151+1)/365.25,IF($I151&gt;AJ$4,0,AJ$72))</f>
        <v/>
      </c>
      <c r="AK154" s="144">
        <f>IF(AND($I151&lt;=AK$4,$I151&gt;AJ$4),(AK$4-$I151+1)/365.25,IF($I151&gt;AK$4,0,AK$72))</f>
        <v/>
      </c>
      <c r="AL154" s="144">
        <f>IF(AND($I151&lt;=AL$4,$I151&gt;AK$4),(AL$4-$I151+1)/365.25,IF($I151&gt;AL$4,0,AL$72))</f>
        <v/>
      </c>
      <c r="AM154" s="144">
        <f>IF(AND($I151&lt;=AM$4,$I151&gt;AL$4),(AM$4-$I151+1)/365.25,IF($I151&gt;AM$4,0,AM$72))</f>
        <v/>
      </c>
      <c r="AN154" s="144">
        <f>IF(AND($I151&lt;=AN$4,$I151&gt;AM$4),(AN$4-$I151+1)/365.25,IF($I151&gt;AN$4,0,AN$72))</f>
        <v/>
      </c>
      <c r="AO154" s="144">
        <f>IF(AND($I151&lt;=AO$4,$I151&gt;AN$4),(AO$4-$I151+1)/365.25,IF($I151&gt;AO$4,0,AO$72))</f>
        <v/>
      </c>
      <c r="AP154" s="144">
        <f>IF(AND($I151&lt;=AP$4,$I151&gt;AO$4),(AP$4-$I151+1)/365.25,IF($I151&gt;AP$4,0,AP$72))</f>
        <v/>
      </c>
      <c r="AQ154" s="144">
        <f>IF(AND($I151&lt;=AQ$4,$I151&gt;AP$4),(AQ$4-$I151+1)/365.25,IF($I151&gt;AQ$4,0,AQ$72))</f>
        <v/>
      </c>
      <c r="AR154" s="144">
        <f>IF(AND($I151&lt;=AR$4,$I151&gt;AQ$4),(AR$4-$I151+1)/365.25,IF($I151&gt;AR$4,0,AR$72))</f>
        <v/>
      </c>
      <c r="AS154" s="144">
        <f>IF(AND($I151&lt;=AS$4,$I151&gt;AR$4),(AS$4-$I151+1)/365.25,IF($I151&gt;AS$4,0,AS$72))</f>
        <v/>
      </c>
      <c r="AT154" s="144">
        <f>IF(AND($I151&lt;=AT$4,$I151&gt;AS$4),(AT$4-$I151+1)/365.25,IF($I151&gt;AT$4,0,AT$72))</f>
        <v/>
      </c>
      <c r="AU154" s="144">
        <f>IF(AND($I151&lt;=AU$4,$I151&gt;AT$4),(AU$4-$I151+1)/365.25,IF($I151&gt;AU$4,0,AU$72))</f>
        <v/>
      </c>
      <c r="AV154" s="144">
        <f>IF(AND($I151&lt;=AV$4,$I151&gt;AU$4),(AV$4-$I151+1)/365.25,IF($I151&gt;AV$4,0,AV$72))</f>
        <v/>
      </c>
      <c r="AW154" s="144">
        <f>IF(AND($I151&lt;=AW$4,$I151&gt;AV$4),(AW$4-$I151+1)/365.25,IF($I151&gt;AW$4,0,AW$72))</f>
        <v/>
      </c>
      <c r="AX154" s="144">
        <f>IF(AND($I151&lt;=AX$4,$I151&gt;AW$4),(AX$4-$I151+1)/365.25,IF($I151&gt;AX$4,0,AX$72))</f>
        <v/>
      </c>
      <c r="AY154" s="144">
        <f>IF(AND($I151&lt;=AY$4,$I151&gt;AX$4),(AY$4-$I151+1)/365.25,IF($I151&gt;AY$4,0,AY$72))</f>
        <v/>
      </c>
      <c r="AZ154" s="144">
        <f>IF(AND($I151&lt;=AZ$4,$I151&gt;AY$4),(AZ$4-$I151+1)/365.25,IF($I151&gt;AZ$4,0,AZ$72))</f>
        <v/>
      </c>
      <c r="BA154" s="144">
        <f>IF(AND($I151&lt;=BA$4,$I151&gt;AZ$4),(BA$4-$I151+1)/365.25,IF($I151&gt;BA$4,0,BA$72))</f>
        <v/>
      </c>
      <c r="BB154" s="144">
        <f>IF(AND($I151&lt;=BB$4,$I151&gt;BA$4),(BB$4-$I151+1)/365.25,IF($I151&gt;BB$4,0,BB$72))</f>
        <v/>
      </c>
    </row>
    <row r="155" ht="15" customHeight="1">
      <c r="E155" s="32" t="n"/>
      <c r="F155" s="32" t="n"/>
      <c r="G155" s="32" t="n"/>
      <c r="H155" s="32" t="n"/>
      <c r="I155" s="54" t="n"/>
      <c r="J155" s="32" t="n"/>
      <c r="K155" s="32" t="n"/>
      <c r="L155" s="32" t="n"/>
      <c r="M155" s="32" t="n"/>
      <c r="N155" s="32" t="n"/>
      <c r="O155" s="45" t="n"/>
      <c r="P155" s="45" t="n"/>
      <c r="Q155" s="45" t="n"/>
      <c r="R155" s="45" t="n"/>
      <c r="S155" s="45" t="n"/>
      <c r="T155" s="45" t="n"/>
      <c r="U155" s="45" t="n"/>
      <c r="V155" s="45" t="n"/>
      <c r="W155" s="45" t="n"/>
      <c r="X155" s="45" t="n"/>
      <c r="Y155" s="45" t="n"/>
      <c r="Z155" s="45" t="n"/>
      <c r="AA155" s="45" t="n"/>
      <c r="AB155" s="45" t="n"/>
      <c r="AC155" s="45" t="n"/>
      <c r="AD155" s="45" t="n"/>
      <c r="AE155" s="45" t="n"/>
      <c r="AF155" s="45" t="n"/>
      <c r="AG155" s="45" t="n"/>
      <c r="AH155" s="45" t="n"/>
      <c r="AI155" s="45" t="n"/>
      <c r="AJ155" s="45" t="n"/>
      <c r="AK155" s="45" t="n"/>
      <c r="AL155" s="45" t="n"/>
      <c r="AM155" s="45" t="n"/>
      <c r="AN155" s="45" t="n"/>
      <c r="AO155" s="45" t="n"/>
      <c r="AP155" s="45" t="n"/>
      <c r="AQ155" s="45" t="n"/>
      <c r="AR155" s="45" t="n"/>
      <c r="AS155" s="45" t="n"/>
      <c r="AT155" s="45" t="n"/>
      <c r="AU155" s="45" t="n"/>
      <c r="AV155" s="45" t="n"/>
      <c r="AW155" s="45" t="n"/>
      <c r="AX155" s="45" t="n"/>
      <c r="AY155" s="45" t="n"/>
      <c r="AZ155" s="45" t="n"/>
      <c r="BA155" s="45" t="n"/>
      <c r="BB155" s="45" t="n"/>
    </row>
    <row r="156" ht="15" customFormat="1" customHeight="1" s="5">
      <c r="C156" s="40" t="inlineStr">
        <is>
          <t>ORA adjustment</t>
        </is>
      </c>
      <c r="D156" s="40" t="n"/>
      <c r="E156" s="40" t="n"/>
      <c r="F156" s="40" t="n"/>
      <c r="G156" s="40" t="n"/>
      <c r="H156" s="40" t="n"/>
      <c r="I156" s="40" t="n"/>
      <c r="J156" s="40" t="n"/>
      <c r="K156" s="40" t="n"/>
      <c r="L156" s="40" t="n"/>
      <c r="M156" s="40" t="n"/>
      <c r="N156" s="40" t="n"/>
      <c r="O156" s="40" t="n"/>
      <c r="P156" s="40" t="n"/>
      <c r="Q156" s="40" t="n"/>
      <c r="R156" s="40" t="n"/>
      <c r="S156" s="40" t="n"/>
      <c r="T156" s="40" t="n"/>
      <c r="U156" s="40" t="n"/>
      <c r="V156" s="40" t="n"/>
      <c r="W156" s="40" t="n"/>
      <c r="X156" s="40" t="n"/>
      <c r="Y156" s="40" t="n"/>
      <c r="Z156" s="40" t="n"/>
      <c r="AA156" s="40" t="n"/>
      <c r="AB156" s="40" t="n"/>
      <c r="AC156" s="40" t="n"/>
      <c r="AD156" s="40" t="n"/>
      <c r="AE156" s="40" t="n"/>
      <c r="AF156" s="40" t="n"/>
      <c r="AG156" s="40" t="n"/>
      <c r="AH156" s="40" t="n"/>
      <c r="AI156" s="40" t="n"/>
      <c r="AJ156" s="40" t="n"/>
      <c r="AK156" s="40" t="n"/>
      <c r="AL156" s="40" t="n"/>
      <c r="AM156" s="40" t="n"/>
      <c r="AN156" s="40" t="n"/>
      <c r="AO156" s="40" t="n"/>
      <c r="AP156" s="40" t="n"/>
      <c r="AQ156" s="40" t="n"/>
      <c r="AR156" s="40" t="n"/>
      <c r="AS156" s="40" t="n"/>
      <c r="AT156" s="40" t="n"/>
      <c r="AU156" s="40" t="n"/>
      <c r="AV156" s="40" t="n"/>
      <c r="AW156" s="40" t="n"/>
      <c r="AX156" s="40" t="n"/>
      <c r="AY156" s="40" t="n"/>
      <c r="AZ156" s="40" t="n"/>
      <c r="BA156" s="40" t="n"/>
      <c r="BB156" s="40" t="n"/>
    </row>
    <row r="157" ht="15" customHeight="1"/>
    <row r="158" ht="15" customHeight="1">
      <c r="E158" s="21" t="inlineStr">
        <is>
          <t>Apply ORA adjustment factor?</t>
        </is>
      </c>
      <c r="G158" s="21" t="inlineStr">
        <is>
          <t>switch</t>
        </is>
      </c>
      <c r="I158" s="143" t="inlineStr">
        <is>
          <t>Yes</t>
        </is>
      </c>
    </row>
    <row r="159" ht="15" customHeight="1">
      <c r="E159" s="21" t="inlineStr">
        <is>
          <t>ORA start date</t>
        </is>
      </c>
      <c r="G159" s="21" t="inlineStr">
        <is>
          <t>date</t>
        </is>
      </c>
      <c r="I159" s="132" t="n">
        <v>49310</v>
      </c>
    </row>
    <row r="160" ht="15" customHeight="1">
      <c r="E160" s="32" t="inlineStr">
        <is>
          <t>ORA start date check</t>
        </is>
      </c>
      <c r="F160" s="32" t="n"/>
      <c r="G160" s="32" t="inlineStr">
        <is>
          <t>check</t>
        </is>
      </c>
      <c r="I160" s="163">
        <f>I159&gt;DATE(YEAR(I17)+10,MONTH(I17),DAY(I17))</f>
        <v/>
      </c>
    </row>
    <row r="161" ht="15" customHeight="1">
      <c r="E161" s="21" t="inlineStr">
        <is>
          <t>ORA Cap effective flag</t>
        </is>
      </c>
      <c r="G161" s="21" t="inlineStr">
        <is>
          <t>flag</t>
        </is>
      </c>
      <c r="O161" s="45">
        <f>IF(AND($I159&lt;=O$4,$I159&gt;N$4),(O$4-$I159+1)/365.25,IF($I159&gt;O$4,0,O$64))</f>
        <v/>
      </c>
      <c r="P161" s="144">
        <f>IF(AND($I159&lt;=P$4,$I159&gt;O$4),(P$4-$I159+1)/365.25,IF($I159&gt;P$4,0,P$64))</f>
        <v/>
      </c>
      <c r="Q161" s="144">
        <f>IF(AND($I159&lt;=Q$4,$I159&gt;P$4),(Q$4-$I159+1)/365.25,IF($I159&gt;Q$4,0,Q$64))</f>
        <v/>
      </c>
      <c r="R161" s="144">
        <f>IF(AND($I159&lt;=R$4,$I159&gt;Q$4),(R$4-$I159+1)/365.25,IF($I159&gt;R$4,0,R$64))</f>
        <v/>
      </c>
      <c r="S161" s="144">
        <f>IF(AND($I159&lt;=S$4,$I159&gt;R$4),(S$4-$I159+1)/365.25,IF($I159&gt;S$4,0,S$64))</f>
        <v/>
      </c>
      <c r="T161" s="144">
        <f>IF(AND($I159&lt;=T$4,$I159&gt;S$4),(T$4-$I159+1)/365.25,IF($I159&gt;T$4,0,T$64))</f>
        <v/>
      </c>
      <c r="U161" s="144">
        <f>IF(AND($I159&lt;=U$4,$I159&gt;T$4),(U$4-$I159+1)/365.25,IF($I159&gt;U$4,0,U$64))</f>
        <v/>
      </c>
      <c r="V161" s="144">
        <f>IF(AND($I159&lt;=V$4,$I159&gt;U$4),(V$4-$I159+1)/365.25,IF($I159&gt;V$4,0,V$64))</f>
        <v/>
      </c>
      <c r="W161" s="144">
        <f>IF(AND($I159&lt;=W$4,$I159&gt;V$4),(W$4-$I159+1)/365.25,IF($I159&gt;W$4,0,W$64))</f>
        <v/>
      </c>
      <c r="X161" s="144">
        <f>IF(AND($I159&lt;=X$4,$I159&gt;W$4),(X$4-$I159+1)/365.25,IF($I159&gt;X$4,0,X$64))</f>
        <v/>
      </c>
      <c r="Y161" s="144">
        <f>IF(AND($I159&lt;=Y$4,$I159&gt;X$4),(Y$4-$I159+1)/365.25,IF($I159&gt;Y$4,0,Y$64))</f>
        <v/>
      </c>
      <c r="Z161" s="144">
        <f>IF(AND($I159&lt;=Z$4,$I159&gt;Y$4),(Z$4-$I159+1)/365.25,IF($I159&gt;Z$4,0,Z$64))</f>
        <v/>
      </c>
      <c r="AA161" s="144">
        <f>IF(AND($I159&lt;=AA$4,$I159&gt;Z$4),(AA$4-$I159+1)/365.25,IF($I159&gt;AA$4,0,AA$64))</f>
        <v/>
      </c>
      <c r="AB161" s="144">
        <f>IF(AND($I159&lt;=AB$4,$I159&gt;AA$4),(AB$4-$I159+1)/365.25,IF($I159&gt;AB$4,0,AB$64))</f>
        <v/>
      </c>
      <c r="AC161" s="144">
        <f>IF(AND($I159&lt;=AC$4,$I159&gt;AB$4),(AC$4-$I159+1)/365.25,IF($I159&gt;AC$4,0,AC$64))</f>
        <v/>
      </c>
      <c r="AD161" s="144">
        <f>IF(AND($I159&lt;=AD$4,$I159&gt;AC$4),(AD$4-$I159+1)/365.25,IF($I159&gt;AD$4,0,AD$64))</f>
        <v/>
      </c>
      <c r="AE161" s="144">
        <f>IF(AND($I159&lt;=AE$4,$I159&gt;AD$4),(AE$4-$I159+1)/365.25,IF($I159&gt;AE$4,0,AE$64))</f>
        <v/>
      </c>
      <c r="AF161" s="144">
        <f>IF(AND($I159&lt;=AF$4,$I159&gt;AE$4),(AF$4-$I159+1)/365.25,IF($I159&gt;AF$4,0,AF$64))</f>
        <v/>
      </c>
      <c r="AG161" s="144">
        <f>IF(AND($I159&lt;=AG$4,$I159&gt;AF$4),(AG$4-$I159+1)/365.25,IF($I159&gt;AG$4,0,AG$64))</f>
        <v/>
      </c>
      <c r="AH161" s="144">
        <f>IF(AND($I159&lt;=AH$4,$I159&gt;AG$4),(AH$4-$I159+1)/365.25,IF($I159&gt;AH$4,0,AH$64))</f>
        <v/>
      </c>
      <c r="AI161" s="144">
        <f>IF(AND($I159&lt;=AI$4,$I159&gt;AH$4),(AI$4-$I159+1)/365.25,IF($I159&gt;AI$4,0,AI$64))</f>
        <v/>
      </c>
      <c r="AJ161" s="144">
        <f>IF(AND($I159&lt;=AJ$4,$I159&gt;AI$4),(AJ$4-$I159+1)/365.25,IF($I159&gt;AJ$4,0,AJ$64))</f>
        <v/>
      </c>
      <c r="AK161" s="144">
        <f>IF(AND($I159&lt;=AK$4,$I159&gt;AJ$4),(AK$4-$I159+1)/365.25,IF($I159&gt;AK$4,0,AK$64))</f>
        <v/>
      </c>
      <c r="AL161" s="144">
        <f>IF(AND($I159&lt;=AL$4,$I159&gt;AK$4),(AL$4-$I159+1)/365.25,IF($I159&gt;AL$4,0,AL$64))</f>
        <v/>
      </c>
      <c r="AM161" s="144">
        <f>IF(AND($I159&lt;=AM$4,$I159&gt;AL$4),(AM$4-$I159+1)/365.25,IF($I159&gt;AM$4,0,AM$64))</f>
        <v/>
      </c>
      <c r="AN161" s="144">
        <f>IF(AND($I159&lt;=AN$4,$I159&gt;AM$4),(AN$4-$I159+1)/365.25,IF($I159&gt;AN$4,0,AN$64))</f>
        <v/>
      </c>
      <c r="AO161" s="144">
        <f>IF(AND($I159&lt;=AO$4,$I159&gt;AN$4),(AO$4-$I159+1)/365.25,IF($I159&gt;AO$4,0,AO$64))</f>
        <v/>
      </c>
      <c r="AP161" s="144">
        <f>IF(AND($I159&lt;=AP$4,$I159&gt;AO$4),(AP$4-$I159+1)/365.25,IF($I159&gt;AP$4,0,AP$64))</f>
        <v/>
      </c>
      <c r="AQ161" s="144">
        <f>IF(AND($I159&lt;=AQ$4,$I159&gt;AP$4),(AQ$4-$I159+1)/365.25,IF($I159&gt;AQ$4,0,AQ$64))</f>
        <v/>
      </c>
      <c r="AR161" s="144">
        <f>IF(AND($I159&lt;=AR$4,$I159&gt;AQ$4),(AR$4-$I159+1)/365.25,IF($I159&gt;AR$4,0,AR$64))</f>
        <v/>
      </c>
      <c r="AS161" s="144">
        <f>IF(AND($I159&lt;=AS$4,$I159&gt;AR$4),(AS$4-$I159+1)/365.25,IF($I159&gt;AS$4,0,AS$64))</f>
        <v/>
      </c>
      <c r="AT161" s="144">
        <f>IF(AND($I159&lt;=AT$4,$I159&gt;AS$4),(AT$4-$I159+1)/365.25,IF($I159&gt;AT$4,0,AT$64))</f>
        <v/>
      </c>
      <c r="AU161" s="144">
        <f>IF(AND($I159&lt;=AU$4,$I159&gt;AT$4),(AU$4-$I159+1)/365.25,IF($I159&gt;AU$4,0,AU$64))</f>
        <v/>
      </c>
      <c r="AV161" s="144">
        <f>IF(AND($I159&lt;=AV$4,$I159&gt;AU$4),(AV$4-$I159+1)/365.25,IF($I159&gt;AV$4,0,AV$64))</f>
        <v/>
      </c>
      <c r="AW161" s="144">
        <f>IF(AND($I159&lt;=AW$4,$I159&gt;AV$4),(AW$4-$I159+1)/365.25,IF($I159&gt;AW$4,0,AW$64))</f>
        <v/>
      </c>
      <c r="AX161" s="144">
        <f>IF(AND($I159&lt;=AX$4,$I159&gt;AW$4),(AX$4-$I159+1)/365.25,IF($I159&gt;AX$4,0,AX$64))</f>
        <v/>
      </c>
      <c r="AY161" s="144">
        <f>IF(AND($I159&lt;=AY$4,$I159&gt;AX$4),(AY$4-$I159+1)/365.25,IF($I159&gt;AY$4,0,AY$64))</f>
        <v/>
      </c>
      <c r="AZ161" s="144">
        <f>IF(AND($I159&lt;=AZ$4,$I159&gt;AY$4),(AZ$4-$I159+1)/365.25,IF($I159&gt;AZ$4,0,AZ$64))</f>
        <v/>
      </c>
      <c r="BA161" s="144">
        <f>IF(AND($I159&lt;=BA$4,$I159&gt;AZ$4),(BA$4-$I159+1)/365.25,IF($I159&gt;BA$4,0,BA$64))</f>
        <v/>
      </c>
      <c r="BB161" s="144">
        <f>IF(AND($I159&lt;=BB$4,$I159&gt;BA$4),(BB$4-$I159+1)/365.25,IF($I159&gt;BB$4,0,BB$64))</f>
        <v/>
      </c>
    </row>
    <row r="162" ht="15" customHeight="1">
      <c r="E162" s="21" t="inlineStr">
        <is>
          <t>ORA Floor effective flag</t>
        </is>
      </c>
      <c r="G162" s="21" t="inlineStr">
        <is>
          <t>flag</t>
        </is>
      </c>
      <c r="O162" s="45">
        <f>IF(AND($I159&lt;=O$4,$I159&gt;N$4),(O$4-$I159+1)/365.25,IF($I159&gt;O$4,0,O$72))</f>
        <v/>
      </c>
      <c r="P162" s="144">
        <f>IF(AND($I159&lt;=P$4,$I159&gt;O$4),(P$4-$I159+1)/365.25,IF($I159&gt;P$4,0,P$72))</f>
        <v/>
      </c>
      <c r="Q162" s="144">
        <f>IF(AND($I159&lt;=Q$4,$I159&gt;P$4),(Q$4-$I159+1)/365.25,IF($I159&gt;Q$4,0,Q$72))</f>
        <v/>
      </c>
      <c r="R162" s="144">
        <f>IF(AND($I159&lt;=R$4,$I159&gt;Q$4),(R$4-$I159+1)/365.25,IF($I159&gt;R$4,0,R$72))</f>
        <v/>
      </c>
      <c r="S162" s="144">
        <f>IF(AND($I159&lt;=S$4,$I159&gt;R$4),(S$4-$I159+1)/365.25,IF($I159&gt;S$4,0,S$72))</f>
        <v/>
      </c>
      <c r="T162" s="144">
        <f>IF(AND($I159&lt;=T$4,$I159&gt;S$4),(T$4-$I159+1)/365.25,IF($I159&gt;T$4,0,T$72))</f>
        <v/>
      </c>
      <c r="U162" s="144">
        <f>IF(AND($I159&lt;=U$4,$I159&gt;T$4),(U$4-$I159+1)/365.25,IF($I159&gt;U$4,0,U$72))</f>
        <v/>
      </c>
      <c r="V162" s="144">
        <f>IF(AND($I159&lt;=V$4,$I159&gt;U$4),(V$4-$I159+1)/365.25,IF($I159&gt;V$4,0,V$72))</f>
        <v/>
      </c>
      <c r="W162" s="144">
        <f>IF(AND($I159&lt;=W$4,$I159&gt;V$4),(W$4-$I159+1)/365.25,IF($I159&gt;W$4,0,W$72))</f>
        <v/>
      </c>
      <c r="X162" s="144">
        <f>IF(AND($I159&lt;=X$4,$I159&gt;W$4),(X$4-$I159+1)/365.25,IF($I159&gt;X$4,0,X$72))</f>
        <v/>
      </c>
      <c r="Y162" s="144">
        <f>IF(AND($I159&lt;=Y$4,$I159&gt;X$4),(Y$4-$I159+1)/365.25,IF($I159&gt;Y$4,0,Y$72))</f>
        <v/>
      </c>
      <c r="Z162" s="144">
        <f>IF(AND($I159&lt;=Z$4,$I159&gt;Y$4),(Z$4-$I159+1)/365.25,IF($I159&gt;Z$4,0,Z$72))</f>
        <v/>
      </c>
      <c r="AA162" s="144">
        <f>IF(AND($I159&lt;=AA$4,$I159&gt;Z$4),(AA$4-$I159+1)/365.25,IF($I159&gt;AA$4,0,AA$72))</f>
        <v/>
      </c>
      <c r="AB162" s="144">
        <f>IF(AND($I159&lt;=AB$4,$I159&gt;AA$4),(AB$4-$I159+1)/365.25,IF($I159&gt;AB$4,0,AB$72))</f>
        <v/>
      </c>
      <c r="AC162" s="144">
        <f>IF(AND($I159&lt;=AC$4,$I159&gt;AB$4),(AC$4-$I159+1)/365.25,IF($I159&gt;AC$4,0,AC$72))</f>
        <v/>
      </c>
      <c r="AD162" s="144">
        <f>IF(AND($I159&lt;=AD$4,$I159&gt;AC$4),(AD$4-$I159+1)/365.25,IF($I159&gt;AD$4,0,AD$72))</f>
        <v/>
      </c>
      <c r="AE162" s="144">
        <f>IF(AND($I159&lt;=AE$4,$I159&gt;AD$4),(AE$4-$I159+1)/365.25,IF($I159&gt;AE$4,0,AE$72))</f>
        <v/>
      </c>
      <c r="AF162" s="144">
        <f>IF(AND($I159&lt;=AF$4,$I159&gt;AE$4),(AF$4-$I159+1)/365.25,IF($I159&gt;AF$4,0,AF$72))</f>
        <v/>
      </c>
      <c r="AG162" s="144">
        <f>IF(AND($I159&lt;=AG$4,$I159&gt;AF$4),(AG$4-$I159+1)/365.25,IF($I159&gt;AG$4,0,AG$72))</f>
        <v/>
      </c>
      <c r="AH162" s="144">
        <f>IF(AND($I159&lt;=AH$4,$I159&gt;AG$4),(AH$4-$I159+1)/365.25,IF($I159&gt;AH$4,0,AH$72))</f>
        <v/>
      </c>
      <c r="AI162" s="144">
        <f>IF(AND($I159&lt;=AI$4,$I159&gt;AH$4),(AI$4-$I159+1)/365.25,IF($I159&gt;AI$4,0,AI$72))</f>
        <v/>
      </c>
      <c r="AJ162" s="144">
        <f>IF(AND($I159&lt;=AJ$4,$I159&gt;AI$4),(AJ$4-$I159+1)/365.25,IF($I159&gt;AJ$4,0,AJ$72))</f>
        <v/>
      </c>
      <c r="AK162" s="144">
        <f>IF(AND($I159&lt;=AK$4,$I159&gt;AJ$4),(AK$4-$I159+1)/365.25,IF($I159&gt;AK$4,0,AK$72))</f>
        <v/>
      </c>
      <c r="AL162" s="144">
        <f>IF(AND($I159&lt;=AL$4,$I159&gt;AK$4),(AL$4-$I159+1)/365.25,IF($I159&gt;AL$4,0,AL$72))</f>
        <v/>
      </c>
      <c r="AM162" s="144">
        <f>IF(AND($I159&lt;=AM$4,$I159&gt;AL$4),(AM$4-$I159+1)/365.25,IF($I159&gt;AM$4,0,AM$72))</f>
        <v/>
      </c>
      <c r="AN162" s="144">
        <f>IF(AND($I159&lt;=AN$4,$I159&gt;AM$4),(AN$4-$I159+1)/365.25,IF($I159&gt;AN$4,0,AN$72))</f>
        <v/>
      </c>
      <c r="AO162" s="144">
        <f>IF(AND($I159&lt;=AO$4,$I159&gt;AN$4),(AO$4-$I159+1)/365.25,IF($I159&gt;AO$4,0,AO$72))</f>
        <v/>
      </c>
      <c r="AP162" s="144">
        <f>IF(AND($I159&lt;=AP$4,$I159&gt;AO$4),(AP$4-$I159+1)/365.25,IF($I159&gt;AP$4,0,AP$72))</f>
        <v/>
      </c>
      <c r="AQ162" s="144">
        <f>IF(AND($I159&lt;=AQ$4,$I159&gt;AP$4),(AQ$4-$I159+1)/365.25,IF($I159&gt;AQ$4,0,AQ$72))</f>
        <v/>
      </c>
      <c r="AR162" s="144">
        <f>IF(AND($I159&lt;=AR$4,$I159&gt;AQ$4),(AR$4-$I159+1)/365.25,IF($I159&gt;AR$4,0,AR$72))</f>
        <v/>
      </c>
      <c r="AS162" s="144">
        <f>IF(AND($I159&lt;=AS$4,$I159&gt;AR$4),(AS$4-$I159+1)/365.25,IF($I159&gt;AS$4,0,AS$72))</f>
        <v/>
      </c>
      <c r="AT162" s="144">
        <f>IF(AND($I159&lt;=AT$4,$I159&gt;AS$4),(AT$4-$I159+1)/365.25,IF($I159&gt;AT$4,0,AT$72))</f>
        <v/>
      </c>
      <c r="AU162" s="144">
        <f>IF(AND($I159&lt;=AU$4,$I159&gt;AT$4),(AU$4-$I159+1)/365.25,IF($I159&gt;AU$4,0,AU$72))</f>
        <v/>
      </c>
      <c r="AV162" s="144">
        <f>IF(AND($I159&lt;=AV$4,$I159&gt;AU$4),(AV$4-$I159+1)/365.25,IF($I159&gt;AV$4,0,AV$72))</f>
        <v/>
      </c>
      <c r="AW162" s="144">
        <f>IF(AND($I159&lt;=AW$4,$I159&gt;AV$4),(AW$4-$I159+1)/365.25,IF($I159&gt;AW$4,0,AW$72))</f>
        <v/>
      </c>
      <c r="AX162" s="144">
        <f>IF(AND($I159&lt;=AX$4,$I159&gt;AW$4),(AX$4-$I159+1)/365.25,IF($I159&gt;AX$4,0,AX$72))</f>
        <v/>
      </c>
      <c r="AY162" s="144">
        <f>IF(AND($I159&lt;=AY$4,$I159&gt;AX$4),(AY$4-$I159+1)/365.25,IF($I159&gt;AY$4,0,AY$72))</f>
        <v/>
      </c>
      <c r="AZ162" s="144">
        <f>IF(AND($I159&lt;=AZ$4,$I159&gt;AY$4),(AZ$4-$I159+1)/365.25,IF($I159&gt;AZ$4,0,AZ$72))</f>
        <v/>
      </c>
      <c r="BA162" s="144">
        <f>IF(AND($I159&lt;=BA$4,$I159&gt;AZ$4),(BA$4-$I159+1)/365.25,IF($I159&gt;BA$4,0,BA$72))</f>
        <v/>
      </c>
      <c r="BB162" s="144">
        <f>IF(AND($I159&lt;=BB$4,$I159&gt;BA$4),(BB$4-$I159+1)/365.25,IF($I159&gt;BB$4,0,BB$72))</f>
        <v/>
      </c>
    </row>
    <row r="163" ht="15" customHeight="1">
      <c r="O163" s="45" t="n"/>
      <c r="P163" s="45" t="n"/>
      <c r="Q163" s="45" t="n"/>
      <c r="R163" s="45" t="n"/>
      <c r="S163" s="45" t="n"/>
      <c r="T163" s="45" t="n"/>
      <c r="U163" s="45" t="n"/>
      <c r="V163" s="45" t="n"/>
      <c r="W163" s="45" t="n"/>
      <c r="X163" s="45" t="n"/>
      <c r="Y163" s="45" t="n"/>
      <c r="Z163" s="45" t="n"/>
      <c r="AA163" s="45" t="n"/>
      <c r="AB163" s="45" t="n"/>
      <c r="AC163" s="45" t="n"/>
      <c r="AD163" s="45" t="n"/>
      <c r="AE163" s="45" t="n"/>
      <c r="AF163" s="45" t="n"/>
      <c r="AG163" s="45" t="n"/>
      <c r="AH163" s="45" t="n"/>
      <c r="AI163" s="45" t="n"/>
      <c r="AJ163" s="45" t="n"/>
      <c r="AK163" s="45" t="n"/>
      <c r="AL163" s="45" t="n"/>
      <c r="AM163" s="45" t="n"/>
      <c r="AN163" s="45" t="n"/>
      <c r="AO163" s="45" t="n"/>
      <c r="AP163" s="45" t="n"/>
      <c r="AQ163" s="45" t="n"/>
      <c r="AR163" s="45" t="n"/>
      <c r="AS163" s="45" t="n"/>
      <c r="AT163" s="45" t="n"/>
      <c r="AU163" s="45" t="n"/>
      <c r="AV163" s="45" t="n"/>
      <c r="AW163" s="45" t="n"/>
      <c r="AX163" s="45" t="n"/>
      <c r="AY163" s="45" t="n"/>
      <c r="AZ163" s="45" t="n"/>
      <c r="BA163" s="45" t="n"/>
      <c r="BB163" s="45" t="n"/>
    </row>
    <row r="164" ht="15" customHeight="1">
      <c r="E164" s="21" t="inlineStr">
        <is>
          <t>Revised controllable Opex at date of ORA submission</t>
        </is>
      </c>
      <c r="G164" s="5">
        <f>base_year</f>
        <v/>
      </c>
      <c r="O164" s="92" t="n"/>
      <c r="P164" s="146" t="n">
        <v>20</v>
      </c>
      <c r="Q164" s="146" t="n">
        <v>20</v>
      </c>
      <c r="R164" s="146" t="n">
        <v>20</v>
      </c>
      <c r="S164" s="146" t="n">
        <v>20</v>
      </c>
      <c r="T164" s="146" t="n">
        <v>20</v>
      </c>
      <c r="U164" s="146" t="n">
        <v>20</v>
      </c>
      <c r="V164" s="146" t="n">
        <v>20</v>
      </c>
      <c r="W164" s="146" t="n">
        <v>20</v>
      </c>
      <c r="X164" s="146" t="n">
        <v>20</v>
      </c>
      <c r="Y164" s="146" t="n">
        <v>20</v>
      </c>
      <c r="Z164" s="146" t="n">
        <v>20</v>
      </c>
      <c r="AA164" s="146" t="n">
        <v>20</v>
      </c>
      <c r="AB164" s="146" t="n">
        <v>20</v>
      </c>
      <c r="AC164" s="146" t="n">
        <v>20</v>
      </c>
      <c r="AD164" s="146" t="n">
        <v>20</v>
      </c>
      <c r="AE164" s="146" t="n">
        <v>20</v>
      </c>
      <c r="AF164" s="146" t="n">
        <v>20</v>
      </c>
      <c r="AG164" s="146" t="n">
        <v>20</v>
      </c>
      <c r="AH164" s="146" t="n">
        <v>20</v>
      </c>
      <c r="AI164" s="146" t="n">
        <v>20</v>
      </c>
      <c r="AJ164" s="146" t="n">
        <v>20</v>
      </c>
      <c r="AK164" s="146" t="n">
        <v>20</v>
      </c>
      <c r="AL164" s="146" t="n">
        <v>20</v>
      </c>
      <c r="AM164" s="146" t="n">
        <v>20</v>
      </c>
      <c r="AN164" s="146" t="n">
        <v>20</v>
      </c>
      <c r="AO164" s="146" t="n">
        <v>0</v>
      </c>
      <c r="AP164" s="146" t="n">
        <v>0</v>
      </c>
      <c r="AQ164" s="146" t="n">
        <v>0</v>
      </c>
      <c r="AR164" s="146" t="n">
        <v>0</v>
      </c>
      <c r="AS164" s="146" t="n">
        <v>0</v>
      </c>
      <c r="AT164" s="146" t="n">
        <v>0</v>
      </c>
      <c r="AU164" s="146" t="n">
        <v>0</v>
      </c>
      <c r="AV164" s="146" t="n">
        <v>0</v>
      </c>
      <c r="AW164" s="146" t="n">
        <v>0</v>
      </c>
      <c r="AX164" s="146" t="n">
        <v>0</v>
      </c>
      <c r="AY164" s="146" t="n">
        <v>0</v>
      </c>
      <c r="AZ164" s="146" t="n">
        <v>0</v>
      </c>
      <c r="BA164" s="146" t="n">
        <v>0</v>
      </c>
      <c r="BB164" s="146" t="n">
        <v>0</v>
      </c>
    </row>
    <row r="165" ht="15" customHeight="1">
      <c r="O165" s="45" t="n"/>
      <c r="P165" s="45" t="n"/>
      <c r="Q165" s="45" t="n"/>
      <c r="R165" s="45" t="n"/>
      <c r="S165" s="45" t="n"/>
      <c r="T165" s="45" t="n"/>
      <c r="U165" s="45" t="n"/>
      <c r="V165" s="45" t="n"/>
      <c r="W165" s="45" t="n"/>
      <c r="X165" s="45" t="n"/>
      <c r="Y165" s="45" t="n"/>
      <c r="Z165" s="45" t="n"/>
      <c r="AA165" s="45" t="n"/>
      <c r="AB165" s="45" t="n"/>
      <c r="AC165" s="45" t="n"/>
      <c r="AD165" s="45" t="n"/>
      <c r="AE165" s="45" t="n"/>
      <c r="AF165" s="45" t="n"/>
      <c r="AG165" s="45" t="n"/>
      <c r="AH165" s="45" t="n"/>
      <c r="AI165" s="45" t="n"/>
      <c r="AJ165" s="45" t="n"/>
      <c r="AK165" s="45" t="n"/>
      <c r="AL165" s="45" t="n"/>
      <c r="AM165" s="45" t="n"/>
      <c r="AN165" s="45" t="n"/>
      <c r="AO165" s="45" t="n"/>
      <c r="AP165" s="45" t="n"/>
      <c r="AQ165" s="45" t="n"/>
      <c r="AR165" s="45" t="n"/>
      <c r="AS165" s="45" t="n"/>
      <c r="AT165" s="45" t="n"/>
      <c r="AU165" s="45" t="n"/>
      <c r="AV165" s="45" t="n"/>
      <c r="AW165" s="45" t="n"/>
      <c r="AX165" s="45" t="n"/>
      <c r="AY165" s="45" t="n"/>
      <c r="AZ165" s="45" t="n"/>
      <c r="BA165" s="45" t="n"/>
      <c r="BB165" s="45" t="n"/>
    </row>
    <row r="166" ht="15" customHeight="1">
      <c r="E166" s="21" t="inlineStr">
        <is>
          <t>Amendment to Cap rate (to be hard-coded in this cell once ORAC adjustment finalised)</t>
        </is>
      </c>
      <c r="G166" s="5">
        <f>base_year</f>
        <v/>
      </c>
      <c r="H166" s="21" t="inlineStr">
        <is>
          <t>ORAC</t>
        </is>
      </c>
      <c r="I166" s="149">
        <f>'ORA Adjustment'!I27</f>
        <v/>
      </c>
      <c r="O166" s="45" t="n"/>
      <c r="P166" s="45" t="n"/>
      <c r="Q166" s="45" t="n"/>
      <c r="R166" s="45" t="n"/>
      <c r="S166" s="45" t="n"/>
      <c r="T166" s="45" t="n"/>
      <c r="U166" s="45" t="n"/>
      <c r="V166" s="45" t="n"/>
      <c r="W166" s="45" t="n"/>
      <c r="X166" s="45" t="n"/>
      <c r="Y166" s="45" t="n"/>
      <c r="Z166" s="45" t="n"/>
      <c r="AA166" s="45" t="n"/>
      <c r="AB166" s="45" t="n"/>
      <c r="AC166" s="45" t="n"/>
      <c r="AD166" s="45" t="n"/>
      <c r="AE166" s="45" t="n"/>
      <c r="AF166" s="45" t="n"/>
      <c r="AG166" s="45" t="n"/>
      <c r="AH166" s="45" t="n"/>
      <c r="AI166" s="45" t="n"/>
      <c r="AJ166" s="45" t="n"/>
      <c r="AK166" s="45" t="n"/>
      <c r="AL166" s="45" t="n"/>
      <c r="AM166" s="45" t="n"/>
      <c r="AN166" s="45" t="n"/>
      <c r="AO166" s="45" t="n"/>
      <c r="AP166" s="45" t="n"/>
      <c r="AQ166" s="45" t="n"/>
      <c r="AR166" s="45" t="n"/>
      <c r="AS166" s="45" t="n"/>
      <c r="AT166" s="45" t="n"/>
      <c r="AU166" s="45" t="n"/>
      <c r="AV166" s="45" t="n"/>
      <c r="AW166" s="45" t="n"/>
      <c r="AX166" s="45" t="n"/>
      <c r="AY166" s="45" t="n"/>
      <c r="AZ166" s="45" t="n"/>
      <c r="BA166" s="45" t="n"/>
      <c r="BB166" s="45" t="n"/>
    </row>
    <row r="167" ht="15" customHeight="1">
      <c r="E167" s="21" t="inlineStr">
        <is>
          <t>Amendment to Floor rate (to be hard-coded in this cell once ORAF adjustment finalised)</t>
        </is>
      </c>
      <c r="G167" s="5">
        <f>base_year</f>
        <v/>
      </c>
      <c r="H167" s="21" t="inlineStr">
        <is>
          <t>ORAF</t>
        </is>
      </c>
      <c r="I167" s="149">
        <f>'ORA Adjustment'!I37</f>
        <v/>
      </c>
      <c r="O167" s="45" t="n"/>
      <c r="P167" s="45" t="n"/>
      <c r="Q167" s="45" t="n"/>
      <c r="R167" s="45" t="n"/>
      <c r="S167" s="45" t="n"/>
      <c r="T167" s="45" t="n"/>
      <c r="U167" s="45" t="n"/>
      <c r="V167" s="45" t="n"/>
      <c r="W167" s="45" t="n"/>
      <c r="X167" s="45" t="n"/>
      <c r="Y167" s="45" t="n"/>
      <c r="Z167" s="45" t="n"/>
      <c r="AA167" s="45" t="n"/>
      <c r="AB167" s="45" t="n"/>
      <c r="AC167" s="45" t="n"/>
      <c r="AD167" s="45" t="n"/>
      <c r="AE167" s="45" t="n"/>
      <c r="AF167" s="45" t="n"/>
      <c r="AG167" s="45" t="n"/>
      <c r="AH167" s="45" t="n"/>
      <c r="AI167" s="45" t="n"/>
      <c r="AJ167" s="45" t="n"/>
      <c r="AK167" s="45" t="n"/>
      <c r="AL167" s="45" t="n"/>
      <c r="AM167" s="45" t="n"/>
      <c r="AN167" s="45" t="n"/>
      <c r="AO167" s="45" t="n"/>
      <c r="AP167" s="45" t="n"/>
      <c r="AQ167" s="45" t="n"/>
      <c r="AR167" s="45" t="n"/>
      <c r="AS167" s="45" t="n"/>
      <c r="AT167" s="45" t="n"/>
      <c r="AU167" s="45" t="n"/>
      <c r="AV167" s="45" t="n"/>
      <c r="AW167" s="45" t="n"/>
      <c r="AX167" s="45" t="n"/>
      <c r="AY167" s="45" t="n"/>
      <c r="AZ167" s="45" t="n"/>
      <c r="BA167" s="45" t="n"/>
      <c r="BB167" s="45" t="n"/>
    </row>
    <row r="168" ht="15" customHeight="1"/>
    <row r="169" ht="15" customFormat="1" customHeight="1" s="5">
      <c r="C169" s="40" t="inlineStr">
        <is>
          <t>DC adjustments</t>
        </is>
      </c>
      <c r="D169" s="40" t="n"/>
      <c r="E169" s="40" t="n"/>
      <c r="F169" s="40" t="n"/>
      <c r="G169" s="40" t="n"/>
      <c r="H169" s="40" t="n"/>
      <c r="I169" s="40" t="n"/>
      <c r="J169" s="40" t="n"/>
      <c r="K169" s="40" t="n"/>
      <c r="L169" s="40" t="n"/>
      <c r="M169" s="40" t="n"/>
      <c r="N169" s="40" t="n"/>
      <c r="O169" s="40" t="n"/>
      <c r="P169" s="40" t="n"/>
      <c r="Q169" s="40" t="n"/>
      <c r="R169" s="40" t="n"/>
      <c r="S169" s="40" t="n"/>
      <c r="T169" s="40" t="n"/>
      <c r="U169" s="40" t="n"/>
      <c r="V169" s="40" t="n"/>
      <c r="W169" s="40" t="n"/>
      <c r="X169" s="40" t="n"/>
      <c r="Y169" s="40" t="n"/>
      <c r="Z169" s="40" t="n"/>
      <c r="AA169" s="40" t="n"/>
      <c r="AB169" s="40" t="n"/>
      <c r="AC169" s="40" t="n"/>
      <c r="AD169" s="40" t="n"/>
      <c r="AE169" s="40" t="n"/>
      <c r="AF169" s="40" t="n"/>
      <c r="AG169" s="40" t="n"/>
      <c r="AH169" s="40" t="n"/>
      <c r="AI169" s="40" t="n"/>
      <c r="AJ169" s="40" t="n"/>
      <c r="AK169" s="40" t="n"/>
      <c r="AL169" s="40" t="n"/>
      <c r="AM169" s="40" t="n"/>
      <c r="AN169" s="40" t="n"/>
      <c r="AO169" s="40" t="n"/>
      <c r="AP169" s="40" t="n"/>
      <c r="AQ169" s="40" t="n"/>
      <c r="AR169" s="40" t="n"/>
      <c r="AS169" s="40" t="n"/>
      <c r="AT169" s="40" t="n"/>
      <c r="AU169" s="40" t="n"/>
      <c r="AV169" s="40" t="n"/>
      <c r="AW169" s="40" t="n"/>
      <c r="AX169" s="40" t="n"/>
      <c r="AY169" s="40" t="n"/>
      <c r="AZ169" s="40" t="n"/>
      <c r="BA169" s="40" t="n"/>
      <c r="BB169" s="40" t="n"/>
    </row>
    <row r="170" ht="15" customHeight="1"/>
    <row r="171" ht="15" customHeight="1">
      <c r="E171" s="21" t="inlineStr">
        <is>
          <t>Apply DC adjustment factor?</t>
        </is>
      </c>
      <c r="G171" s="21" t="inlineStr">
        <is>
          <t>switch</t>
        </is>
      </c>
      <c r="I171" s="143" t="inlineStr">
        <is>
          <t>Yes</t>
        </is>
      </c>
    </row>
    <row r="172" ht="15" customHeight="1">
      <c r="I172" s="56" t="n"/>
    </row>
    <row r="173" ht="15" customFormat="1" customHeight="1" s="5">
      <c r="D173" s="40" t="inlineStr">
        <is>
          <t>Current DC adjustment</t>
        </is>
      </c>
      <c r="E173" s="40" t="n"/>
      <c r="F173" s="40" t="n"/>
      <c r="G173" s="40" t="n"/>
      <c r="H173" s="40" t="n"/>
      <c r="I173" s="40" t="n"/>
      <c r="J173" s="40" t="n"/>
      <c r="K173" s="40" t="n"/>
      <c r="L173" s="40" t="n"/>
      <c r="M173" s="40" t="n"/>
      <c r="N173" s="40" t="n"/>
      <c r="O173" s="40" t="n"/>
      <c r="P173" s="40" t="n"/>
      <c r="Q173" s="40" t="n"/>
      <c r="R173" s="40" t="n"/>
      <c r="S173" s="40" t="n"/>
      <c r="T173" s="40" t="n"/>
      <c r="U173" s="40" t="n"/>
      <c r="V173" s="40" t="n"/>
      <c r="W173" s="40" t="n"/>
      <c r="X173" s="40" t="n"/>
      <c r="Y173" s="40" t="n"/>
      <c r="Z173" s="40" t="n"/>
      <c r="AA173" s="40" t="n"/>
      <c r="AB173" s="40" t="n"/>
      <c r="AC173" s="40" t="n"/>
      <c r="AD173" s="40" t="n"/>
      <c r="AE173" s="40" t="n"/>
      <c r="AF173" s="40" t="n"/>
      <c r="AG173" s="40" t="n"/>
      <c r="AH173" s="40" t="n"/>
      <c r="AI173" s="40" t="n"/>
      <c r="AJ173" s="40" t="n"/>
      <c r="AK173" s="40" t="n"/>
      <c r="AL173" s="40" t="n"/>
      <c r="AM173" s="40" t="n"/>
      <c r="AN173" s="40" t="n"/>
      <c r="AO173" s="40" t="n"/>
      <c r="AP173" s="40" t="n"/>
      <c r="AQ173" s="40" t="n"/>
      <c r="AR173" s="40" t="n"/>
      <c r="AS173" s="40" t="n"/>
      <c r="AT173" s="40" t="n"/>
      <c r="AU173" s="40" t="n"/>
      <c r="AV173" s="40" t="n"/>
      <c r="AW173" s="40" t="n"/>
      <c r="AX173" s="40" t="n"/>
      <c r="AY173" s="40" t="n"/>
      <c r="AZ173" s="40" t="n"/>
      <c r="BA173" s="40" t="n"/>
      <c r="BB173" s="40" t="n"/>
    </row>
    <row r="174" ht="15" customFormat="1" customHeight="1" s="5"/>
    <row r="175" ht="15" customHeight="1">
      <c r="E175" s="21" t="inlineStr">
        <is>
          <t>Current DC start date</t>
        </is>
      </c>
      <c r="G175" s="21" t="inlineStr">
        <is>
          <t>date</t>
        </is>
      </c>
      <c r="I175" s="50" t="n">
        <v>51653</v>
      </c>
    </row>
    <row r="176" ht="15" customHeight="1">
      <c r="E176" s="21" t="inlineStr">
        <is>
          <t>Current DC Cap and Floor effective flag</t>
        </is>
      </c>
      <c r="G176" s="21" t="inlineStr">
        <is>
          <t>flag</t>
        </is>
      </c>
      <c r="O176" s="93" t="n"/>
      <c r="P176" s="147">
        <f>IF(AND($I175&lt;=P$4,$I175&gt;O$4),(P$4-$I175+1)/365.25,IF($I175&gt;P$4,0,P$64))</f>
        <v/>
      </c>
      <c r="Q176" s="147">
        <f>IF(AND($I175&lt;=Q$4,$I175&gt;P$4),(Q$4-$I175+1)/365.25,IF($I175&gt;Q$4,0,Q$64))</f>
        <v/>
      </c>
      <c r="R176" s="147">
        <f>IF(AND($I175&lt;=R$4,$I175&gt;Q$4),(R$4-$I175+1)/365.25,IF($I175&gt;R$4,0,R$64))</f>
        <v/>
      </c>
      <c r="S176" s="147">
        <f>IF(AND($I175&lt;=S$4,$I175&gt;R$4),(S$4-$I175+1)/365.25,IF($I175&gt;S$4,0,S$64))</f>
        <v/>
      </c>
      <c r="T176" s="147">
        <f>IF(AND($I175&lt;=T$4,$I175&gt;S$4),(T$4-$I175+1)/365.25,IF($I175&gt;T$4,0,T$64))</f>
        <v/>
      </c>
      <c r="U176" s="147">
        <f>IF(AND($I175&lt;=U$4,$I175&gt;T$4),(U$4-$I175+1)/365.25,IF($I175&gt;U$4,0,U$64))</f>
        <v/>
      </c>
      <c r="V176" s="147">
        <f>IF(AND($I175&lt;=V$4,$I175&gt;U$4),(V$4-$I175+1)/365.25,IF($I175&gt;V$4,0,V$64))</f>
        <v/>
      </c>
      <c r="W176" s="147">
        <f>IF(AND($I175&lt;=W$4,$I175&gt;V$4),(W$4-$I175+1)/365.25,IF($I175&gt;W$4,0,W$64))</f>
        <v/>
      </c>
      <c r="X176" s="147">
        <f>IF(AND($I175&lt;=X$4,$I175&gt;W$4),(X$4-$I175+1)/365.25,IF($I175&gt;X$4,0,X$64))</f>
        <v/>
      </c>
      <c r="Y176" s="147">
        <f>IF(AND($I175&lt;=Y$4,$I175&gt;X$4),(Y$4-$I175+1)/365.25,IF($I175&gt;Y$4,0,Y$64))</f>
        <v/>
      </c>
      <c r="Z176" s="147">
        <f>IF(AND($I175&lt;=Z$4,$I175&gt;Y$4),(Z$4-$I175+1)/365.25,IF($I175&gt;Z$4,0,Z$64))</f>
        <v/>
      </c>
      <c r="AA176" s="147">
        <f>IF(AND($I175&lt;=AA$4,$I175&gt;Z$4),(AA$4-$I175+1)/365.25,IF($I175&gt;AA$4,0,AA$64))</f>
        <v/>
      </c>
      <c r="AB176" s="147">
        <f>IF(AND($I175&lt;=AB$4,$I175&gt;AA$4),(AB$4-$I175+1)/365.25,IF($I175&gt;AB$4,0,AB$64))</f>
        <v/>
      </c>
      <c r="AC176" s="147">
        <f>IF(AND($I175&lt;=AC$4,$I175&gt;AB$4),(AC$4-$I175+1)/365.25,IF($I175&gt;AC$4,0,AC$64))</f>
        <v/>
      </c>
      <c r="AD176" s="147">
        <f>IF(AND($I175&lt;=AD$4,$I175&gt;AC$4),(AD$4-$I175+1)/365.25,IF($I175&gt;AD$4,0,AD$64))</f>
        <v/>
      </c>
      <c r="AE176" s="147">
        <f>IF(AND($I175&lt;=AE$4,$I175&gt;AD$4),(AE$4-$I175+1)/365.25,IF($I175&gt;AE$4,0,AE$64))</f>
        <v/>
      </c>
      <c r="AF176" s="147">
        <f>IF(AND($I175&lt;=AF$4,$I175&gt;AE$4),(AF$4-$I175+1)/365.25,IF($I175&gt;AF$4,0,AF$64))</f>
        <v/>
      </c>
      <c r="AG176" s="147">
        <f>IF(AND($I175&lt;=AG$4,$I175&gt;AF$4),(AG$4-$I175+1)/365.25,IF($I175&gt;AG$4,0,AG$64))</f>
        <v/>
      </c>
      <c r="AH176" s="147">
        <f>IF(AND($I175&lt;=AH$4,$I175&gt;AG$4),(AH$4-$I175+1)/365.25,IF($I175&gt;AH$4,0,AH$64))</f>
        <v/>
      </c>
      <c r="AI176" s="147">
        <f>IF(AND($I175&lt;=AI$4,$I175&gt;AH$4),(AI$4-$I175+1)/365.25,IF($I175&gt;AI$4,0,AI$64))</f>
        <v/>
      </c>
      <c r="AJ176" s="147">
        <f>IF(AND($I175&lt;=AJ$4,$I175&gt;AI$4),(AJ$4-$I175+1)/365.25,IF($I175&gt;AJ$4,0,AJ$64))</f>
        <v/>
      </c>
      <c r="AK176" s="147">
        <f>IF(AND($I175&lt;=AK$4,$I175&gt;AJ$4),(AK$4-$I175+1)/365.25,IF($I175&gt;AK$4,0,AK$64))</f>
        <v/>
      </c>
      <c r="AL176" s="147">
        <f>IF(AND($I175&lt;=AL$4,$I175&gt;AK$4),(AL$4-$I175+1)/365.25,IF($I175&gt;AL$4,0,AL$64))</f>
        <v/>
      </c>
      <c r="AM176" s="147">
        <f>IF(AND($I175&lt;=AM$4,$I175&gt;AL$4),(AM$4-$I175+1)/365.25,IF($I175&gt;AM$4,0,AM$64))</f>
        <v/>
      </c>
      <c r="AN176" s="147">
        <f>IF(AND($I175&lt;=AN$4,$I175&gt;AM$4),(AN$4-$I175+1)/365.25,IF($I175&gt;AN$4,0,AN$64))</f>
        <v/>
      </c>
      <c r="AO176" s="147">
        <f>IF(AND($I175&lt;=AO$4,$I175&gt;AN$4),(AO$4-$I175+1)/365.25,IF($I175&gt;AO$4,0,AO$64))</f>
        <v/>
      </c>
      <c r="AP176" s="147">
        <f>IF(AND($I175&lt;=AP$4,$I175&gt;AO$4),(AP$4-$I175+1)/365.25,IF($I175&gt;AP$4,0,AP$64))</f>
        <v/>
      </c>
      <c r="AQ176" s="147">
        <f>IF(AND($I175&lt;=AQ$4,$I175&gt;AP$4),(AQ$4-$I175+1)/365.25,IF($I175&gt;AQ$4,0,AQ$64))</f>
        <v/>
      </c>
      <c r="AR176" s="147">
        <f>IF(AND($I175&lt;=AR$4,$I175&gt;AQ$4),(AR$4-$I175+1)/365.25,IF($I175&gt;AR$4,0,AR$64))</f>
        <v/>
      </c>
      <c r="AS176" s="147">
        <f>IF(AND($I175&lt;=AS$4,$I175&gt;AR$4),(AS$4-$I175+1)/365.25,IF($I175&gt;AS$4,0,AS$64))</f>
        <v/>
      </c>
      <c r="AT176" s="147">
        <f>IF(AND($I175&lt;=AT$4,$I175&gt;AS$4),(AT$4-$I175+1)/365.25,IF($I175&gt;AT$4,0,AT$64))</f>
        <v/>
      </c>
      <c r="AU176" s="147">
        <f>IF(AND($I175&lt;=AU$4,$I175&gt;AT$4),(AU$4-$I175+1)/365.25,IF($I175&gt;AU$4,0,AU$64))</f>
        <v/>
      </c>
      <c r="AV176" s="147">
        <f>IF(AND($I175&lt;=AV$4,$I175&gt;AU$4),(AV$4-$I175+1)/365.25,IF($I175&gt;AV$4,0,AV$64))</f>
        <v/>
      </c>
      <c r="AW176" s="147">
        <f>IF(AND($I175&lt;=AW$4,$I175&gt;AV$4),(AW$4-$I175+1)/365.25,IF($I175&gt;AW$4,0,AW$64))</f>
        <v/>
      </c>
      <c r="AX176" s="147">
        <f>IF(AND($I175&lt;=AX$4,$I175&gt;AW$4),(AX$4-$I175+1)/365.25,IF($I175&gt;AX$4,0,AX$64))</f>
        <v/>
      </c>
      <c r="AY176" s="147">
        <f>IF(AND($I175&lt;=AY$4,$I175&gt;AX$4),(AY$4-$I175+1)/365.25,IF($I175&gt;AY$4,0,AY$64))</f>
        <v/>
      </c>
      <c r="AZ176" s="147">
        <f>IF(AND($I175&lt;=AZ$4,$I175&gt;AY$4),(AZ$4-$I175+1)/365.25,IF($I175&gt;AZ$4,0,AZ$64))</f>
        <v/>
      </c>
      <c r="BA176" s="147">
        <f>IF(AND($I175&lt;=BA$4,$I175&gt;AZ$4),(BA$4-$I175+1)/365.25,IF($I175&gt;BA$4,0,BA$64))</f>
        <v/>
      </c>
      <c r="BB176" s="147">
        <f>IF(AND($I175&lt;=BB$4,$I175&gt;BA$4),(BB$4-$I175+1)/365.25,IF($I175&gt;BB$4,0,BB$64))</f>
        <v/>
      </c>
    </row>
    <row r="177" ht="15" customHeight="1">
      <c r="I177" s="56" t="n"/>
      <c r="O177" s="37" t="n"/>
      <c r="P177" s="37" t="n"/>
      <c r="Q177" s="37" t="n"/>
      <c r="R177" s="37" t="n"/>
      <c r="S177" s="37" t="n"/>
      <c r="T177" s="37" t="n"/>
      <c r="U177" s="37" t="n"/>
      <c r="V177" s="37" t="n"/>
      <c r="W177" s="37" t="n"/>
      <c r="X177" s="37" t="n"/>
      <c r="Y177" s="37" t="n"/>
      <c r="Z177" s="37" t="n"/>
      <c r="AA177" s="37" t="n"/>
      <c r="AB177" s="37" t="n"/>
      <c r="AC177" s="37" t="n"/>
      <c r="AD177" s="37" t="n"/>
      <c r="AE177" s="37" t="n"/>
      <c r="AF177" s="37" t="n"/>
      <c r="AG177" s="37" t="n"/>
      <c r="AH177" s="37" t="n"/>
      <c r="AI177" s="37" t="n"/>
      <c r="AJ177" s="37" t="n"/>
      <c r="AK177" s="37" t="n"/>
      <c r="AL177" s="37" t="n"/>
      <c r="AM177" s="37" t="n"/>
      <c r="AN177" s="37" t="n"/>
      <c r="AO177" s="37" t="n"/>
      <c r="AP177" s="37" t="n"/>
      <c r="AQ177" s="37" t="n"/>
      <c r="AR177" s="37" t="n"/>
      <c r="AS177" s="37" t="n"/>
      <c r="AT177" s="37" t="n"/>
      <c r="AU177" s="37" t="n"/>
      <c r="AV177" s="37" t="n"/>
      <c r="AW177" s="37" t="n"/>
      <c r="AX177" s="37" t="n"/>
      <c r="AY177" s="37" t="n"/>
      <c r="AZ177" s="37" t="n"/>
      <c r="BA177" s="37" t="n"/>
      <c r="BB177" s="37" t="n"/>
    </row>
    <row r="178" ht="13" customHeight="1">
      <c r="E178" s="47" t="inlineStr">
        <is>
          <t>Decommissioning Costs (latest view at submission of DCt adjustment)</t>
        </is>
      </c>
      <c r="G178" s="5">
        <f>base_year</f>
        <v/>
      </c>
      <c r="O178" s="93" t="n"/>
      <c r="P178" s="148" t="n">
        <v>0.01</v>
      </c>
      <c r="Q178" s="148" t="n">
        <v>0.01</v>
      </c>
      <c r="R178" s="148" t="n">
        <v>0.01</v>
      </c>
      <c r="S178" s="148" t="n">
        <v>0.01</v>
      </c>
      <c r="T178" s="148" t="n">
        <v>0.01</v>
      </c>
      <c r="U178" s="148" t="n">
        <v>0.01</v>
      </c>
      <c r="V178" s="148" t="n">
        <v>0.01</v>
      </c>
      <c r="W178" s="148" t="n">
        <v>0.01</v>
      </c>
      <c r="X178" s="148" t="n">
        <v>0.01</v>
      </c>
      <c r="Y178" s="148" t="n">
        <v>0.01</v>
      </c>
      <c r="Z178" s="148" t="n">
        <v>0.01</v>
      </c>
      <c r="AA178" s="148" t="n">
        <v>0.01</v>
      </c>
      <c r="AB178" s="148" t="n">
        <v>0.01</v>
      </c>
      <c r="AC178" s="148" t="n">
        <v>0.01</v>
      </c>
      <c r="AD178" s="148" t="n">
        <v>0.01</v>
      </c>
      <c r="AE178" s="148" t="n">
        <v>0.01</v>
      </c>
      <c r="AF178" s="148" t="n">
        <v>0.01</v>
      </c>
      <c r="AG178" s="148" t="n">
        <v>0.01</v>
      </c>
      <c r="AH178" s="148" t="n">
        <v>0.01</v>
      </c>
      <c r="AI178" s="148" t="n">
        <v>0.01</v>
      </c>
      <c r="AJ178" s="148" t="n">
        <v>0.01</v>
      </c>
      <c r="AK178" s="148" t="n">
        <v>0.01</v>
      </c>
      <c r="AL178" s="148" t="n">
        <v>0.01</v>
      </c>
      <c r="AM178" s="148" t="n">
        <v>0.01</v>
      </c>
      <c r="AN178" s="148" t="n">
        <v>15</v>
      </c>
      <c r="AO178" s="148" t="n">
        <v>0</v>
      </c>
      <c r="AP178" s="148" t="n">
        <v>0</v>
      </c>
      <c r="AQ178" s="148" t="n">
        <v>0</v>
      </c>
      <c r="AR178" s="148" t="n">
        <v>0</v>
      </c>
      <c r="AS178" s="148" t="n">
        <v>0</v>
      </c>
      <c r="AT178" s="148" t="n">
        <v>0</v>
      </c>
      <c r="AU178" s="148" t="n">
        <v>0</v>
      </c>
      <c r="AV178" s="148" t="n">
        <v>0</v>
      </c>
      <c r="AW178" s="148" t="n">
        <v>0</v>
      </c>
      <c r="AX178" s="148" t="n">
        <v>0</v>
      </c>
      <c r="AY178" s="148" t="n">
        <v>0</v>
      </c>
      <c r="AZ178" s="148" t="n">
        <v>0</v>
      </c>
      <c r="BA178" s="148" t="n">
        <v>0</v>
      </c>
      <c r="BB178" s="148" t="n">
        <v>0</v>
      </c>
    </row>
    <row r="179" ht="13" customHeight="1">
      <c r="I179" s="56" t="n"/>
      <c r="P179" s="91" t="n"/>
      <c r="Q179" s="91" t="n"/>
      <c r="R179" s="91" t="n"/>
      <c r="S179" s="91" t="n"/>
      <c r="T179" s="91" t="n"/>
      <c r="U179" s="91" t="n"/>
      <c r="V179" s="91" t="n"/>
      <c r="W179" s="91" t="n"/>
      <c r="X179" s="91" t="n"/>
      <c r="Y179" s="91" t="n"/>
      <c r="Z179" s="91" t="n"/>
      <c r="AA179" s="91" t="n"/>
      <c r="AB179" s="91" t="n"/>
      <c r="AC179" s="91" t="n"/>
      <c r="AD179" s="91" t="n"/>
      <c r="AE179" s="91" t="n"/>
      <c r="AF179" s="91" t="n"/>
      <c r="AG179" s="91" t="n"/>
      <c r="AH179" s="91" t="n"/>
      <c r="AI179" s="91" t="n"/>
      <c r="AJ179" s="91" t="n"/>
      <c r="AK179" s="91" t="n"/>
      <c r="AL179" s="91" t="n"/>
      <c r="AM179" s="91" t="n"/>
      <c r="AN179" s="91" t="n"/>
      <c r="AO179" s="91" t="n"/>
      <c r="AP179" s="91" t="n"/>
      <c r="AQ179" s="91" t="n"/>
      <c r="AR179" s="91" t="n"/>
      <c r="AS179" s="91" t="n"/>
      <c r="AT179" s="91" t="n"/>
      <c r="AU179" s="91" t="n"/>
      <c r="AV179" s="91" t="n"/>
      <c r="AW179" s="91" t="n"/>
      <c r="AX179" s="91" t="n"/>
      <c r="AY179" s="91" t="n"/>
      <c r="AZ179" s="91" t="n"/>
      <c r="BA179" s="91" t="n"/>
      <c r="BB179" s="91" t="n"/>
    </row>
    <row r="180" ht="13" customHeight="1">
      <c r="E180" s="21" t="inlineStr">
        <is>
          <t>Amendment to Cap rate (to be hard-coded in section below once DCC adjustment finalised)</t>
        </is>
      </c>
      <c r="G180" s="5">
        <f>base_year</f>
        <v/>
      </c>
      <c r="H180" s="21" t="inlineStr">
        <is>
          <t>DCCt</t>
        </is>
      </c>
      <c r="I180" s="149">
        <f>'DC Adjustment'!I67</f>
        <v/>
      </c>
    </row>
    <row r="181" ht="13" customHeight="1">
      <c r="E181" s="21" t="inlineStr">
        <is>
          <t>Amendment to Floor rate (to be hard-coded in section below once DCF adjustment finalised)</t>
        </is>
      </c>
      <c r="G181" s="5">
        <f>base_year</f>
        <v/>
      </c>
      <c r="H181" s="21" t="inlineStr">
        <is>
          <t>DCFt</t>
        </is>
      </c>
      <c r="I181" s="149">
        <f>'DC Adjustment'!I80</f>
        <v/>
      </c>
    </row>
    <row r="182" ht="15" customHeight="1"/>
    <row r="183" ht="15" customFormat="1" customHeight="1" s="5">
      <c r="D183" s="40" t="inlineStr">
        <is>
          <t>Previous DC adjustments</t>
        </is>
      </c>
      <c r="E183" s="40" t="n"/>
      <c r="F183" s="40" t="n"/>
      <c r="G183" s="40" t="n"/>
      <c r="H183" s="40" t="n"/>
      <c r="I183" s="40" t="n"/>
      <c r="J183" s="40" t="n"/>
      <c r="K183" s="40" t="n"/>
      <c r="L183" s="40" t="n"/>
      <c r="M183" s="40" t="n"/>
      <c r="N183" s="40" t="n"/>
      <c r="O183" s="40" t="n"/>
      <c r="P183" s="40" t="n"/>
      <c r="Q183" s="40" t="n"/>
      <c r="R183" s="40" t="n"/>
      <c r="S183" s="40" t="n"/>
      <c r="T183" s="40" t="n"/>
      <c r="U183" s="40" t="n"/>
      <c r="V183" s="40" t="n"/>
      <c r="W183" s="40" t="n"/>
      <c r="X183" s="40" t="n"/>
      <c r="Y183" s="40" t="n"/>
      <c r="Z183" s="40" t="n"/>
      <c r="AA183" s="40" t="n"/>
      <c r="AB183" s="40" t="n"/>
      <c r="AC183" s="40" t="n"/>
      <c r="AD183" s="40" t="n"/>
      <c r="AE183" s="40" t="n"/>
      <c r="AF183" s="40" t="n"/>
      <c r="AG183" s="40" t="n"/>
      <c r="AH183" s="40" t="n"/>
      <c r="AI183" s="40" t="n"/>
      <c r="AJ183" s="40" t="n"/>
      <c r="AK183" s="40" t="n"/>
      <c r="AL183" s="40" t="n"/>
      <c r="AM183" s="40" t="n"/>
      <c r="AN183" s="40" t="n"/>
      <c r="AO183" s="40" t="n"/>
      <c r="AP183" s="40" t="n"/>
      <c r="AQ183" s="40" t="n"/>
      <c r="AR183" s="40" t="n"/>
      <c r="AS183" s="40" t="n"/>
      <c r="AT183" s="40" t="n"/>
      <c r="AU183" s="40" t="n"/>
      <c r="AV183" s="40" t="n"/>
      <c r="AW183" s="40" t="n"/>
      <c r="AX183" s="40" t="n"/>
      <c r="AY183" s="40" t="n"/>
      <c r="AZ183" s="40" t="n"/>
      <c r="BA183" s="40" t="n"/>
      <c r="BB183" s="40" t="n"/>
    </row>
    <row r="184" ht="15" customFormat="1" customHeight="1" s="5"/>
    <row r="185" ht="15" customHeight="1">
      <c r="E185" s="86" t="inlineStr">
        <is>
          <t>First DCt adjustment</t>
        </is>
      </c>
    </row>
    <row r="186" ht="15" customHeight="1">
      <c r="E186" s="21" t="inlineStr">
        <is>
          <t>Start date</t>
        </is>
      </c>
      <c r="G186" s="21" t="inlineStr">
        <is>
          <t>date</t>
        </is>
      </c>
      <c r="I186" s="50" t="n">
        <v>50557</v>
      </c>
    </row>
    <row r="187" ht="15" customHeight="1">
      <c r="E187" s="21" t="inlineStr">
        <is>
          <t>Cap value</t>
        </is>
      </c>
      <c r="G187" s="5">
        <f>base_year</f>
        <v/>
      </c>
      <c r="I187" s="148" t="n">
        <v>1.269872319458612</v>
      </c>
    </row>
    <row r="188" ht="15" customHeight="1">
      <c r="E188" s="21" t="inlineStr">
        <is>
          <t>Floor value</t>
        </is>
      </c>
      <c r="G188" s="5">
        <f>base_year</f>
        <v/>
      </c>
      <c r="I188" s="148" t="n">
        <v>1.474327566273053</v>
      </c>
    </row>
    <row r="189" ht="15" customHeight="1">
      <c r="G189" s="5" t="n"/>
      <c r="I189" s="85" t="n"/>
    </row>
    <row r="190" ht="15" customHeight="1">
      <c r="E190" s="86" t="inlineStr">
        <is>
          <t>Second DCt adjustment</t>
        </is>
      </c>
    </row>
    <row r="191" ht="15" customHeight="1">
      <c r="E191" s="21" t="inlineStr">
        <is>
          <t>Start date</t>
        </is>
      </c>
      <c r="G191" s="21" t="inlineStr">
        <is>
          <t>date</t>
        </is>
      </c>
      <c r="I191" s="50" t="n"/>
    </row>
    <row r="192" ht="15" customHeight="1">
      <c r="E192" s="21" t="inlineStr">
        <is>
          <t>Cap value</t>
        </is>
      </c>
      <c r="G192" s="5">
        <f>base_year</f>
        <v/>
      </c>
      <c r="I192" s="148" t="n"/>
    </row>
    <row r="193" ht="15" customHeight="1">
      <c r="E193" s="21" t="inlineStr">
        <is>
          <t>Floor value</t>
        </is>
      </c>
      <c r="G193" s="5">
        <f>base_year</f>
        <v/>
      </c>
      <c r="I193" s="148" t="n"/>
    </row>
    <row r="194" ht="15" customHeight="1">
      <c r="G194" s="5" t="n"/>
      <c r="I194" s="85" t="n"/>
    </row>
    <row r="195" ht="15" customHeight="1">
      <c r="E195" s="86" t="inlineStr">
        <is>
          <t>Third DCt adjustment</t>
        </is>
      </c>
    </row>
    <row r="196" ht="15" customHeight="1">
      <c r="E196" s="21" t="inlineStr">
        <is>
          <t>Start date</t>
        </is>
      </c>
      <c r="G196" s="21" t="inlineStr">
        <is>
          <t>date</t>
        </is>
      </c>
      <c r="I196" s="50" t="n"/>
    </row>
    <row r="197" ht="15" customHeight="1">
      <c r="E197" s="21" t="inlineStr">
        <is>
          <t>Cap value</t>
        </is>
      </c>
      <c r="G197" s="5">
        <f>base_year</f>
        <v/>
      </c>
      <c r="I197" s="148" t="n"/>
    </row>
    <row r="198" ht="15" customHeight="1">
      <c r="E198" s="21" t="inlineStr">
        <is>
          <t>Floor value</t>
        </is>
      </c>
      <c r="G198" s="5">
        <f>base_year</f>
        <v/>
      </c>
      <c r="I198" s="148" t="n"/>
    </row>
    <row r="199" ht="15" customHeight="1">
      <c r="G199" s="5" t="n"/>
      <c r="I199" s="85" t="n"/>
    </row>
    <row r="200" ht="15" customHeight="1">
      <c r="E200" s="86" t="inlineStr">
        <is>
          <t>Fourth DCt adjustment</t>
        </is>
      </c>
    </row>
    <row r="201" ht="15" customHeight="1">
      <c r="E201" s="21" t="inlineStr">
        <is>
          <t>Start date</t>
        </is>
      </c>
      <c r="G201" s="21" t="inlineStr">
        <is>
          <t>date</t>
        </is>
      </c>
      <c r="I201" s="50" t="n"/>
    </row>
    <row r="202" ht="15" customHeight="1">
      <c r="E202" s="21" t="inlineStr">
        <is>
          <t>Cap value</t>
        </is>
      </c>
      <c r="G202" s="5">
        <f>base_year</f>
        <v/>
      </c>
      <c r="I202" s="148" t="n"/>
    </row>
    <row r="203" ht="15" customHeight="1">
      <c r="E203" s="21" t="inlineStr">
        <is>
          <t>Floor value</t>
        </is>
      </c>
      <c r="G203" s="5">
        <f>base_year</f>
        <v/>
      </c>
      <c r="I203" s="148" t="n"/>
    </row>
    <row r="204" ht="15" customHeight="1">
      <c r="G204" s="5" t="n"/>
      <c r="I204" s="39" t="n"/>
    </row>
    <row r="205" ht="15" customHeight="1">
      <c r="E205" s="21" t="inlineStr">
        <is>
          <t>Latest start date</t>
        </is>
      </c>
      <c r="G205" s="21" t="inlineStr">
        <is>
          <t>date</t>
        </is>
      </c>
      <c r="I205" s="41">
        <f>MAX(I201,I196,I191,I186)</f>
        <v/>
      </c>
    </row>
    <row r="206" ht="15" customHeight="1">
      <c r="G206" s="5" t="n"/>
      <c r="I206" s="39" t="n"/>
    </row>
    <row r="207" ht="15" customHeight="1">
      <c r="E207" s="86" t="inlineStr">
        <is>
          <t>DCt adjustment flags - Cap and Floor</t>
        </is>
      </c>
      <c r="G207" s="5" t="n"/>
      <c r="H207" s="71" t="inlineStr">
        <is>
          <t>start</t>
        </is>
      </c>
      <c r="I207" s="57" t="inlineStr">
        <is>
          <t>end</t>
        </is>
      </c>
    </row>
    <row r="208" ht="15" customHeight="1">
      <c r="E208" s="21" t="inlineStr">
        <is>
          <t>First DCCt adjustment</t>
        </is>
      </c>
      <c r="G208" s="21" t="inlineStr">
        <is>
          <t>flag</t>
        </is>
      </c>
      <c r="H208" s="41">
        <f>IF(I186="","",I186)</f>
        <v/>
      </c>
      <c r="I208" s="41">
        <f>IF(H208="","",IF(H209="",$I$175-1,H209-1))</f>
        <v/>
      </c>
      <c r="O208" s="33" t="n"/>
      <c r="P208" s="144">
        <f>IF(OR($H208&gt;P$4,$I208&lt;=O$4),0,IF(AND($H208&lt;=O$4,$I208&gt;=P$4,Q$62=1),($I208-P$3)/365.25,IF(AND($H208&lt;=O$4,$I208&gt;=P$4),1,IF(AND($H208&lt;=O$4,$I208&lt;P$4,P$62=0),($I208-O$4)/365.25,IF(AND($H208&lt;=P$4,$I208&gt;=P$4,Q$62=1),($I208-$H208+1)/365.25,IF(AND($H208&lt;=P$4,$I208&gt;=P$4),(P$4-$H208+1)/365.25,IF(AND($H208&lt;=P$4,$I208&lt;P$4,P$62=0),($I208-$H208+1)/365.25,0)))))))</f>
        <v/>
      </c>
      <c r="Q208" s="144">
        <f>IF(OR($H208&gt;Q$4,$I208&lt;=P$4),0,IF(AND($H208&lt;=P$4,$I208&gt;=Q$4,R$62=1),($I208-Q$3)/365.25,IF(AND($H208&lt;=P$4,$I208&gt;=Q$4),1,IF(AND($H208&lt;=P$4,$I208&lt;Q$4,Q$62=0),($I208-P$4)/365.25,IF(AND($H208&lt;=Q$4,$I208&gt;=Q$4,R$62=1),($I208-$H208+1)/365.25,IF(AND($H208&lt;=Q$4,$I208&gt;=Q$4),(Q$4-$H208+1)/365.25,IF(AND($H208&lt;=Q$4,$I208&lt;Q$4,Q$62=0),($I208-$H208+1)/365.25,0)))))))</f>
        <v/>
      </c>
      <c r="R208" s="144">
        <f>IF(OR($H208&gt;R$4,$I208&lt;=Q$4),0,IF(AND($H208&lt;=Q$4,$I208&gt;=R$4,S$62=1),($I208-R$3)/365.25,IF(AND($H208&lt;=Q$4,$I208&gt;=R$4),1,IF(AND($H208&lt;=Q$4,$I208&lt;R$4,R$62=0),($I208-Q$4)/365.25,IF(AND($H208&lt;=R$4,$I208&gt;=R$4,S$62=1),($I208-$H208+1)/365.25,IF(AND($H208&lt;=R$4,$I208&gt;=R$4),(R$4-$H208+1)/365.25,IF(AND($H208&lt;=R$4,$I208&lt;R$4,R$62=0),($I208-$H208+1)/365.25,0)))))))</f>
        <v/>
      </c>
      <c r="S208" s="144">
        <f>IF(OR($H208&gt;S$4,$I208&lt;=R$4),0,IF(AND($H208&lt;=R$4,$I208&gt;=S$4,T$62=1),($I208-S$3)/365.25,IF(AND($H208&lt;=R$4,$I208&gt;=S$4),1,IF(AND($H208&lt;=R$4,$I208&lt;S$4,S$62=0),($I208-R$4)/365.25,IF(AND($H208&lt;=S$4,$I208&gt;=S$4,T$62=1),($I208-$H208+1)/365.25,IF(AND($H208&lt;=S$4,$I208&gt;=S$4),(S$4-$H208+1)/365.25,IF(AND($H208&lt;=S$4,$I208&lt;S$4,S$62=0),($I208-$H208+1)/365.25,0)))))))</f>
        <v/>
      </c>
      <c r="T208" s="144">
        <f>IF(OR($H208&gt;T$4,$I208&lt;=S$4),0,IF(AND($H208&lt;=S$4,$I208&gt;=T$4,U$62=1),($I208-T$3)/365.25,IF(AND($H208&lt;=S$4,$I208&gt;=T$4),1,IF(AND($H208&lt;=S$4,$I208&lt;T$4,T$62=0),($I208-S$4)/365.25,IF(AND($H208&lt;=T$4,$I208&gt;=T$4,U$62=1),($I208-$H208+1)/365.25,IF(AND($H208&lt;=T$4,$I208&gt;=T$4),(T$4-$H208+1)/365.25,IF(AND($H208&lt;=T$4,$I208&lt;T$4,T$62=0),($I208-$H208+1)/365.25,0)))))))</f>
        <v/>
      </c>
      <c r="U208" s="144">
        <f>IF(OR($H208&gt;U$4,$I208&lt;=T$4),0,IF(AND($H208&lt;=T$4,$I208&gt;=U$4,V$62=1),($I208-U$3)/365.25,IF(AND($H208&lt;=T$4,$I208&gt;=U$4),1,IF(AND($H208&lt;=T$4,$I208&lt;U$4,U$62=0),($I208-T$4)/365.25,IF(AND($H208&lt;=U$4,$I208&gt;=U$4,V$62=1),($I208-$H208+1)/365.25,IF(AND($H208&lt;=U$4,$I208&gt;=U$4),(U$4-$H208+1)/365.25,IF(AND($H208&lt;=U$4,$I208&lt;U$4,U$62=0),($I208-$H208+1)/365.25,0)))))))</f>
        <v/>
      </c>
      <c r="V208" s="144">
        <f>IF(OR($H208&gt;V$4,$I208&lt;=U$4),0,IF(AND($H208&lt;=U$4,$I208&gt;=V$4,W$62=1),($I208-V$3)/365.25,IF(AND($H208&lt;=U$4,$I208&gt;=V$4),1,IF(AND($H208&lt;=U$4,$I208&lt;V$4,V$62=0),($I208-U$4)/365.25,IF(AND($H208&lt;=V$4,$I208&gt;=V$4,W$62=1),($I208-$H208+1)/365.25,IF(AND($H208&lt;=V$4,$I208&gt;=V$4),(V$4-$H208+1)/365.25,IF(AND($H208&lt;=V$4,$I208&lt;V$4,V$62=0),($I208-$H208+1)/365.25,0)))))))</f>
        <v/>
      </c>
      <c r="W208" s="144">
        <f>IF(OR($H208&gt;W$4,$I208&lt;=V$4),0,IF(AND($H208&lt;=V$4,$I208&gt;=W$4,X$62=1),($I208-W$3)/365.25,IF(AND($H208&lt;=V$4,$I208&gt;=W$4),1,IF(AND($H208&lt;=V$4,$I208&lt;W$4,W$62=0),($I208-V$4)/365.25,IF(AND($H208&lt;=W$4,$I208&gt;=W$4,X$62=1),($I208-$H208+1)/365.25,IF(AND($H208&lt;=W$4,$I208&gt;=W$4),(W$4-$H208+1)/365.25,IF(AND($H208&lt;=W$4,$I208&lt;W$4,W$62=0),($I208-$H208+1)/365.25,0)))))))</f>
        <v/>
      </c>
      <c r="X208" s="144">
        <f>IF(OR($H208&gt;X$4,$I208&lt;=W$4),0,IF(AND($H208&lt;=W$4,$I208&gt;=X$4,Y$62=1),($I208-X$3)/365.25,IF(AND($H208&lt;=W$4,$I208&gt;=X$4),1,IF(AND($H208&lt;=W$4,$I208&lt;X$4,X$62=0),($I208-W$4)/365.25,IF(AND($H208&lt;=X$4,$I208&gt;=X$4,Y$62=1),($I208-$H208+1)/365.25,IF(AND($H208&lt;=X$4,$I208&gt;=X$4),(X$4-$H208+1)/365.25,IF(AND($H208&lt;=X$4,$I208&lt;X$4,X$62=0),($I208-$H208+1)/365.25,0)))))))</f>
        <v/>
      </c>
      <c r="Y208" s="144">
        <f>IF(OR($H208&gt;Y$4,$I208&lt;=X$4),0,IF(AND($H208&lt;=X$4,$I208&gt;=Y$4,Z$62=1),($I208-Y$3)/365.25,IF(AND($H208&lt;=X$4,$I208&gt;=Y$4),1,IF(AND($H208&lt;=X$4,$I208&lt;Y$4,Y$62=0),($I208-X$4)/365.25,IF(AND($H208&lt;=Y$4,$I208&gt;=Y$4,Z$62=1),($I208-$H208+1)/365.25,IF(AND($H208&lt;=Y$4,$I208&gt;=Y$4),(Y$4-$H208+1)/365.25,IF(AND($H208&lt;=Y$4,$I208&lt;Y$4,Y$62=0),($I208-$H208+1)/365.25,0)))))))</f>
        <v/>
      </c>
      <c r="Z208" s="144">
        <f>IF(OR($H208&gt;Z$4,$I208&lt;=Y$4),0,IF(AND($H208&lt;=Y$4,$I208&gt;=Z$4,AA$62=1),($I208-Z$3)/365.25,IF(AND($H208&lt;=Y$4,$I208&gt;=Z$4),1,IF(AND($H208&lt;=Y$4,$I208&lt;Z$4,Z$62=0),($I208-Y$4)/365.25,IF(AND($H208&lt;=Z$4,$I208&gt;=Z$4,AA$62=1),($I208-$H208+1)/365.25,IF(AND($H208&lt;=Z$4,$I208&gt;=Z$4),(Z$4-$H208+1)/365.25,IF(AND($H208&lt;=Z$4,$I208&lt;Z$4,Z$62=0),($I208-$H208+1)/365.25,0)))))))</f>
        <v/>
      </c>
      <c r="AA208" s="144">
        <f>IF(OR($H208&gt;AA$4,$I208&lt;=Z$4),0,IF(AND($H208&lt;=Z$4,$I208&gt;=AA$4,AB$62=1),($I208-AA$3)/365.25,IF(AND($H208&lt;=Z$4,$I208&gt;=AA$4),1,IF(AND($H208&lt;=Z$4,$I208&lt;AA$4,AA$62=0),($I208-Z$4)/365.25,IF(AND($H208&lt;=AA$4,$I208&gt;=AA$4,AB$62=1),($I208-$H208+1)/365.25,IF(AND($H208&lt;=AA$4,$I208&gt;=AA$4),(AA$4-$H208+1)/365.25,IF(AND($H208&lt;=AA$4,$I208&lt;AA$4,AA$62=0),($I208-$H208+1)/365.25,0)))))))</f>
        <v/>
      </c>
      <c r="AB208" s="144">
        <f>IF(OR($H208&gt;AB$4,$I208&lt;=AA$4),0,IF(AND($H208&lt;=AA$4,$I208&gt;=AB$4,AC$62=1),($I208-AB$3)/365.25,IF(AND($H208&lt;=AA$4,$I208&gt;=AB$4),1,IF(AND($H208&lt;=AA$4,$I208&lt;AB$4,AB$62=0),($I208-AA$4)/365.25,IF(AND($H208&lt;=AB$4,$I208&gt;=AB$4,AC$62=1),($I208-$H208+1)/365.25,IF(AND($H208&lt;=AB$4,$I208&gt;=AB$4),(AB$4-$H208+1)/365.25,IF(AND($H208&lt;=AB$4,$I208&lt;AB$4,AB$62=0),($I208-$H208+1)/365.25,0)))))))</f>
        <v/>
      </c>
      <c r="AC208" s="144">
        <f>IF(OR($H208&gt;AC$4,$I208&lt;=AB$4),0,IF(AND($H208&lt;=AB$4,$I208&gt;=AC$4,AD$62=1),($I208-AC$3)/365.25,IF(AND($H208&lt;=AB$4,$I208&gt;=AC$4),1,IF(AND($H208&lt;=AB$4,$I208&lt;AC$4,AC$62=0),($I208-AB$4)/365.25,IF(AND($H208&lt;=AC$4,$I208&gt;=AC$4,AD$62=1),($I208-$H208+1)/365.25,IF(AND($H208&lt;=AC$4,$I208&gt;=AC$4),(AC$4-$H208+1)/365.25,IF(AND($H208&lt;=AC$4,$I208&lt;AC$4,AC$62=0),($I208-$H208+1)/365.25,0)))))))</f>
        <v/>
      </c>
      <c r="AD208" s="144">
        <f>IF(OR($H208&gt;AD$4,$I208&lt;=AC$4),0,IF(AND($H208&lt;=AC$4,$I208&gt;=AD$4,AE$62=1),($I208-AD$3)/365.25,IF(AND($H208&lt;=AC$4,$I208&gt;=AD$4),1,IF(AND($H208&lt;=AC$4,$I208&lt;AD$4,AD$62=0),($I208-AC$4)/365.25,IF(AND($H208&lt;=AD$4,$I208&gt;=AD$4,AE$62=1),($I208-$H208+1)/365.25,IF(AND($H208&lt;=AD$4,$I208&gt;=AD$4),(AD$4-$H208+1)/365.25,IF(AND($H208&lt;=AD$4,$I208&lt;AD$4,AD$62=0),($I208-$H208+1)/365.25,0)))))))</f>
        <v/>
      </c>
      <c r="AE208" s="144">
        <f>IF(OR($H208&gt;AE$4,$I208&lt;=AD$4),0,IF(AND($H208&lt;=AD$4,$I208&gt;=AE$4,AF$62=1),($I208-AE$3)/365.25,IF(AND($H208&lt;=AD$4,$I208&gt;=AE$4),1,IF(AND($H208&lt;=AD$4,$I208&lt;AE$4,AE$62=0),($I208-AD$4)/365.25,IF(AND($H208&lt;=AE$4,$I208&gt;=AE$4,AF$62=1),($I208-$H208+1)/365.25,IF(AND($H208&lt;=AE$4,$I208&gt;=AE$4),(AE$4-$H208+1)/365.25,IF(AND($H208&lt;=AE$4,$I208&lt;AE$4,AE$62=0),($I208-$H208+1)/365.25,0)))))))</f>
        <v/>
      </c>
      <c r="AF208" s="144">
        <f>IF(OR($H208&gt;AF$4,$I208&lt;=AE$4),0,IF(AND($H208&lt;=AE$4,$I208&gt;=AF$4,AG$62=1),($I208-AF$3)/365.25,IF(AND($H208&lt;=AE$4,$I208&gt;=AF$4),1,IF(AND($H208&lt;=AE$4,$I208&lt;AF$4,AF$62=0),($I208-AE$4)/365.25,IF(AND($H208&lt;=AF$4,$I208&gt;=AF$4,AG$62=1),($I208-$H208+1)/365.25,IF(AND($H208&lt;=AF$4,$I208&gt;=AF$4),(AF$4-$H208+1)/365.25,IF(AND($H208&lt;=AF$4,$I208&lt;AF$4,AF$62=0),($I208-$H208+1)/365.25,0)))))))</f>
        <v/>
      </c>
      <c r="AG208" s="144">
        <f>IF(OR($H208&gt;AG$4,$I208&lt;=AF$4),0,IF(AND($H208&lt;=AF$4,$I208&gt;=AG$4,AH$62=1),($I208-AG$3)/365.25,IF(AND($H208&lt;=AF$4,$I208&gt;=AG$4),1,IF(AND($H208&lt;=AF$4,$I208&lt;AG$4,AG$62=0),($I208-AF$4)/365.25,IF(AND($H208&lt;=AG$4,$I208&gt;=AG$4,AH$62=1),($I208-$H208+1)/365.25,IF(AND($H208&lt;=AG$4,$I208&gt;=AG$4),(AG$4-$H208+1)/365.25,IF(AND($H208&lt;=AG$4,$I208&lt;AG$4,AG$62=0),($I208-$H208+1)/365.25,0)))))))</f>
        <v/>
      </c>
      <c r="AH208" s="144">
        <f>IF(OR($H208&gt;AH$4,$I208&lt;=AG$4),0,IF(AND($H208&lt;=AG$4,$I208&gt;=AH$4,AI$62=1),($I208-AH$3)/365.25,IF(AND($H208&lt;=AG$4,$I208&gt;=AH$4),1,IF(AND($H208&lt;=AG$4,$I208&lt;AH$4,AH$62=0),($I208-AG$4)/365.25,IF(AND($H208&lt;=AH$4,$I208&gt;=AH$4,AI$62=1),($I208-$H208+1)/365.25,IF(AND($H208&lt;=AH$4,$I208&gt;=AH$4),(AH$4-$H208+1)/365.25,IF(AND($H208&lt;=AH$4,$I208&lt;AH$4,AH$62=0),($I208-$H208+1)/365.25,0)))))))</f>
        <v/>
      </c>
      <c r="AI208" s="144">
        <f>IF(OR($H208&gt;AI$4,$I208&lt;=AH$4),0,IF(AND($H208&lt;=AH$4,$I208&gt;=AI$4,AJ$62=1),($I208-AI$3)/365.25,IF(AND($H208&lt;=AH$4,$I208&gt;=AI$4),1,IF(AND($H208&lt;=AH$4,$I208&lt;AI$4,AI$62=0),($I208-AH$4)/365.25,IF(AND($H208&lt;=AI$4,$I208&gt;=AI$4,AJ$62=1),($I208-$H208+1)/365.25,IF(AND($H208&lt;=AI$4,$I208&gt;=AI$4),(AI$4-$H208+1)/365.25,IF(AND($H208&lt;=AI$4,$I208&lt;AI$4,AI$62=0),($I208-$H208+1)/365.25,0)))))))</f>
        <v/>
      </c>
      <c r="AJ208" s="144">
        <f>IF(OR($H208&gt;AJ$4,$I208&lt;=AI$4),0,IF(AND($H208&lt;=AI$4,$I208&gt;=AJ$4,AK$62=1),($I208-AJ$3)/365.25,IF(AND($H208&lt;=AI$4,$I208&gt;=AJ$4),1,IF(AND($H208&lt;=AI$4,$I208&lt;AJ$4,AJ$62=0),($I208-AI$4)/365.25,IF(AND($H208&lt;=AJ$4,$I208&gt;=AJ$4,AK$62=1),($I208-$H208+1)/365.25,IF(AND($H208&lt;=AJ$4,$I208&gt;=AJ$4),(AJ$4-$H208+1)/365.25,IF(AND($H208&lt;=AJ$4,$I208&lt;AJ$4,AJ$62=0),($I208-$H208+1)/365.25,0)))))))</f>
        <v/>
      </c>
      <c r="AK208" s="144">
        <f>IF(OR($H208&gt;AK$4,$I208&lt;=AJ$4),0,IF(AND($H208&lt;=AJ$4,$I208&gt;=AK$4,AL$62=1),($I208-AK$3)/365.25,IF(AND($H208&lt;=AJ$4,$I208&gt;=AK$4),1,IF(AND($H208&lt;=AJ$4,$I208&lt;AK$4,AK$62=0),($I208-AJ$4)/365.25,IF(AND($H208&lt;=AK$4,$I208&gt;=AK$4,AL$62=1),($I208-$H208+1)/365.25,IF(AND($H208&lt;=AK$4,$I208&gt;=AK$4),(AK$4-$H208+1)/365.25,IF(AND($H208&lt;=AK$4,$I208&lt;AK$4,AK$62=0),($I208-$H208+1)/365.25,0)))))))</f>
        <v/>
      </c>
      <c r="AL208" s="144">
        <f>IF(OR($H208&gt;AL$4,$I208&lt;=AK$4),0,IF(AND($H208&lt;=AK$4,$I208&gt;=AL$4,AM$62=1),($I208-AL$3)/365.25,IF(AND($H208&lt;=AK$4,$I208&gt;=AL$4),1,IF(AND($H208&lt;=AK$4,$I208&lt;AL$4,AL$62=0),($I208-AK$4)/365.25,IF(AND($H208&lt;=AL$4,$I208&gt;=AL$4,AM$62=1),($I208-$H208+1)/365.25,IF(AND($H208&lt;=AL$4,$I208&gt;=AL$4),(AL$4-$H208+1)/365.25,IF(AND($H208&lt;=AL$4,$I208&lt;AL$4,AL$62=0),($I208-$H208+1)/365.25,0)))))))</f>
        <v/>
      </c>
      <c r="AM208" s="144">
        <f>IF(OR($H208&gt;AM$4,$I208&lt;=AL$4),0,IF(AND($H208&lt;=AL$4,$I208&gt;=AM$4,AN$62=1),($I208-AM$3)/365.25,IF(AND($H208&lt;=AL$4,$I208&gt;=AM$4),1,IF(AND($H208&lt;=AL$4,$I208&lt;AM$4,AM$62=0),($I208-AL$4)/365.25,IF(AND($H208&lt;=AM$4,$I208&gt;=AM$4,AN$62=1),($I208-$H208+1)/365.25,IF(AND($H208&lt;=AM$4,$I208&gt;=AM$4),(AM$4-$H208+1)/365.25,IF(AND($H208&lt;=AM$4,$I208&lt;AM$4,AM$62=0),($I208-$H208+1)/365.25,0)))))))</f>
        <v/>
      </c>
      <c r="AN208" s="144">
        <f>IF(OR($H208&gt;AN$4,$I208&lt;=AM$4),0,IF(AND($H208&lt;=AM$4,$I208&gt;=AN$4,AO$62=1),($I208-AN$3)/365.25,IF(AND($H208&lt;=AM$4,$I208&gt;=AN$4),1,IF(AND($H208&lt;=AM$4,$I208&lt;AN$4,AN$62=0),($I208-AM$4)/365.25,IF(AND($H208&lt;=AN$4,$I208&gt;=AN$4,AO$62=1),($I208-$H208+1)/365.25,IF(AND($H208&lt;=AN$4,$I208&gt;=AN$4),(AN$4-$H208+1)/365.25,IF(AND($H208&lt;=AN$4,$I208&lt;AN$4,AN$62=0),($I208-$H208+1)/365.25,0)))))))</f>
        <v/>
      </c>
      <c r="AO208" s="144">
        <f>IF(OR($H208&gt;AO$4,$I208&lt;=AN$4),0,IF(AND($H208&lt;=AN$4,$I208&gt;=AO$4,AP$62=1),($I208-AO$3)/365.25,IF(AND($H208&lt;=AN$4,$I208&gt;=AO$4),1,IF(AND($H208&lt;=AN$4,$I208&lt;AO$4,AO$62=0),($I208-AN$4)/365.25,IF(AND($H208&lt;=AO$4,$I208&gt;=AO$4,AP$62=1),($I208-$H208+1)/365.25,IF(AND($H208&lt;=AO$4,$I208&gt;=AO$4),(AO$4-$H208+1)/365.25,IF(AND($H208&lt;=AO$4,$I208&lt;AO$4,AO$62=0),($I208-$H208+1)/365.25,0)))))))</f>
        <v/>
      </c>
      <c r="AP208" s="144">
        <f>IF(OR($H208&gt;AP$4,$I208&lt;=AO$4),0,IF(AND($H208&lt;=AO$4,$I208&gt;=AP$4,AQ$62=1),($I208-AP$3)/365.25,IF(AND($H208&lt;=AO$4,$I208&gt;=AP$4),1,IF(AND($H208&lt;=AO$4,$I208&lt;AP$4,AP$62=0),($I208-AO$4)/365.25,IF(AND($H208&lt;=AP$4,$I208&gt;=AP$4,AQ$62=1),($I208-$H208+1)/365.25,IF(AND($H208&lt;=AP$4,$I208&gt;=AP$4),(AP$4-$H208+1)/365.25,IF(AND($H208&lt;=AP$4,$I208&lt;AP$4,AP$62=0),($I208-$H208+1)/365.25,0)))))))</f>
        <v/>
      </c>
      <c r="AQ208" s="144">
        <f>IF(OR($H208&gt;AQ$4,$I208&lt;=AP$4),0,IF(AND($H208&lt;=AP$4,$I208&gt;=AQ$4,AR$62=1),($I208-AQ$3)/365.25,IF(AND($H208&lt;=AP$4,$I208&gt;=AQ$4),1,IF(AND($H208&lt;=AP$4,$I208&lt;AQ$4,AQ$62=0),($I208-AP$4)/365.25,IF(AND($H208&lt;=AQ$4,$I208&gt;=AQ$4,AR$62=1),($I208-$H208+1)/365.25,IF(AND($H208&lt;=AQ$4,$I208&gt;=AQ$4),(AQ$4-$H208+1)/365.25,IF(AND($H208&lt;=AQ$4,$I208&lt;AQ$4,AQ$62=0),($I208-$H208+1)/365.25,0)))))))</f>
        <v/>
      </c>
      <c r="AR208" s="144">
        <f>IF(OR($H208&gt;AR$4,$I208&lt;=AQ$4),0,IF(AND($H208&lt;=AQ$4,$I208&gt;=AR$4,AS$62=1),($I208-AR$3)/365.25,IF(AND($H208&lt;=AQ$4,$I208&gt;=AR$4),1,IF(AND($H208&lt;=AQ$4,$I208&lt;AR$4,AR$62=0),($I208-AQ$4)/365.25,IF(AND($H208&lt;=AR$4,$I208&gt;=AR$4,AS$62=1),($I208-$H208+1)/365.25,IF(AND($H208&lt;=AR$4,$I208&gt;=AR$4),(AR$4-$H208+1)/365.25,IF(AND($H208&lt;=AR$4,$I208&lt;AR$4,AR$62=0),($I208-$H208+1)/365.25,0)))))))</f>
        <v/>
      </c>
      <c r="AS208" s="144">
        <f>IF(OR($H208&gt;AS$4,$I208&lt;=AR$4),0,IF(AND($H208&lt;=AR$4,$I208&gt;=AS$4,AT$62=1),($I208-AS$3)/365.25,IF(AND($H208&lt;=AR$4,$I208&gt;=AS$4),1,IF(AND($H208&lt;=AR$4,$I208&lt;AS$4,AS$62=0),($I208-AR$4)/365.25,IF(AND($H208&lt;=AS$4,$I208&gt;=AS$4,AT$62=1),($I208-$H208+1)/365.25,IF(AND($H208&lt;=AS$4,$I208&gt;=AS$4),(AS$4-$H208+1)/365.25,IF(AND($H208&lt;=AS$4,$I208&lt;AS$4,AS$62=0),($I208-$H208+1)/365.25,0)))))))</f>
        <v/>
      </c>
      <c r="AT208" s="144">
        <f>IF(OR($H208&gt;AT$4,$I208&lt;=AS$4),0,IF(AND($H208&lt;=AS$4,$I208&gt;=AT$4,AU$62=1),($I208-AT$3)/365.25,IF(AND($H208&lt;=AS$4,$I208&gt;=AT$4),1,IF(AND($H208&lt;=AS$4,$I208&lt;AT$4,AT$62=0),($I208-AS$4)/365.25,IF(AND($H208&lt;=AT$4,$I208&gt;=AT$4,AU$62=1),($I208-$H208+1)/365.25,IF(AND($H208&lt;=AT$4,$I208&gt;=AT$4),(AT$4-$H208+1)/365.25,IF(AND($H208&lt;=AT$4,$I208&lt;AT$4,AT$62=0),($I208-$H208+1)/365.25,0)))))))</f>
        <v/>
      </c>
      <c r="AU208" s="144">
        <f>IF(OR($H208&gt;AU$4,$I208&lt;=AT$4),0,IF(AND($H208&lt;=AT$4,$I208&gt;=AU$4,AV$62=1),($I208-AU$3)/365.25,IF(AND($H208&lt;=AT$4,$I208&gt;=AU$4),1,IF(AND($H208&lt;=AT$4,$I208&lt;AU$4,AU$62=0),($I208-AT$4)/365.25,IF(AND($H208&lt;=AU$4,$I208&gt;=AU$4,AV$62=1),($I208-$H208+1)/365.25,IF(AND($H208&lt;=AU$4,$I208&gt;=AU$4),(AU$4-$H208+1)/365.25,IF(AND($H208&lt;=AU$4,$I208&lt;AU$4,AU$62=0),($I208-$H208+1)/365.25,0)))))))</f>
        <v/>
      </c>
      <c r="AV208" s="144">
        <f>IF(OR($H208&gt;AV$4,$I208&lt;=AU$4),0,IF(AND($H208&lt;=AU$4,$I208&gt;=AV$4,AW$62=1),($I208-AV$3)/365.25,IF(AND($H208&lt;=AU$4,$I208&gt;=AV$4),1,IF(AND($H208&lt;=AU$4,$I208&lt;AV$4,AV$62=0),($I208-AU$4)/365.25,IF(AND($H208&lt;=AV$4,$I208&gt;=AV$4,AW$62=1),($I208-$H208+1)/365.25,IF(AND($H208&lt;=AV$4,$I208&gt;=AV$4),(AV$4-$H208+1)/365.25,IF(AND($H208&lt;=AV$4,$I208&lt;AV$4,AV$62=0),($I208-$H208+1)/365.25,0)))))))</f>
        <v/>
      </c>
      <c r="AW208" s="144">
        <f>IF(OR($H208&gt;AW$4,$I208&lt;=AV$4),0,IF(AND($H208&lt;=AV$4,$I208&gt;=AW$4,AX$62=1),($I208-AW$3)/365.25,IF(AND($H208&lt;=AV$4,$I208&gt;=AW$4),1,IF(AND($H208&lt;=AV$4,$I208&lt;AW$4,AW$62=0),($I208-AV$4)/365.25,IF(AND($H208&lt;=AW$4,$I208&gt;=AW$4,AX$62=1),($I208-$H208+1)/365.25,IF(AND($H208&lt;=AW$4,$I208&gt;=AW$4),(AW$4-$H208+1)/365.25,IF(AND($H208&lt;=AW$4,$I208&lt;AW$4,AW$62=0),($I208-$H208+1)/365.25,0)))))))</f>
        <v/>
      </c>
      <c r="AX208" s="144">
        <f>IF(OR($H208&gt;AX$4,$I208&lt;=AW$4),0,IF(AND($H208&lt;=AW$4,$I208&gt;=AX$4,AY$62=1),($I208-AX$3)/365.25,IF(AND($H208&lt;=AW$4,$I208&gt;=AX$4),1,IF(AND($H208&lt;=AW$4,$I208&lt;AX$4,AX$62=0),($I208-AW$4)/365.25,IF(AND($H208&lt;=AX$4,$I208&gt;=AX$4,AY$62=1),($I208-$H208+1)/365.25,IF(AND($H208&lt;=AX$4,$I208&gt;=AX$4),(AX$4-$H208+1)/365.25,IF(AND($H208&lt;=AX$4,$I208&lt;AX$4,AX$62=0),($I208-$H208+1)/365.25,0)))))))</f>
        <v/>
      </c>
      <c r="AY208" s="144">
        <f>IF(OR($H208&gt;AY$4,$I208&lt;=AX$4),0,IF(AND($H208&lt;=AX$4,$I208&gt;=AY$4,AZ$62=1),($I208-AY$3)/365.25,IF(AND($H208&lt;=AX$4,$I208&gt;=AY$4),1,IF(AND($H208&lt;=AX$4,$I208&lt;AY$4,AY$62=0),($I208-AX$4)/365.25,IF(AND($H208&lt;=AY$4,$I208&gt;=AY$4,AZ$62=1),($I208-$H208+1)/365.25,IF(AND($H208&lt;=AY$4,$I208&gt;=AY$4),(AY$4-$H208+1)/365.25,IF(AND($H208&lt;=AY$4,$I208&lt;AY$4,AY$62=0),($I208-$H208+1)/365.25,0)))))))</f>
        <v/>
      </c>
      <c r="AZ208" s="144">
        <f>IF(OR($H208&gt;AZ$4,$I208&lt;=AY$4),0,IF(AND($H208&lt;=AY$4,$I208&gt;=AZ$4,BA$62=1),($I208-AZ$3)/365.25,IF(AND($H208&lt;=AY$4,$I208&gt;=AZ$4),1,IF(AND($H208&lt;=AY$4,$I208&lt;AZ$4,AZ$62=0),($I208-AY$4)/365.25,IF(AND($H208&lt;=AZ$4,$I208&gt;=AZ$4,BA$62=1),($I208-$H208+1)/365.25,IF(AND($H208&lt;=AZ$4,$I208&gt;=AZ$4),(AZ$4-$H208+1)/365.25,IF(AND($H208&lt;=AZ$4,$I208&lt;AZ$4,AZ$62=0),($I208-$H208+1)/365.25,0)))))))</f>
        <v/>
      </c>
      <c r="BA208" s="144">
        <f>IF(OR($H208&gt;BA$4,$I208&lt;=AZ$4),0,IF(AND($H208&lt;=AZ$4,$I208&gt;=BA$4,BB$62=1),($I208-BA$3)/365.25,IF(AND($H208&lt;=AZ$4,$I208&gt;=BA$4),1,IF(AND($H208&lt;=AZ$4,$I208&lt;BA$4,BA$62=0),($I208-AZ$4)/365.25,IF(AND($H208&lt;=BA$4,$I208&gt;=BA$4,BB$62=1),($I208-$H208+1)/365.25,IF(AND($H208&lt;=BA$4,$I208&gt;=BA$4),(BA$4-$H208+1)/365.25,IF(AND($H208&lt;=BA$4,$I208&lt;BA$4,BA$62=0),($I208-$H208+1)/365.25,0)))))))</f>
        <v/>
      </c>
      <c r="BB208" s="144">
        <f>IF(OR($H208&gt;BB$4,$I208&lt;=BA$4),0,IF(AND($H208&lt;=BA$4,$I208&gt;=BB$4,BC$62=1),($I208-BB$3)/365.25,IF(AND($H208&lt;=BA$4,$I208&gt;=BB$4),1,IF(AND($H208&lt;=BA$4,$I208&lt;BB$4,BB$62=0),($I208-BA$4)/365.25,IF(AND($H208&lt;=BB$4,$I208&gt;=BB$4,BC$62=1),($I208-$H208+1)/365.25,IF(AND($H208&lt;=BB$4,$I208&gt;=BB$4),(BB$4-$H208+1)/365.25,IF(AND($H208&lt;=BB$4,$I208&lt;BB$4,BB$62=0),($I208-$H208+1)/365.25,0)))))))</f>
        <v/>
      </c>
    </row>
    <row r="209" ht="15" customHeight="1">
      <c r="E209" s="21" t="inlineStr">
        <is>
          <t>Second DCCt adjustment</t>
        </is>
      </c>
      <c r="G209" s="21" t="inlineStr">
        <is>
          <t>flag</t>
        </is>
      </c>
      <c r="H209" s="41">
        <f>IF(I191="","",I191)</f>
        <v/>
      </c>
      <c r="I209" s="41">
        <f>IF(H209="","",IF(H210="",$I$175-1,H210-1))</f>
        <v/>
      </c>
      <c r="O209" s="33" t="n"/>
      <c r="P209" s="144">
        <f>IF(OR($H209&gt;P$4,$I209&lt;=O$4),0,IF(AND($H209&lt;=O$4,$I209&gt;=P$4,Q$62=1),($I209-P$3)/365.25,IF(AND($H209&lt;=O$4,$I209&gt;=P$4),1,IF(AND($H209&lt;=O$4,$I209&lt;P$4,P$62=0),($I209-O$4)/365.25,IF(AND($H209&lt;=P$4,$I209&gt;=P$4,Q$62=1),($I209-$H209+1)/365.25,IF(AND($H209&lt;=P$4,$I209&gt;=P$4),(P$4-$H209+1)/365.25,IF(AND($H209&lt;=P$4,$I209&lt;P$4,P$62=0),($I209-$H209+1)/365.25,0)))))))</f>
        <v/>
      </c>
      <c r="Q209" s="144">
        <f>IF(OR($H209&gt;Q$4,$I209&lt;=P$4),0,IF(AND($H209&lt;=P$4,$I209&gt;=Q$4,R$62=1),($I209-Q$3)/365.25,IF(AND($H209&lt;=P$4,$I209&gt;=Q$4),1,IF(AND($H209&lt;=P$4,$I209&lt;Q$4,Q$62=0),($I209-P$4)/365.25,IF(AND($H209&lt;=Q$4,$I209&gt;=Q$4,R$62=1),($I209-$H209+1)/365.25,IF(AND($H209&lt;=Q$4,$I209&gt;=Q$4),(Q$4-$H209+1)/365.25,IF(AND($H209&lt;=Q$4,$I209&lt;Q$4,Q$62=0),($I209-$H209+1)/365.25,0)))))))</f>
        <v/>
      </c>
      <c r="R209" s="144">
        <f>IF(OR($H209&gt;R$4,$I209&lt;=Q$4),0,IF(AND($H209&lt;=Q$4,$I209&gt;=R$4,S$62=1),($I209-R$3)/365.25,IF(AND($H209&lt;=Q$4,$I209&gt;=R$4),1,IF(AND($H209&lt;=Q$4,$I209&lt;R$4,R$62=0),($I209-Q$4)/365.25,IF(AND($H209&lt;=R$4,$I209&gt;=R$4,S$62=1),($I209-$H209+1)/365.25,IF(AND($H209&lt;=R$4,$I209&gt;=R$4),(R$4-$H209+1)/365.25,IF(AND($H209&lt;=R$4,$I209&lt;R$4,R$62=0),($I209-$H209+1)/365.25,0)))))))</f>
        <v/>
      </c>
      <c r="S209" s="144">
        <f>IF(OR($H209&gt;S$4,$I209&lt;=R$4),0,IF(AND($H209&lt;=R$4,$I209&gt;=S$4,T$62=1),($I209-S$3)/365.25,IF(AND($H209&lt;=R$4,$I209&gt;=S$4),1,IF(AND($H209&lt;=R$4,$I209&lt;S$4,S$62=0),($I209-R$4)/365.25,IF(AND($H209&lt;=S$4,$I209&gt;=S$4,T$62=1),($I209-$H209+1)/365.25,IF(AND($H209&lt;=S$4,$I209&gt;=S$4),(S$4-$H209+1)/365.25,IF(AND($H209&lt;=S$4,$I209&lt;S$4,S$62=0),($I209-$H209+1)/365.25,0)))))))</f>
        <v/>
      </c>
      <c r="T209" s="144">
        <f>IF(OR($H209&gt;T$4,$I209&lt;=S$4),0,IF(AND($H209&lt;=S$4,$I209&gt;=T$4,U$62=1),($I209-T$3)/365.25,IF(AND($H209&lt;=S$4,$I209&gt;=T$4),1,IF(AND($H209&lt;=S$4,$I209&lt;T$4,T$62=0),($I209-S$4)/365.25,IF(AND($H209&lt;=T$4,$I209&gt;=T$4,U$62=1),($I209-$H209+1)/365.25,IF(AND($H209&lt;=T$4,$I209&gt;=T$4),(T$4-$H209+1)/365.25,IF(AND($H209&lt;=T$4,$I209&lt;T$4,T$62=0),($I209-$H209+1)/365.25,0)))))))</f>
        <v/>
      </c>
      <c r="U209" s="144">
        <f>IF(OR($H209&gt;U$4,$I209&lt;=T$4),0,IF(AND($H209&lt;=T$4,$I209&gt;=U$4,V$62=1),($I209-U$3)/365.25,IF(AND($H209&lt;=T$4,$I209&gt;=U$4),1,IF(AND($H209&lt;=T$4,$I209&lt;U$4,U$62=0),($I209-T$4)/365.25,IF(AND($H209&lt;=U$4,$I209&gt;=U$4,V$62=1),($I209-$H209+1)/365.25,IF(AND($H209&lt;=U$4,$I209&gt;=U$4),(U$4-$H209+1)/365.25,IF(AND($H209&lt;=U$4,$I209&lt;U$4,U$62=0),($I209-$H209+1)/365.25,0)))))))</f>
        <v/>
      </c>
      <c r="V209" s="144">
        <f>IF(OR($H209&gt;V$4,$I209&lt;=U$4),0,IF(AND($H209&lt;=U$4,$I209&gt;=V$4,W$62=1),($I209-V$3)/365.25,IF(AND($H209&lt;=U$4,$I209&gt;=V$4),1,IF(AND($H209&lt;=U$4,$I209&lt;V$4,V$62=0),($I209-U$4)/365.25,IF(AND($H209&lt;=V$4,$I209&gt;=V$4,W$62=1),($I209-$H209+1)/365.25,IF(AND($H209&lt;=V$4,$I209&gt;=V$4),(V$4-$H209+1)/365.25,IF(AND($H209&lt;=V$4,$I209&lt;V$4,V$62=0),($I209-$H209+1)/365.25,0)))))))</f>
        <v/>
      </c>
      <c r="W209" s="144">
        <f>IF(OR($H209&gt;W$4,$I209&lt;=V$4),0,IF(AND($H209&lt;=V$4,$I209&gt;=W$4,X$62=1),($I209-W$3)/365.25,IF(AND($H209&lt;=V$4,$I209&gt;=W$4),1,IF(AND($H209&lt;=V$4,$I209&lt;W$4,W$62=0),($I209-V$4)/365.25,IF(AND($H209&lt;=W$4,$I209&gt;=W$4,X$62=1),($I209-$H209+1)/365.25,IF(AND($H209&lt;=W$4,$I209&gt;=W$4),(W$4-$H209+1)/365.25,IF(AND($H209&lt;=W$4,$I209&lt;W$4,W$62=0),($I209-$H209+1)/365.25,0)))))))</f>
        <v/>
      </c>
      <c r="X209" s="144">
        <f>IF(OR($H209&gt;X$4,$I209&lt;=W$4),0,IF(AND($H209&lt;=W$4,$I209&gt;=X$4,Y$62=1),($I209-X$3)/365.25,IF(AND($H209&lt;=W$4,$I209&gt;=X$4),1,IF(AND($H209&lt;=W$4,$I209&lt;X$4,X$62=0),($I209-W$4)/365.25,IF(AND($H209&lt;=X$4,$I209&gt;=X$4,Y$62=1),($I209-$H209+1)/365.25,IF(AND($H209&lt;=X$4,$I209&gt;=X$4),(X$4-$H209+1)/365.25,IF(AND($H209&lt;=X$4,$I209&lt;X$4,X$62=0),($I209-$H209+1)/365.25,0)))))))</f>
        <v/>
      </c>
      <c r="Y209" s="144">
        <f>IF(OR($H209&gt;Y$4,$I209&lt;=X$4),0,IF(AND($H209&lt;=X$4,$I209&gt;=Y$4,Z$62=1),($I209-Y$3)/365.25,IF(AND($H209&lt;=X$4,$I209&gt;=Y$4),1,IF(AND($H209&lt;=X$4,$I209&lt;Y$4,Y$62=0),($I209-X$4)/365.25,IF(AND($H209&lt;=Y$4,$I209&gt;=Y$4,Z$62=1),($I209-$H209+1)/365.25,IF(AND($H209&lt;=Y$4,$I209&gt;=Y$4),(Y$4-$H209+1)/365.25,IF(AND($H209&lt;=Y$4,$I209&lt;Y$4,Y$62=0),($I209-$H209+1)/365.25,0)))))))</f>
        <v/>
      </c>
      <c r="Z209" s="144">
        <f>IF(OR($H209&gt;Z$4,$I209&lt;=Y$4),0,IF(AND($H209&lt;=Y$4,$I209&gt;=Z$4,AA$62=1),($I209-Z$3)/365.25,IF(AND($H209&lt;=Y$4,$I209&gt;=Z$4),1,IF(AND($H209&lt;=Y$4,$I209&lt;Z$4,Z$62=0),($I209-Y$4)/365.25,IF(AND($H209&lt;=Z$4,$I209&gt;=Z$4,AA$62=1),($I209-$H209+1)/365.25,IF(AND($H209&lt;=Z$4,$I209&gt;=Z$4),(Z$4-$H209+1)/365.25,IF(AND($H209&lt;=Z$4,$I209&lt;Z$4,Z$62=0),($I209-$H209+1)/365.25,0)))))))</f>
        <v/>
      </c>
      <c r="AA209" s="144">
        <f>IF(OR($H209&gt;AA$4,$I209&lt;=Z$4),0,IF(AND($H209&lt;=Z$4,$I209&gt;=AA$4,AB$62=1),($I209-AA$3)/365.25,IF(AND($H209&lt;=Z$4,$I209&gt;=AA$4),1,IF(AND($H209&lt;=Z$4,$I209&lt;AA$4,AA$62=0),($I209-Z$4)/365.25,IF(AND($H209&lt;=AA$4,$I209&gt;=AA$4,AB$62=1),($I209-$H209+1)/365.25,IF(AND($H209&lt;=AA$4,$I209&gt;=AA$4),(AA$4-$H209+1)/365.25,IF(AND($H209&lt;=AA$4,$I209&lt;AA$4,AA$62=0),($I209-$H209+1)/365.25,0)))))))</f>
        <v/>
      </c>
      <c r="AB209" s="144">
        <f>IF(OR($H209&gt;AB$4,$I209&lt;=AA$4),0,IF(AND($H209&lt;=AA$4,$I209&gt;=AB$4,AC$62=1),($I209-AB$3)/365.25,IF(AND($H209&lt;=AA$4,$I209&gt;=AB$4),1,IF(AND($H209&lt;=AA$4,$I209&lt;AB$4,AB$62=0),($I209-AA$4)/365.25,IF(AND($H209&lt;=AB$4,$I209&gt;=AB$4,AC$62=1),($I209-$H209+1)/365.25,IF(AND($H209&lt;=AB$4,$I209&gt;=AB$4),(AB$4-$H209+1)/365.25,IF(AND($H209&lt;=AB$4,$I209&lt;AB$4,AB$62=0),($I209-$H209+1)/365.25,0)))))))</f>
        <v/>
      </c>
      <c r="AC209" s="144">
        <f>IF(OR($H209&gt;AC$4,$I209&lt;=AB$4),0,IF(AND($H209&lt;=AB$4,$I209&gt;=AC$4,AD$62=1),($I209-AC$3)/365.25,IF(AND($H209&lt;=AB$4,$I209&gt;=AC$4),1,IF(AND($H209&lt;=AB$4,$I209&lt;AC$4,AC$62=0),($I209-AB$4)/365.25,IF(AND($H209&lt;=AC$4,$I209&gt;=AC$4,AD$62=1),($I209-$H209+1)/365.25,IF(AND($H209&lt;=AC$4,$I209&gt;=AC$4),(AC$4-$H209+1)/365.25,IF(AND($H209&lt;=AC$4,$I209&lt;AC$4,AC$62=0),($I209-$H209+1)/365.25,0)))))))</f>
        <v/>
      </c>
      <c r="AD209" s="144">
        <f>IF(OR($H209&gt;AD$4,$I209&lt;=AC$4),0,IF(AND($H209&lt;=AC$4,$I209&gt;=AD$4,AE$62=1),($I209-AD$3)/365.25,IF(AND($H209&lt;=AC$4,$I209&gt;=AD$4),1,IF(AND($H209&lt;=AC$4,$I209&lt;AD$4,AD$62=0),($I209-AC$4)/365.25,IF(AND($H209&lt;=AD$4,$I209&gt;=AD$4,AE$62=1),($I209-$H209+1)/365.25,IF(AND($H209&lt;=AD$4,$I209&gt;=AD$4),(AD$4-$H209+1)/365.25,IF(AND($H209&lt;=AD$4,$I209&lt;AD$4,AD$62=0),($I209-$H209+1)/365.25,0)))))))</f>
        <v/>
      </c>
      <c r="AE209" s="144">
        <f>IF(OR($H209&gt;AE$4,$I209&lt;=AD$4),0,IF(AND($H209&lt;=AD$4,$I209&gt;=AE$4,AF$62=1),($I209-AE$3)/365.25,IF(AND($H209&lt;=AD$4,$I209&gt;=AE$4),1,IF(AND($H209&lt;=AD$4,$I209&lt;AE$4,AE$62=0),($I209-AD$4)/365.25,IF(AND($H209&lt;=AE$4,$I209&gt;=AE$4,AF$62=1),($I209-$H209+1)/365.25,IF(AND($H209&lt;=AE$4,$I209&gt;=AE$4),(AE$4-$H209+1)/365.25,IF(AND($H209&lt;=AE$4,$I209&lt;AE$4,AE$62=0),($I209-$H209+1)/365.25,0)))))))</f>
        <v/>
      </c>
      <c r="AF209" s="144">
        <f>IF(OR($H209&gt;AF$4,$I209&lt;=AE$4),0,IF(AND($H209&lt;=AE$4,$I209&gt;=AF$4,AG$62=1),($I209-AF$3)/365.25,IF(AND($H209&lt;=AE$4,$I209&gt;=AF$4),1,IF(AND($H209&lt;=AE$4,$I209&lt;AF$4,AF$62=0),($I209-AE$4)/365.25,IF(AND($H209&lt;=AF$4,$I209&gt;=AF$4,AG$62=1),($I209-$H209+1)/365.25,IF(AND($H209&lt;=AF$4,$I209&gt;=AF$4),(AF$4-$H209+1)/365.25,IF(AND($H209&lt;=AF$4,$I209&lt;AF$4,AF$62=0),($I209-$H209+1)/365.25,0)))))))</f>
        <v/>
      </c>
      <c r="AG209" s="144">
        <f>IF(OR($H209&gt;AG$4,$I209&lt;=AF$4),0,IF(AND($H209&lt;=AF$4,$I209&gt;=AG$4,AH$62=1),($I209-AG$3)/365.25,IF(AND($H209&lt;=AF$4,$I209&gt;=AG$4),1,IF(AND($H209&lt;=AF$4,$I209&lt;AG$4,AG$62=0),($I209-AF$4)/365.25,IF(AND($H209&lt;=AG$4,$I209&gt;=AG$4,AH$62=1),($I209-$H209+1)/365.25,IF(AND($H209&lt;=AG$4,$I209&gt;=AG$4),(AG$4-$H209+1)/365.25,IF(AND($H209&lt;=AG$4,$I209&lt;AG$4,AG$62=0),($I209-$H209+1)/365.25,0)))))))</f>
        <v/>
      </c>
      <c r="AH209" s="144">
        <f>IF(OR($H209&gt;AH$4,$I209&lt;=AG$4),0,IF(AND($H209&lt;=AG$4,$I209&gt;=AH$4,AI$62=1),($I209-AH$3)/365.25,IF(AND($H209&lt;=AG$4,$I209&gt;=AH$4),1,IF(AND($H209&lt;=AG$4,$I209&lt;AH$4,AH$62=0),($I209-AG$4)/365.25,IF(AND($H209&lt;=AH$4,$I209&gt;=AH$4,AI$62=1),($I209-$H209+1)/365.25,IF(AND($H209&lt;=AH$4,$I209&gt;=AH$4),(AH$4-$H209+1)/365.25,IF(AND($H209&lt;=AH$4,$I209&lt;AH$4,AH$62=0),($I209-$H209+1)/365.25,0)))))))</f>
        <v/>
      </c>
      <c r="AI209" s="144">
        <f>IF(OR($H209&gt;AI$4,$I209&lt;=AH$4),0,IF(AND($H209&lt;=AH$4,$I209&gt;=AI$4,AJ$62=1),($I209-AI$3)/365.25,IF(AND($H209&lt;=AH$4,$I209&gt;=AI$4),1,IF(AND($H209&lt;=AH$4,$I209&lt;AI$4,AI$62=0),($I209-AH$4)/365.25,IF(AND($H209&lt;=AI$4,$I209&gt;=AI$4,AJ$62=1),($I209-$H209+1)/365.25,IF(AND($H209&lt;=AI$4,$I209&gt;=AI$4),(AI$4-$H209+1)/365.25,IF(AND($H209&lt;=AI$4,$I209&lt;AI$4,AI$62=0),($I209-$H209+1)/365.25,0)))))))</f>
        <v/>
      </c>
      <c r="AJ209" s="144">
        <f>IF(OR($H209&gt;AJ$4,$I209&lt;=AI$4),0,IF(AND($H209&lt;=AI$4,$I209&gt;=AJ$4,AK$62=1),($I209-AJ$3)/365.25,IF(AND($H209&lt;=AI$4,$I209&gt;=AJ$4),1,IF(AND($H209&lt;=AI$4,$I209&lt;AJ$4,AJ$62=0),($I209-AI$4)/365.25,IF(AND($H209&lt;=AJ$4,$I209&gt;=AJ$4,AK$62=1),($I209-$H209+1)/365.25,IF(AND($H209&lt;=AJ$4,$I209&gt;=AJ$4),(AJ$4-$H209+1)/365.25,IF(AND($H209&lt;=AJ$4,$I209&lt;AJ$4,AJ$62=0),($I209-$H209+1)/365.25,0)))))))</f>
        <v/>
      </c>
      <c r="AK209" s="144">
        <f>IF(OR($H209&gt;AK$4,$I209&lt;=AJ$4),0,IF(AND($H209&lt;=AJ$4,$I209&gt;=AK$4,AL$62=1),($I209-AK$3)/365.25,IF(AND($H209&lt;=AJ$4,$I209&gt;=AK$4),1,IF(AND($H209&lt;=AJ$4,$I209&lt;AK$4,AK$62=0),($I209-AJ$4)/365.25,IF(AND($H209&lt;=AK$4,$I209&gt;=AK$4,AL$62=1),($I209-$H209+1)/365.25,IF(AND($H209&lt;=AK$4,$I209&gt;=AK$4),(AK$4-$H209+1)/365.25,IF(AND($H209&lt;=AK$4,$I209&lt;AK$4,AK$62=0),($I209-$H209+1)/365.25,0)))))))</f>
        <v/>
      </c>
      <c r="AL209" s="144">
        <f>IF(OR($H209&gt;AL$4,$I209&lt;=AK$4),0,IF(AND($H209&lt;=AK$4,$I209&gt;=AL$4,AM$62=1),($I209-AL$3)/365.25,IF(AND($H209&lt;=AK$4,$I209&gt;=AL$4),1,IF(AND($H209&lt;=AK$4,$I209&lt;AL$4,AL$62=0),($I209-AK$4)/365.25,IF(AND($H209&lt;=AL$4,$I209&gt;=AL$4,AM$62=1),($I209-$H209+1)/365.25,IF(AND($H209&lt;=AL$4,$I209&gt;=AL$4),(AL$4-$H209+1)/365.25,IF(AND($H209&lt;=AL$4,$I209&lt;AL$4,AL$62=0),($I209-$H209+1)/365.25,0)))))))</f>
        <v/>
      </c>
      <c r="AM209" s="144">
        <f>IF(OR($H209&gt;AM$4,$I209&lt;=AL$4),0,IF(AND($H209&lt;=AL$4,$I209&gt;=AM$4,AN$62=1),($I209-AM$3)/365.25,IF(AND($H209&lt;=AL$4,$I209&gt;=AM$4),1,IF(AND($H209&lt;=AL$4,$I209&lt;AM$4,AM$62=0),($I209-AL$4)/365.25,IF(AND($H209&lt;=AM$4,$I209&gt;=AM$4,AN$62=1),($I209-$H209+1)/365.25,IF(AND($H209&lt;=AM$4,$I209&gt;=AM$4),(AM$4-$H209+1)/365.25,IF(AND($H209&lt;=AM$4,$I209&lt;AM$4,AM$62=0),($I209-$H209+1)/365.25,0)))))))</f>
        <v/>
      </c>
      <c r="AN209" s="144">
        <f>IF(OR($H209&gt;AN$4,$I209&lt;=AM$4),0,IF(AND($H209&lt;=AM$4,$I209&gt;=AN$4,AO$62=1),($I209-AN$3)/365.25,IF(AND($H209&lt;=AM$4,$I209&gt;=AN$4),1,IF(AND($H209&lt;=AM$4,$I209&lt;AN$4,AN$62=0),($I209-AM$4)/365.25,IF(AND($H209&lt;=AN$4,$I209&gt;=AN$4,AO$62=1),($I209-$H209+1)/365.25,IF(AND($H209&lt;=AN$4,$I209&gt;=AN$4),(AN$4-$H209+1)/365.25,IF(AND($H209&lt;=AN$4,$I209&lt;AN$4,AN$62=0),($I209-$H209+1)/365.25,0)))))))</f>
        <v/>
      </c>
      <c r="AO209" s="144">
        <f>IF(OR($H209&gt;AO$4,$I209&lt;=AN$4),0,IF(AND($H209&lt;=AN$4,$I209&gt;=AO$4,AP$62=1),($I209-AO$3)/365.25,IF(AND($H209&lt;=AN$4,$I209&gt;=AO$4),1,IF(AND($H209&lt;=AN$4,$I209&lt;AO$4,AO$62=0),($I209-AN$4)/365.25,IF(AND($H209&lt;=AO$4,$I209&gt;=AO$4,AP$62=1),($I209-$H209+1)/365.25,IF(AND($H209&lt;=AO$4,$I209&gt;=AO$4),(AO$4-$H209+1)/365.25,IF(AND($H209&lt;=AO$4,$I209&lt;AO$4,AO$62=0),($I209-$H209+1)/365.25,0)))))))</f>
        <v/>
      </c>
      <c r="AP209" s="144">
        <f>IF(OR($H209&gt;AP$4,$I209&lt;=AO$4),0,IF(AND($H209&lt;=AO$4,$I209&gt;=AP$4,AQ$62=1),($I209-AP$3)/365.25,IF(AND($H209&lt;=AO$4,$I209&gt;=AP$4),1,IF(AND($H209&lt;=AO$4,$I209&lt;AP$4,AP$62=0),($I209-AO$4)/365.25,IF(AND($H209&lt;=AP$4,$I209&gt;=AP$4,AQ$62=1),($I209-$H209+1)/365.25,IF(AND($H209&lt;=AP$4,$I209&gt;=AP$4),(AP$4-$H209+1)/365.25,IF(AND($H209&lt;=AP$4,$I209&lt;AP$4,AP$62=0),($I209-$H209+1)/365.25,0)))))))</f>
        <v/>
      </c>
      <c r="AQ209" s="144">
        <f>IF(OR($H209&gt;AQ$4,$I209&lt;=AP$4),0,IF(AND($H209&lt;=AP$4,$I209&gt;=AQ$4,AR$62=1),($I209-AQ$3)/365.25,IF(AND($H209&lt;=AP$4,$I209&gt;=AQ$4),1,IF(AND($H209&lt;=AP$4,$I209&lt;AQ$4,AQ$62=0),($I209-AP$4)/365.25,IF(AND($H209&lt;=AQ$4,$I209&gt;=AQ$4,AR$62=1),($I209-$H209+1)/365.25,IF(AND($H209&lt;=AQ$4,$I209&gt;=AQ$4),(AQ$4-$H209+1)/365.25,IF(AND($H209&lt;=AQ$4,$I209&lt;AQ$4,AQ$62=0),($I209-$H209+1)/365.25,0)))))))</f>
        <v/>
      </c>
      <c r="AR209" s="144">
        <f>IF(OR($H209&gt;AR$4,$I209&lt;=AQ$4),0,IF(AND($H209&lt;=AQ$4,$I209&gt;=AR$4,AS$62=1),($I209-AR$3)/365.25,IF(AND($H209&lt;=AQ$4,$I209&gt;=AR$4),1,IF(AND($H209&lt;=AQ$4,$I209&lt;AR$4,AR$62=0),($I209-AQ$4)/365.25,IF(AND($H209&lt;=AR$4,$I209&gt;=AR$4,AS$62=1),($I209-$H209+1)/365.25,IF(AND($H209&lt;=AR$4,$I209&gt;=AR$4),(AR$4-$H209+1)/365.25,IF(AND($H209&lt;=AR$4,$I209&lt;AR$4,AR$62=0),($I209-$H209+1)/365.25,0)))))))</f>
        <v/>
      </c>
      <c r="AS209" s="144">
        <f>IF(OR($H209&gt;AS$4,$I209&lt;=AR$4),0,IF(AND($H209&lt;=AR$4,$I209&gt;=AS$4,AT$62=1),($I209-AS$3)/365.25,IF(AND($H209&lt;=AR$4,$I209&gt;=AS$4),1,IF(AND($H209&lt;=AR$4,$I209&lt;AS$4,AS$62=0),($I209-AR$4)/365.25,IF(AND($H209&lt;=AS$4,$I209&gt;=AS$4,AT$62=1),($I209-$H209+1)/365.25,IF(AND($H209&lt;=AS$4,$I209&gt;=AS$4),(AS$4-$H209+1)/365.25,IF(AND($H209&lt;=AS$4,$I209&lt;AS$4,AS$62=0),($I209-$H209+1)/365.25,0)))))))</f>
        <v/>
      </c>
      <c r="AT209" s="144">
        <f>IF(OR($H209&gt;AT$4,$I209&lt;=AS$4),0,IF(AND($H209&lt;=AS$4,$I209&gt;=AT$4,AU$62=1),($I209-AT$3)/365.25,IF(AND($H209&lt;=AS$4,$I209&gt;=AT$4),1,IF(AND($H209&lt;=AS$4,$I209&lt;AT$4,AT$62=0),($I209-AS$4)/365.25,IF(AND($H209&lt;=AT$4,$I209&gt;=AT$4,AU$62=1),($I209-$H209+1)/365.25,IF(AND($H209&lt;=AT$4,$I209&gt;=AT$4),(AT$4-$H209+1)/365.25,IF(AND($H209&lt;=AT$4,$I209&lt;AT$4,AT$62=0),($I209-$H209+1)/365.25,0)))))))</f>
        <v/>
      </c>
      <c r="AU209" s="144">
        <f>IF(OR($H209&gt;AU$4,$I209&lt;=AT$4),0,IF(AND($H209&lt;=AT$4,$I209&gt;=AU$4,AV$62=1),($I209-AU$3)/365.25,IF(AND($H209&lt;=AT$4,$I209&gt;=AU$4),1,IF(AND($H209&lt;=AT$4,$I209&lt;AU$4,AU$62=0),($I209-AT$4)/365.25,IF(AND($H209&lt;=AU$4,$I209&gt;=AU$4,AV$62=1),($I209-$H209+1)/365.25,IF(AND($H209&lt;=AU$4,$I209&gt;=AU$4),(AU$4-$H209+1)/365.25,IF(AND($H209&lt;=AU$4,$I209&lt;AU$4,AU$62=0),($I209-$H209+1)/365.25,0)))))))</f>
        <v/>
      </c>
      <c r="AV209" s="144">
        <f>IF(OR($H209&gt;AV$4,$I209&lt;=AU$4),0,IF(AND($H209&lt;=AU$4,$I209&gt;=AV$4,AW$62=1),($I209-AV$3)/365.25,IF(AND($H209&lt;=AU$4,$I209&gt;=AV$4),1,IF(AND($H209&lt;=AU$4,$I209&lt;AV$4,AV$62=0),($I209-AU$4)/365.25,IF(AND($H209&lt;=AV$4,$I209&gt;=AV$4,AW$62=1),($I209-$H209+1)/365.25,IF(AND($H209&lt;=AV$4,$I209&gt;=AV$4),(AV$4-$H209+1)/365.25,IF(AND($H209&lt;=AV$4,$I209&lt;AV$4,AV$62=0),($I209-$H209+1)/365.25,0)))))))</f>
        <v/>
      </c>
      <c r="AW209" s="144">
        <f>IF(OR($H209&gt;AW$4,$I209&lt;=AV$4),0,IF(AND($H209&lt;=AV$4,$I209&gt;=AW$4,AX$62=1),($I209-AW$3)/365.25,IF(AND($H209&lt;=AV$4,$I209&gt;=AW$4),1,IF(AND($H209&lt;=AV$4,$I209&lt;AW$4,AW$62=0),($I209-AV$4)/365.25,IF(AND($H209&lt;=AW$4,$I209&gt;=AW$4,AX$62=1),($I209-$H209+1)/365.25,IF(AND($H209&lt;=AW$4,$I209&gt;=AW$4),(AW$4-$H209+1)/365.25,IF(AND($H209&lt;=AW$4,$I209&lt;AW$4,AW$62=0),($I209-$H209+1)/365.25,0)))))))</f>
        <v/>
      </c>
      <c r="AX209" s="144">
        <f>IF(OR($H209&gt;AX$4,$I209&lt;=AW$4),0,IF(AND($H209&lt;=AW$4,$I209&gt;=AX$4,AY$62=1),($I209-AX$3)/365.25,IF(AND($H209&lt;=AW$4,$I209&gt;=AX$4),1,IF(AND($H209&lt;=AW$4,$I209&lt;AX$4,AX$62=0),($I209-AW$4)/365.25,IF(AND($H209&lt;=AX$4,$I209&gt;=AX$4,AY$62=1),($I209-$H209+1)/365.25,IF(AND($H209&lt;=AX$4,$I209&gt;=AX$4),(AX$4-$H209+1)/365.25,IF(AND($H209&lt;=AX$4,$I209&lt;AX$4,AX$62=0),($I209-$H209+1)/365.25,0)))))))</f>
        <v/>
      </c>
      <c r="AY209" s="144">
        <f>IF(OR($H209&gt;AY$4,$I209&lt;=AX$4),0,IF(AND($H209&lt;=AX$4,$I209&gt;=AY$4,AZ$62=1),($I209-AY$3)/365.25,IF(AND($H209&lt;=AX$4,$I209&gt;=AY$4),1,IF(AND($H209&lt;=AX$4,$I209&lt;AY$4,AY$62=0),($I209-AX$4)/365.25,IF(AND($H209&lt;=AY$4,$I209&gt;=AY$4,AZ$62=1),($I209-$H209+1)/365.25,IF(AND($H209&lt;=AY$4,$I209&gt;=AY$4),(AY$4-$H209+1)/365.25,IF(AND($H209&lt;=AY$4,$I209&lt;AY$4,AY$62=0),($I209-$H209+1)/365.25,0)))))))</f>
        <v/>
      </c>
      <c r="AZ209" s="144">
        <f>IF(OR($H209&gt;AZ$4,$I209&lt;=AY$4),0,IF(AND($H209&lt;=AY$4,$I209&gt;=AZ$4,BA$62=1),($I209-AZ$3)/365.25,IF(AND($H209&lt;=AY$4,$I209&gt;=AZ$4),1,IF(AND($H209&lt;=AY$4,$I209&lt;AZ$4,AZ$62=0),($I209-AY$4)/365.25,IF(AND($H209&lt;=AZ$4,$I209&gt;=AZ$4,BA$62=1),($I209-$H209+1)/365.25,IF(AND($H209&lt;=AZ$4,$I209&gt;=AZ$4),(AZ$4-$H209+1)/365.25,IF(AND($H209&lt;=AZ$4,$I209&lt;AZ$4,AZ$62=0),($I209-$H209+1)/365.25,0)))))))</f>
        <v/>
      </c>
      <c r="BA209" s="144">
        <f>IF(OR($H209&gt;BA$4,$I209&lt;=AZ$4),0,IF(AND($H209&lt;=AZ$4,$I209&gt;=BA$4,BB$62=1),($I209-BA$3)/365.25,IF(AND($H209&lt;=AZ$4,$I209&gt;=BA$4),1,IF(AND($H209&lt;=AZ$4,$I209&lt;BA$4,BA$62=0),($I209-AZ$4)/365.25,IF(AND($H209&lt;=BA$4,$I209&gt;=BA$4,BB$62=1),($I209-$H209+1)/365.25,IF(AND($H209&lt;=BA$4,$I209&gt;=BA$4),(BA$4-$H209+1)/365.25,IF(AND($H209&lt;=BA$4,$I209&lt;BA$4,BA$62=0),($I209-$H209+1)/365.25,0)))))))</f>
        <v/>
      </c>
      <c r="BB209" s="144">
        <f>IF(OR($H209&gt;BB$4,$I209&lt;=BA$4),0,IF(AND($H209&lt;=BA$4,$I209&gt;=BB$4,BC$62=1),($I209-BB$3)/365.25,IF(AND($H209&lt;=BA$4,$I209&gt;=BB$4),1,IF(AND($H209&lt;=BA$4,$I209&lt;BB$4,BB$62=0),($I209-BA$4)/365.25,IF(AND($H209&lt;=BB$4,$I209&gt;=BB$4,BC$62=1),($I209-$H209+1)/365.25,IF(AND($H209&lt;=BB$4,$I209&gt;=BB$4),(BB$4-$H209+1)/365.25,IF(AND($H209&lt;=BB$4,$I209&lt;BB$4,BB$62=0),($I209-$H209+1)/365.25,0)))))))</f>
        <v/>
      </c>
    </row>
    <row r="210" ht="15" customHeight="1">
      <c r="E210" s="21" t="inlineStr">
        <is>
          <t>Third DCCt adjustment</t>
        </is>
      </c>
      <c r="G210" s="21" t="inlineStr">
        <is>
          <t>flag</t>
        </is>
      </c>
      <c r="H210" s="41">
        <f>IF(I196="","",I196)</f>
        <v/>
      </c>
      <c r="I210" s="41">
        <f>IF(H210="","",IF(H211="",$I$175-1,H211-1))</f>
        <v/>
      </c>
      <c r="O210" s="33" t="n"/>
      <c r="P210" s="144">
        <f>IF(OR($H210&gt;P$4,$I210&lt;=O$4),0,IF(AND($H210&lt;=O$4,$I210&gt;=P$4,Q$62=1),($I210-P$3)/365.25,IF(AND($H210&lt;=O$4,$I210&gt;=P$4),1,IF(AND($H210&lt;=O$4,$I210&lt;P$4,P$62=0),($I210-O$4)/365.25,IF(AND($H210&lt;=P$4,$I210&gt;=P$4,Q$62=1),($I210-$H210+1)/365.25,IF(AND($H210&lt;=P$4,$I210&gt;=P$4),(P$4-$H210+1)/365.25,IF(AND($H210&lt;=P$4,$I210&lt;P$4,P$62=0),($I210-$H210+1)/365.25,0)))))))</f>
        <v/>
      </c>
      <c r="Q210" s="144">
        <f>IF(OR($H210&gt;Q$4,$I210&lt;=P$4),0,IF(AND($H210&lt;=P$4,$I210&gt;=Q$4,R$62=1),($I210-Q$3)/365.25,IF(AND($H210&lt;=P$4,$I210&gt;=Q$4),1,IF(AND($H210&lt;=P$4,$I210&lt;Q$4,Q$62=0),($I210-P$4)/365.25,IF(AND($H210&lt;=Q$4,$I210&gt;=Q$4,R$62=1),($I210-$H210+1)/365.25,IF(AND($H210&lt;=Q$4,$I210&gt;=Q$4),(Q$4-$H210+1)/365.25,IF(AND($H210&lt;=Q$4,$I210&lt;Q$4,Q$62=0),($I210-$H210+1)/365.25,0)))))))</f>
        <v/>
      </c>
      <c r="R210" s="144">
        <f>IF(OR($H210&gt;R$4,$I210&lt;=Q$4),0,IF(AND($H210&lt;=Q$4,$I210&gt;=R$4,S$62=1),($I210-R$3)/365.25,IF(AND($H210&lt;=Q$4,$I210&gt;=R$4),1,IF(AND($H210&lt;=Q$4,$I210&lt;R$4,R$62=0),($I210-Q$4)/365.25,IF(AND($H210&lt;=R$4,$I210&gt;=R$4,S$62=1),($I210-$H210+1)/365.25,IF(AND($H210&lt;=R$4,$I210&gt;=R$4),(R$4-$H210+1)/365.25,IF(AND($H210&lt;=R$4,$I210&lt;R$4,R$62=0),($I210-$H210+1)/365.25,0)))))))</f>
        <v/>
      </c>
      <c r="S210" s="144">
        <f>IF(OR($H210&gt;S$4,$I210&lt;=R$4),0,IF(AND($H210&lt;=R$4,$I210&gt;=S$4,T$62=1),($I210-S$3)/365.25,IF(AND($H210&lt;=R$4,$I210&gt;=S$4),1,IF(AND($H210&lt;=R$4,$I210&lt;S$4,S$62=0),($I210-R$4)/365.25,IF(AND($H210&lt;=S$4,$I210&gt;=S$4,T$62=1),($I210-$H210+1)/365.25,IF(AND($H210&lt;=S$4,$I210&gt;=S$4),(S$4-$H210+1)/365.25,IF(AND($H210&lt;=S$4,$I210&lt;S$4,S$62=0),($I210-$H210+1)/365.25,0)))))))</f>
        <v/>
      </c>
      <c r="T210" s="144">
        <f>IF(OR($H210&gt;T$4,$I210&lt;=S$4),0,IF(AND($H210&lt;=S$4,$I210&gt;=T$4,U$62=1),($I210-T$3)/365.25,IF(AND($H210&lt;=S$4,$I210&gt;=T$4),1,IF(AND($H210&lt;=S$4,$I210&lt;T$4,T$62=0),($I210-S$4)/365.25,IF(AND($H210&lt;=T$4,$I210&gt;=T$4,U$62=1),($I210-$H210+1)/365.25,IF(AND($H210&lt;=T$4,$I210&gt;=T$4),(T$4-$H210+1)/365.25,IF(AND($H210&lt;=T$4,$I210&lt;T$4,T$62=0),($I210-$H210+1)/365.25,0)))))))</f>
        <v/>
      </c>
      <c r="U210" s="144">
        <f>IF(OR($H210&gt;U$4,$I210&lt;=T$4),0,IF(AND($H210&lt;=T$4,$I210&gt;=U$4,V$62=1),($I210-U$3)/365.25,IF(AND($H210&lt;=T$4,$I210&gt;=U$4),1,IF(AND($H210&lt;=T$4,$I210&lt;U$4,U$62=0),($I210-T$4)/365.25,IF(AND($H210&lt;=U$4,$I210&gt;=U$4,V$62=1),($I210-$H210+1)/365.25,IF(AND($H210&lt;=U$4,$I210&gt;=U$4),(U$4-$H210+1)/365.25,IF(AND($H210&lt;=U$4,$I210&lt;U$4,U$62=0),($I210-$H210+1)/365.25,0)))))))</f>
        <v/>
      </c>
      <c r="V210" s="144">
        <f>IF(OR($H210&gt;V$4,$I210&lt;=U$4),0,IF(AND($H210&lt;=U$4,$I210&gt;=V$4,W$62=1),($I210-V$3)/365.25,IF(AND($H210&lt;=U$4,$I210&gt;=V$4),1,IF(AND($H210&lt;=U$4,$I210&lt;V$4,V$62=0),($I210-U$4)/365.25,IF(AND($H210&lt;=V$4,$I210&gt;=V$4,W$62=1),($I210-$H210+1)/365.25,IF(AND($H210&lt;=V$4,$I210&gt;=V$4),(V$4-$H210+1)/365.25,IF(AND($H210&lt;=V$4,$I210&lt;V$4,V$62=0),($I210-$H210+1)/365.25,0)))))))</f>
        <v/>
      </c>
      <c r="W210" s="144">
        <f>IF(OR($H210&gt;W$4,$I210&lt;=V$4),0,IF(AND($H210&lt;=V$4,$I210&gt;=W$4,X$62=1),($I210-W$3)/365.25,IF(AND($H210&lt;=V$4,$I210&gt;=W$4),1,IF(AND($H210&lt;=V$4,$I210&lt;W$4,W$62=0),($I210-V$4)/365.25,IF(AND($H210&lt;=W$4,$I210&gt;=W$4,X$62=1),($I210-$H210+1)/365.25,IF(AND($H210&lt;=W$4,$I210&gt;=W$4),(W$4-$H210+1)/365.25,IF(AND($H210&lt;=W$4,$I210&lt;W$4,W$62=0),($I210-$H210+1)/365.25,0)))))))</f>
        <v/>
      </c>
      <c r="X210" s="144">
        <f>IF(OR($H210&gt;X$4,$I210&lt;=W$4),0,IF(AND($H210&lt;=W$4,$I210&gt;=X$4,Y$62=1),($I210-X$3)/365.25,IF(AND($H210&lt;=W$4,$I210&gt;=X$4),1,IF(AND($H210&lt;=W$4,$I210&lt;X$4,X$62=0),($I210-W$4)/365.25,IF(AND($H210&lt;=X$4,$I210&gt;=X$4,Y$62=1),($I210-$H210+1)/365.25,IF(AND($H210&lt;=X$4,$I210&gt;=X$4),(X$4-$H210+1)/365.25,IF(AND($H210&lt;=X$4,$I210&lt;X$4,X$62=0),($I210-$H210+1)/365.25,0)))))))</f>
        <v/>
      </c>
      <c r="Y210" s="144">
        <f>IF(OR($H210&gt;Y$4,$I210&lt;=X$4),0,IF(AND($H210&lt;=X$4,$I210&gt;=Y$4,Z$62=1),($I210-Y$3)/365.25,IF(AND($H210&lt;=X$4,$I210&gt;=Y$4),1,IF(AND($H210&lt;=X$4,$I210&lt;Y$4,Y$62=0),($I210-X$4)/365.25,IF(AND($H210&lt;=Y$4,$I210&gt;=Y$4,Z$62=1),($I210-$H210+1)/365.25,IF(AND($H210&lt;=Y$4,$I210&gt;=Y$4),(Y$4-$H210+1)/365.25,IF(AND($H210&lt;=Y$4,$I210&lt;Y$4,Y$62=0),($I210-$H210+1)/365.25,0)))))))</f>
        <v/>
      </c>
      <c r="Z210" s="144">
        <f>IF(OR($H210&gt;Z$4,$I210&lt;=Y$4),0,IF(AND($H210&lt;=Y$4,$I210&gt;=Z$4,AA$62=1),($I210-Z$3)/365.25,IF(AND($H210&lt;=Y$4,$I210&gt;=Z$4),1,IF(AND($H210&lt;=Y$4,$I210&lt;Z$4,Z$62=0),($I210-Y$4)/365.25,IF(AND($H210&lt;=Z$4,$I210&gt;=Z$4,AA$62=1),($I210-$H210+1)/365.25,IF(AND($H210&lt;=Z$4,$I210&gt;=Z$4),(Z$4-$H210+1)/365.25,IF(AND($H210&lt;=Z$4,$I210&lt;Z$4,Z$62=0),($I210-$H210+1)/365.25,0)))))))</f>
        <v/>
      </c>
      <c r="AA210" s="144">
        <f>IF(OR($H210&gt;AA$4,$I210&lt;=Z$4),0,IF(AND($H210&lt;=Z$4,$I210&gt;=AA$4,AB$62=1),($I210-AA$3)/365.25,IF(AND($H210&lt;=Z$4,$I210&gt;=AA$4),1,IF(AND($H210&lt;=Z$4,$I210&lt;AA$4,AA$62=0),($I210-Z$4)/365.25,IF(AND($H210&lt;=AA$4,$I210&gt;=AA$4,AB$62=1),($I210-$H210+1)/365.25,IF(AND($H210&lt;=AA$4,$I210&gt;=AA$4),(AA$4-$H210+1)/365.25,IF(AND($H210&lt;=AA$4,$I210&lt;AA$4,AA$62=0),($I210-$H210+1)/365.25,0)))))))</f>
        <v/>
      </c>
      <c r="AB210" s="144">
        <f>IF(OR($H210&gt;AB$4,$I210&lt;=AA$4),0,IF(AND($H210&lt;=AA$4,$I210&gt;=AB$4,AC$62=1),($I210-AB$3)/365.25,IF(AND($H210&lt;=AA$4,$I210&gt;=AB$4),1,IF(AND($H210&lt;=AA$4,$I210&lt;AB$4,AB$62=0),($I210-AA$4)/365.25,IF(AND($H210&lt;=AB$4,$I210&gt;=AB$4,AC$62=1),($I210-$H210+1)/365.25,IF(AND($H210&lt;=AB$4,$I210&gt;=AB$4),(AB$4-$H210+1)/365.25,IF(AND($H210&lt;=AB$4,$I210&lt;AB$4,AB$62=0),($I210-$H210+1)/365.25,0)))))))</f>
        <v/>
      </c>
      <c r="AC210" s="144">
        <f>IF(OR($H210&gt;AC$4,$I210&lt;=AB$4),0,IF(AND($H210&lt;=AB$4,$I210&gt;=AC$4,AD$62=1),($I210-AC$3)/365.25,IF(AND($H210&lt;=AB$4,$I210&gt;=AC$4),1,IF(AND($H210&lt;=AB$4,$I210&lt;AC$4,AC$62=0),($I210-AB$4)/365.25,IF(AND($H210&lt;=AC$4,$I210&gt;=AC$4,AD$62=1),($I210-$H210+1)/365.25,IF(AND($H210&lt;=AC$4,$I210&gt;=AC$4),(AC$4-$H210+1)/365.25,IF(AND($H210&lt;=AC$4,$I210&lt;AC$4,AC$62=0),($I210-$H210+1)/365.25,0)))))))</f>
        <v/>
      </c>
      <c r="AD210" s="144">
        <f>IF(OR($H210&gt;AD$4,$I210&lt;=AC$4),0,IF(AND($H210&lt;=AC$4,$I210&gt;=AD$4,AE$62=1),($I210-AD$3)/365.25,IF(AND($H210&lt;=AC$4,$I210&gt;=AD$4),1,IF(AND($H210&lt;=AC$4,$I210&lt;AD$4,AD$62=0),($I210-AC$4)/365.25,IF(AND($H210&lt;=AD$4,$I210&gt;=AD$4,AE$62=1),($I210-$H210+1)/365.25,IF(AND($H210&lt;=AD$4,$I210&gt;=AD$4),(AD$4-$H210+1)/365.25,IF(AND($H210&lt;=AD$4,$I210&lt;AD$4,AD$62=0),($I210-$H210+1)/365.25,0)))))))</f>
        <v/>
      </c>
      <c r="AE210" s="144">
        <f>IF(OR($H210&gt;AE$4,$I210&lt;=AD$4),0,IF(AND($H210&lt;=AD$4,$I210&gt;=AE$4,AF$62=1),($I210-AE$3)/365.25,IF(AND($H210&lt;=AD$4,$I210&gt;=AE$4),1,IF(AND($H210&lt;=AD$4,$I210&lt;AE$4,AE$62=0),($I210-AD$4)/365.25,IF(AND($H210&lt;=AE$4,$I210&gt;=AE$4,AF$62=1),($I210-$H210+1)/365.25,IF(AND($H210&lt;=AE$4,$I210&gt;=AE$4),(AE$4-$H210+1)/365.25,IF(AND($H210&lt;=AE$4,$I210&lt;AE$4,AE$62=0),($I210-$H210+1)/365.25,0)))))))</f>
        <v/>
      </c>
      <c r="AF210" s="144">
        <f>IF(OR($H210&gt;AF$4,$I210&lt;=AE$4),0,IF(AND($H210&lt;=AE$4,$I210&gt;=AF$4,AG$62=1),($I210-AF$3)/365.25,IF(AND($H210&lt;=AE$4,$I210&gt;=AF$4),1,IF(AND($H210&lt;=AE$4,$I210&lt;AF$4,AF$62=0),($I210-AE$4)/365.25,IF(AND($H210&lt;=AF$4,$I210&gt;=AF$4,AG$62=1),($I210-$H210+1)/365.25,IF(AND($H210&lt;=AF$4,$I210&gt;=AF$4),(AF$4-$H210+1)/365.25,IF(AND($H210&lt;=AF$4,$I210&lt;AF$4,AF$62=0),($I210-$H210+1)/365.25,0)))))))</f>
        <v/>
      </c>
      <c r="AG210" s="144">
        <f>IF(OR($H210&gt;AG$4,$I210&lt;=AF$4),0,IF(AND($H210&lt;=AF$4,$I210&gt;=AG$4,AH$62=1),($I210-AG$3)/365.25,IF(AND($H210&lt;=AF$4,$I210&gt;=AG$4),1,IF(AND($H210&lt;=AF$4,$I210&lt;AG$4,AG$62=0),($I210-AF$4)/365.25,IF(AND($H210&lt;=AG$4,$I210&gt;=AG$4,AH$62=1),($I210-$H210+1)/365.25,IF(AND($H210&lt;=AG$4,$I210&gt;=AG$4),(AG$4-$H210+1)/365.25,IF(AND($H210&lt;=AG$4,$I210&lt;AG$4,AG$62=0),($I210-$H210+1)/365.25,0)))))))</f>
        <v/>
      </c>
      <c r="AH210" s="144">
        <f>IF(OR($H210&gt;AH$4,$I210&lt;=AG$4),0,IF(AND($H210&lt;=AG$4,$I210&gt;=AH$4,AI$62=1),($I210-AH$3)/365.25,IF(AND($H210&lt;=AG$4,$I210&gt;=AH$4),1,IF(AND($H210&lt;=AG$4,$I210&lt;AH$4,AH$62=0),($I210-AG$4)/365.25,IF(AND($H210&lt;=AH$4,$I210&gt;=AH$4,AI$62=1),($I210-$H210+1)/365.25,IF(AND($H210&lt;=AH$4,$I210&gt;=AH$4),(AH$4-$H210+1)/365.25,IF(AND($H210&lt;=AH$4,$I210&lt;AH$4,AH$62=0),($I210-$H210+1)/365.25,0)))))))</f>
        <v/>
      </c>
      <c r="AI210" s="144">
        <f>IF(OR($H210&gt;AI$4,$I210&lt;=AH$4),0,IF(AND($H210&lt;=AH$4,$I210&gt;=AI$4,AJ$62=1),($I210-AI$3)/365.25,IF(AND($H210&lt;=AH$4,$I210&gt;=AI$4),1,IF(AND($H210&lt;=AH$4,$I210&lt;AI$4,AI$62=0),($I210-AH$4)/365.25,IF(AND($H210&lt;=AI$4,$I210&gt;=AI$4,AJ$62=1),($I210-$H210+1)/365.25,IF(AND($H210&lt;=AI$4,$I210&gt;=AI$4),(AI$4-$H210+1)/365.25,IF(AND($H210&lt;=AI$4,$I210&lt;AI$4,AI$62=0),($I210-$H210+1)/365.25,0)))))))</f>
        <v/>
      </c>
      <c r="AJ210" s="144">
        <f>IF(OR($H210&gt;AJ$4,$I210&lt;=AI$4),0,IF(AND($H210&lt;=AI$4,$I210&gt;=AJ$4,AK$62=1),($I210-AJ$3)/365.25,IF(AND($H210&lt;=AI$4,$I210&gt;=AJ$4),1,IF(AND($H210&lt;=AI$4,$I210&lt;AJ$4,AJ$62=0),($I210-AI$4)/365.25,IF(AND($H210&lt;=AJ$4,$I210&gt;=AJ$4,AK$62=1),($I210-$H210+1)/365.25,IF(AND($H210&lt;=AJ$4,$I210&gt;=AJ$4),(AJ$4-$H210+1)/365.25,IF(AND($H210&lt;=AJ$4,$I210&lt;AJ$4,AJ$62=0),($I210-$H210+1)/365.25,0)))))))</f>
        <v/>
      </c>
      <c r="AK210" s="144">
        <f>IF(OR($H210&gt;AK$4,$I210&lt;=AJ$4),0,IF(AND($H210&lt;=AJ$4,$I210&gt;=AK$4,AL$62=1),($I210-AK$3)/365.25,IF(AND($H210&lt;=AJ$4,$I210&gt;=AK$4),1,IF(AND($H210&lt;=AJ$4,$I210&lt;AK$4,AK$62=0),($I210-AJ$4)/365.25,IF(AND($H210&lt;=AK$4,$I210&gt;=AK$4,AL$62=1),($I210-$H210+1)/365.25,IF(AND($H210&lt;=AK$4,$I210&gt;=AK$4),(AK$4-$H210+1)/365.25,IF(AND($H210&lt;=AK$4,$I210&lt;AK$4,AK$62=0),($I210-$H210+1)/365.25,0)))))))</f>
        <v/>
      </c>
      <c r="AL210" s="144">
        <f>IF(OR($H210&gt;AL$4,$I210&lt;=AK$4),0,IF(AND($H210&lt;=AK$4,$I210&gt;=AL$4,AM$62=1),($I210-AL$3)/365.25,IF(AND($H210&lt;=AK$4,$I210&gt;=AL$4),1,IF(AND($H210&lt;=AK$4,$I210&lt;AL$4,AL$62=0),($I210-AK$4)/365.25,IF(AND($H210&lt;=AL$4,$I210&gt;=AL$4,AM$62=1),($I210-$H210+1)/365.25,IF(AND($H210&lt;=AL$4,$I210&gt;=AL$4),(AL$4-$H210+1)/365.25,IF(AND($H210&lt;=AL$4,$I210&lt;AL$4,AL$62=0),($I210-$H210+1)/365.25,0)))))))</f>
        <v/>
      </c>
      <c r="AM210" s="144">
        <f>IF(OR($H210&gt;AM$4,$I210&lt;=AL$4),0,IF(AND($H210&lt;=AL$4,$I210&gt;=AM$4,AN$62=1),($I210-AM$3)/365.25,IF(AND($H210&lt;=AL$4,$I210&gt;=AM$4),1,IF(AND($H210&lt;=AL$4,$I210&lt;AM$4,AM$62=0),($I210-AL$4)/365.25,IF(AND($H210&lt;=AM$4,$I210&gt;=AM$4,AN$62=1),($I210-$H210+1)/365.25,IF(AND($H210&lt;=AM$4,$I210&gt;=AM$4),(AM$4-$H210+1)/365.25,IF(AND($H210&lt;=AM$4,$I210&lt;AM$4,AM$62=0),($I210-$H210+1)/365.25,0)))))))</f>
        <v/>
      </c>
      <c r="AN210" s="144">
        <f>IF(OR($H210&gt;AN$4,$I210&lt;=AM$4),0,IF(AND($H210&lt;=AM$4,$I210&gt;=AN$4,AO$62=1),($I210-AN$3)/365.25,IF(AND($H210&lt;=AM$4,$I210&gt;=AN$4),1,IF(AND($H210&lt;=AM$4,$I210&lt;AN$4,AN$62=0),($I210-AM$4)/365.25,IF(AND($H210&lt;=AN$4,$I210&gt;=AN$4,AO$62=1),($I210-$H210+1)/365.25,IF(AND($H210&lt;=AN$4,$I210&gt;=AN$4),(AN$4-$H210+1)/365.25,IF(AND($H210&lt;=AN$4,$I210&lt;AN$4,AN$62=0),($I210-$H210+1)/365.25,0)))))))</f>
        <v/>
      </c>
      <c r="AO210" s="144">
        <f>IF(OR($H210&gt;AO$4,$I210&lt;=AN$4),0,IF(AND($H210&lt;=AN$4,$I210&gt;=AO$4,AP$62=1),($I210-AO$3)/365.25,IF(AND($H210&lt;=AN$4,$I210&gt;=AO$4),1,IF(AND($H210&lt;=AN$4,$I210&lt;AO$4,AO$62=0),($I210-AN$4)/365.25,IF(AND($H210&lt;=AO$4,$I210&gt;=AO$4,AP$62=1),($I210-$H210+1)/365.25,IF(AND($H210&lt;=AO$4,$I210&gt;=AO$4),(AO$4-$H210+1)/365.25,IF(AND($H210&lt;=AO$4,$I210&lt;AO$4,AO$62=0),($I210-$H210+1)/365.25,0)))))))</f>
        <v/>
      </c>
      <c r="AP210" s="144">
        <f>IF(OR($H210&gt;AP$4,$I210&lt;=AO$4),0,IF(AND($H210&lt;=AO$4,$I210&gt;=AP$4,AQ$62=1),($I210-AP$3)/365.25,IF(AND($H210&lt;=AO$4,$I210&gt;=AP$4),1,IF(AND($H210&lt;=AO$4,$I210&lt;AP$4,AP$62=0),($I210-AO$4)/365.25,IF(AND($H210&lt;=AP$4,$I210&gt;=AP$4,AQ$62=1),($I210-$H210+1)/365.25,IF(AND($H210&lt;=AP$4,$I210&gt;=AP$4),(AP$4-$H210+1)/365.25,IF(AND($H210&lt;=AP$4,$I210&lt;AP$4,AP$62=0),($I210-$H210+1)/365.25,0)))))))</f>
        <v/>
      </c>
      <c r="AQ210" s="144">
        <f>IF(OR($H210&gt;AQ$4,$I210&lt;=AP$4),0,IF(AND($H210&lt;=AP$4,$I210&gt;=AQ$4,AR$62=1),($I210-AQ$3)/365.25,IF(AND($H210&lt;=AP$4,$I210&gt;=AQ$4),1,IF(AND($H210&lt;=AP$4,$I210&lt;AQ$4,AQ$62=0),($I210-AP$4)/365.25,IF(AND($H210&lt;=AQ$4,$I210&gt;=AQ$4,AR$62=1),($I210-$H210+1)/365.25,IF(AND($H210&lt;=AQ$4,$I210&gt;=AQ$4),(AQ$4-$H210+1)/365.25,IF(AND($H210&lt;=AQ$4,$I210&lt;AQ$4,AQ$62=0),($I210-$H210+1)/365.25,0)))))))</f>
        <v/>
      </c>
      <c r="AR210" s="144">
        <f>IF(OR($H210&gt;AR$4,$I210&lt;=AQ$4),0,IF(AND($H210&lt;=AQ$4,$I210&gt;=AR$4,AS$62=1),($I210-AR$3)/365.25,IF(AND($H210&lt;=AQ$4,$I210&gt;=AR$4),1,IF(AND($H210&lt;=AQ$4,$I210&lt;AR$4,AR$62=0),($I210-AQ$4)/365.25,IF(AND($H210&lt;=AR$4,$I210&gt;=AR$4,AS$62=1),($I210-$H210+1)/365.25,IF(AND($H210&lt;=AR$4,$I210&gt;=AR$4),(AR$4-$H210+1)/365.25,IF(AND($H210&lt;=AR$4,$I210&lt;AR$4,AR$62=0),($I210-$H210+1)/365.25,0)))))))</f>
        <v/>
      </c>
      <c r="AS210" s="144">
        <f>IF(OR($H210&gt;AS$4,$I210&lt;=AR$4),0,IF(AND($H210&lt;=AR$4,$I210&gt;=AS$4,AT$62=1),($I210-AS$3)/365.25,IF(AND($H210&lt;=AR$4,$I210&gt;=AS$4),1,IF(AND($H210&lt;=AR$4,$I210&lt;AS$4,AS$62=0),($I210-AR$4)/365.25,IF(AND($H210&lt;=AS$4,$I210&gt;=AS$4,AT$62=1),($I210-$H210+1)/365.25,IF(AND($H210&lt;=AS$4,$I210&gt;=AS$4),(AS$4-$H210+1)/365.25,IF(AND($H210&lt;=AS$4,$I210&lt;AS$4,AS$62=0),($I210-$H210+1)/365.25,0)))))))</f>
        <v/>
      </c>
      <c r="AT210" s="144">
        <f>IF(OR($H210&gt;AT$4,$I210&lt;=AS$4),0,IF(AND($H210&lt;=AS$4,$I210&gt;=AT$4,AU$62=1),($I210-AT$3)/365.25,IF(AND($H210&lt;=AS$4,$I210&gt;=AT$4),1,IF(AND($H210&lt;=AS$4,$I210&lt;AT$4,AT$62=0),($I210-AS$4)/365.25,IF(AND($H210&lt;=AT$4,$I210&gt;=AT$4,AU$62=1),($I210-$H210+1)/365.25,IF(AND($H210&lt;=AT$4,$I210&gt;=AT$4),(AT$4-$H210+1)/365.25,IF(AND($H210&lt;=AT$4,$I210&lt;AT$4,AT$62=0),($I210-$H210+1)/365.25,0)))))))</f>
        <v/>
      </c>
      <c r="AU210" s="144">
        <f>IF(OR($H210&gt;AU$4,$I210&lt;=AT$4),0,IF(AND($H210&lt;=AT$4,$I210&gt;=AU$4,AV$62=1),($I210-AU$3)/365.25,IF(AND($H210&lt;=AT$4,$I210&gt;=AU$4),1,IF(AND($H210&lt;=AT$4,$I210&lt;AU$4,AU$62=0),($I210-AT$4)/365.25,IF(AND($H210&lt;=AU$4,$I210&gt;=AU$4,AV$62=1),($I210-$H210+1)/365.25,IF(AND($H210&lt;=AU$4,$I210&gt;=AU$4),(AU$4-$H210+1)/365.25,IF(AND($H210&lt;=AU$4,$I210&lt;AU$4,AU$62=0),($I210-$H210+1)/365.25,0)))))))</f>
        <v/>
      </c>
      <c r="AV210" s="144">
        <f>IF(OR($H210&gt;AV$4,$I210&lt;=AU$4),0,IF(AND($H210&lt;=AU$4,$I210&gt;=AV$4,AW$62=1),($I210-AV$3)/365.25,IF(AND($H210&lt;=AU$4,$I210&gt;=AV$4),1,IF(AND($H210&lt;=AU$4,$I210&lt;AV$4,AV$62=0),($I210-AU$4)/365.25,IF(AND($H210&lt;=AV$4,$I210&gt;=AV$4,AW$62=1),($I210-$H210+1)/365.25,IF(AND($H210&lt;=AV$4,$I210&gt;=AV$4),(AV$4-$H210+1)/365.25,IF(AND($H210&lt;=AV$4,$I210&lt;AV$4,AV$62=0),($I210-$H210+1)/365.25,0)))))))</f>
        <v/>
      </c>
      <c r="AW210" s="144">
        <f>IF(OR($H210&gt;AW$4,$I210&lt;=AV$4),0,IF(AND($H210&lt;=AV$4,$I210&gt;=AW$4,AX$62=1),($I210-AW$3)/365.25,IF(AND($H210&lt;=AV$4,$I210&gt;=AW$4),1,IF(AND($H210&lt;=AV$4,$I210&lt;AW$4,AW$62=0),($I210-AV$4)/365.25,IF(AND($H210&lt;=AW$4,$I210&gt;=AW$4,AX$62=1),($I210-$H210+1)/365.25,IF(AND($H210&lt;=AW$4,$I210&gt;=AW$4),(AW$4-$H210+1)/365.25,IF(AND($H210&lt;=AW$4,$I210&lt;AW$4,AW$62=0),($I210-$H210+1)/365.25,0)))))))</f>
        <v/>
      </c>
      <c r="AX210" s="144">
        <f>IF(OR($H210&gt;AX$4,$I210&lt;=AW$4),0,IF(AND($H210&lt;=AW$4,$I210&gt;=AX$4,AY$62=1),($I210-AX$3)/365.25,IF(AND($H210&lt;=AW$4,$I210&gt;=AX$4),1,IF(AND($H210&lt;=AW$4,$I210&lt;AX$4,AX$62=0),($I210-AW$4)/365.25,IF(AND($H210&lt;=AX$4,$I210&gt;=AX$4,AY$62=1),($I210-$H210+1)/365.25,IF(AND($H210&lt;=AX$4,$I210&gt;=AX$4),(AX$4-$H210+1)/365.25,IF(AND($H210&lt;=AX$4,$I210&lt;AX$4,AX$62=0),($I210-$H210+1)/365.25,0)))))))</f>
        <v/>
      </c>
      <c r="AY210" s="144">
        <f>IF(OR($H210&gt;AY$4,$I210&lt;=AX$4),0,IF(AND($H210&lt;=AX$4,$I210&gt;=AY$4,AZ$62=1),($I210-AY$3)/365.25,IF(AND($H210&lt;=AX$4,$I210&gt;=AY$4),1,IF(AND($H210&lt;=AX$4,$I210&lt;AY$4,AY$62=0),($I210-AX$4)/365.25,IF(AND($H210&lt;=AY$4,$I210&gt;=AY$4,AZ$62=1),($I210-$H210+1)/365.25,IF(AND($H210&lt;=AY$4,$I210&gt;=AY$4),(AY$4-$H210+1)/365.25,IF(AND($H210&lt;=AY$4,$I210&lt;AY$4,AY$62=0),($I210-$H210+1)/365.25,0)))))))</f>
        <v/>
      </c>
      <c r="AZ210" s="144">
        <f>IF(OR($H210&gt;AZ$4,$I210&lt;=AY$4),0,IF(AND($H210&lt;=AY$4,$I210&gt;=AZ$4,BA$62=1),($I210-AZ$3)/365.25,IF(AND($H210&lt;=AY$4,$I210&gt;=AZ$4),1,IF(AND($H210&lt;=AY$4,$I210&lt;AZ$4,AZ$62=0),($I210-AY$4)/365.25,IF(AND($H210&lt;=AZ$4,$I210&gt;=AZ$4,BA$62=1),($I210-$H210+1)/365.25,IF(AND($H210&lt;=AZ$4,$I210&gt;=AZ$4),(AZ$4-$H210+1)/365.25,IF(AND($H210&lt;=AZ$4,$I210&lt;AZ$4,AZ$62=0),($I210-$H210+1)/365.25,0)))))))</f>
        <v/>
      </c>
      <c r="BA210" s="144">
        <f>IF(OR($H210&gt;BA$4,$I210&lt;=AZ$4),0,IF(AND($H210&lt;=AZ$4,$I210&gt;=BA$4,BB$62=1),($I210-BA$3)/365.25,IF(AND($H210&lt;=AZ$4,$I210&gt;=BA$4),1,IF(AND($H210&lt;=AZ$4,$I210&lt;BA$4,BA$62=0),($I210-AZ$4)/365.25,IF(AND($H210&lt;=BA$4,$I210&gt;=BA$4,BB$62=1),($I210-$H210+1)/365.25,IF(AND($H210&lt;=BA$4,$I210&gt;=BA$4),(BA$4-$H210+1)/365.25,IF(AND($H210&lt;=BA$4,$I210&lt;BA$4,BA$62=0),($I210-$H210+1)/365.25,0)))))))</f>
        <v/>
      </c>
      <c r="BB210" s="144">
        <f>IF(OR($H210&gt;BB$4,$I210&lt;=BA$4),0,IF(AND($H210&lt;=BA$4,$I210&gt;=BB$4,BC$62=1),($I210-BB$3)/365.25,IF(AND($H210&lt;=BA$4,$I210&gt;=BB$4),1,IF(AND($H210&lt;=BA$4,$I210&lt;BB$4,BB$62=0),($I210-BA$4)/365.25,IF(AND($H210&lt;=BB$4,$I210&gt;=BB$4,BC$62=1),($I210-$H210+1)/365.25,IF(AND($H210&lt;=BB$4,$I210&gt;=BB$4),(BB$4-$H210+1)/365.25,IF(AND($H210&lt;=BB$4,$I210&lt;BB$4,BB$62=0),($I210-$H210+1)/365.25,0)))))))</f>
        <v/>
      </c>
    </row>
    <row r="211" ht="15" customHeight="1">
      <c r="E211" s="21" t="inlineStr">
        <is>
          <t>Fourth DCCt adjustment</t>
        </is>
      </c>
      <c r="G211" s="21" t="inlineStr">
        <is>
          <t>flag</t>
        </is>
      </c>
      <c r="H211" s="41">
        <f>IF(I201="","",I201)</f>
        <v/>
      </c>
      <c r="I211" s="41">
        <f>IF(H211="","",$I$175-1)</f>
        <v/>
      </c>
      <c r="O211" s="33" t="n"/>
      <c r="P211" s="144">
        <f>IF(OR($H211&gt;P$4,$I211&lt;=O$4),0,IF(AND($H211&lt;=O$4,$I211&gt;=P$4,Q$62=1),($I211-P$3)/365.25,IF(AND($H211&lt;=O$4,$I211&gt;=P$4),1,IF(AND($H211&lt;=O$4,$I211&lt;P$4,P$62=0),($I211-O$4)/365.25,IF(AND($H211&lt;=P$4,$I211&gt;=P$4,Q$62=1),($I211-$H211+1)/365.25,IF(AND($H211&lt;=P$4,$I211&gt;=P$4),(P$4-$H211+1)/365.25,IF(AND($H211&lt;=P$4,$I211&lt;P$4,P$62=0),($I211-$H211+1)/365.25,0)))))))</f>
        <v/>
      </c>
      <c r="Q211" s="144">
        <f>IF(OR($H211&gt;Q$4,$I211&lt;=P$4),0,IF(AND($H211&lt;=P$4,$I211&gt;=Q$4,R$62=1),($I211-Q$3)/365.25,IF(AND($H211&lt;=P$4,$I211&gt;=Q$4),1,IF(AND($H211&lt;=P$4,$I211&lt;Q$4,Q$62=0),($I211-P$4)/365.25,IF(AND($H211&lt;=Q$4,$I211&gt;=Q$4,R$62=1),($I211-$H211+1)/365.25,IF(AND($H211&lt;=Q$4,$I211&gt;=Q$4),(Q$4-$H211+1)/365.25,IF(AND($H211&lt;=Q$4,$I211&lt;Q$4,Q$62=0),($I211-$H211+1)/365.25,0)))))))</f>
        <v/>
      </c>
      <c r="R211" s="144">
        <f>IF(OR($H211&gt;R$4,$I211&lt;=Q$4),0,IF(AND($H211&lt;=Q$4,$I211&gt;=R$4,S$62=1),($I211-R$3)/365.25,IF(AND($H211&lt;=Q$4,$I211&gt;=R$4),1,IF(AND($H211&lt;=Q$4,$I211&lt;R$4,R$62=0),($I211-Q$4)/365.25,IF(AND($H211&lt;=R$4,$I211&gt;=R$4,S$62=1),($I211-$H211+1)/365.25,IF(AND($H211&lt;=R$4,$I211&gt;=R$4),(R$4-$H211+1)/365.25,IF(AND($H211&lt;=R$4,$I211&lt;R$4,R$62=0),($I211-$H211+1)/365.25,0)))))))</f>
        <v/>
      </c>
      <c r="S211" s="144">
        <f>IF(OR($H211&gt;S$4,$I211&lt;=R$4),0,IF(AND($H211&lt;=R$4,$I211&gt;=S$4,T$62=1),($I211-S$3)/365.25,IF(AND($H211&lt;=R$4,$I211&gt;=S$4),1,IF(AND($H211&lt;=R$4,$I211&lt;S$4,S$62=0),($I211-R$4)/365.25,IF(AND($H211&lt;=S$4,$I211&gt;=S$4,T$62=1),($I211-$H211+1)/365.25,IF(AND($H211&lt;=S$4,$I211&gt;=S$4),(S$4-$H211+1)/365.25,IF(AND($H211&lt;=S$4,$I211&lt;S$4,S$62=0),($I211-$H211+1)/365.25,0)))))))</f>
        <v/>
      </c>
      <c r="T211" s="144">
        <f>IF(OR($H211&gt;T$4,$I211&lt;=S$4),0,IF(AND($H211&lt;=S$4,$I211&gt;=T$4,U$62=1),($I211-T$3)/365.25,IF(AND($H211&lt;=S$4,$I211&gt;=T$4),1,IF(AND($H211&lt;=S$4,$I211&lt;T$4,T$62=0),($I211-S$4)/365.25,IF(AND($H211&lt;=T$4,$I211&gt;=T$4,U$62=1),($I211-$H211+1)/365.25,IF(AND($H211&lt;=T$4,$I211&gt;=T$4),(T$4-$H211+1)/365.25,IF(AND($H211&lt;=T$4,$I211&lt;T$4,T$62=0),($I211-$H211+1)/365.25,0)))))))</f>
        <v/>
      </c>
      <c r="U211" s="144">
        <f>IF(OR($H211&gt;U$4,$I211&lt;=T$4),0,IF(AND($H211&lt;=T$4,$I211&gt;=U$4,V$62=1),($I211-U$3)/365.25,IF(AND($H211&lt;=T$4,$I211&gt;=U$4),1,IF(AND($H211&lt;=T$4,$I211&lt;U$4,U$62=0),($I211-T$4)/365.25,IF(AND($H211&lt;=U$4,$I211&gt;=U$4,V$62=1),($I211-$H211+1)/365.25,IF(AND($H211&lt;=U$4,$I211&gt;=U$4),(U$4-$H211+1)/365.25,IF(AND($H211&lt;=U$4,$I211&lt;U$4,U$62=0),($I211-$H211+1)/365.25,0)))))))</f>
        <v/>
      </c>
      <c r="V211" s="144">
        <f>IF(OR($H211&gt;V$4,$I211&lt;=U$4),0,IF(AND($H211&lt;=U$4,$I211&gt;=V$4,W$62=1),($I211-V$3)/365.25,IF(AND($H211&lt;=U$4,$I211&gt;=V$4),1,IF(AND($H211&lt;=U$4,$I211&lt;V$4,V$62=0),($I211-U$4)/365.25,IF(AND($H211&lt;=V$4,$I211&gt;=V$4,W$62=1),($I211-$H211+1)/365.25,IF(AND($H211&lt;=V$4,$I211&gt;=V$4),(V$4-$H211+1)/365.25,IF(AND($H211&lt;=V$4,$I211&lt;V$4,V$62=0),($I211-$H211+1)/365.25,0)))))))</f>
        <v/>
      </c>
      <c r="W211" s="144">
        <f>IF(OR($H211&gt;W$4,$I211&lt;=V$4),0,IF(AND($H211&lt;=V$4,$I211&gt;=W$4,X$62=1),($I211-W$3)/365.25,IF(AND($H211&lt;=V$4,$I211&gt;=W$4),1,IF(AND($H211&lt;=V$4,$I211&lt;W$4,W$62=0),($I211-V$4)/365.25,IF(AND($H211&lt;=W$4,$I211&gt;=W$4,X$62=1),($I211-$H211+1)/365.25,IF(AND($H211&lt;=W$4,$I211&gt;=W$4),(W$4-$H211+1)/365.25,IF(AND($H211&lt;=W$4,$I211&lt;W$4,W$62=0),($I211-$H211+1)/365.25,0)))))))</f>
        <v/>
      </c>
      <c r="X211" s="144">
        <f>IF(OR($H211&gt;X$4,$I211&lt;=W$4),0,IF(AND($H211&lt;=W$4,$I211&gt;=X$4,Y$62=1),($I211-X$3)/365.25,IF(AND($H211&lt;=W$4,$I211&gt;=X$4),1,IF(AND($H211&lt;=W$4,$I211&lt;X$4,X$62=0),($I211-W$4)/365.25,IF(AND($H211&lt;=X$4,$I211&gt;=X$4,Y$62=1),($I211-$H211+1)/365.25,IF(AND($H211&lt;=X$4,$I211&gt;=X$4),(X$4-$H211+1)/365.25,IF(AND($H211&lt;=X$4,$I211&lt;X$4,X$62=0),($I211-$H211+1)/365.25,0)))))))</f>
        <v/>
      </c>
      <c r="Y211" s="144">
        <f>IF(OR($H211&gt;Y$4,$I211&lt;=X$4),0,IF(AND($H211&lt;=X$4,$I211&gt;=Y$4,Z$62=1),($I211-Y$3)/365.25,IF(AND($H211&lt;=X$4,$I211&gt;=Y$4),1,IF(AND($H211&lt;=X$4,$I211&lt;Y$4,Y$62=0),($I211-X$4)/365.25,IF(AND($H211&lt;=Y$4,$I211&gt;=Y$4,Z$62=1),($I211-$H211+1)/365.25,IF(AND($H211&lt;=Y$4,$I211&gt;=Y$4),(Y$4-$H211+1)/365.25,IF(AND($H211&lt;=Y$4,$I211&lt;Y$4,Y$62=0),($I211-$H211+1)/365.25,0)))))))</f>
        <v/>
      </c>
      <c r="Z211" s="144">
        <f>IF(OR($H211&gt;Z$4,$I211&lt;=Y$4),0,IF(AND($H211&lt;=Y$4,$I211&gt;=Z$4,AA$62=1),($I211-Z$3)/365.25,IF(AND($H211&lt;=Y$4,$I211&gt;=Z$4),1,IF(AND($H211&lt;=Y$4,$I211&lt;Z$4,Z$62=0),($I211-Y$4)/365.25,IF(AND($H211&lt;=Z$4,$I211&gt;=Z$4,AA$62=1),($I211-$H211+1)/365.25,IF(AND($H211&lt;=Z$4,$I211&gt;=Z$4),(Z$4-$H211+1)/365.25,IF(AND($H211&lt;=Z$4,$I211&lt;Z$4,Z$62=0),($I211-$H211+1)/365.25,0)))))))</f>
        <v/>
      </c>
      <c r="AA211" s="144">
        <f>IF(OR($H211&gt;AA$4,$I211&lt;=Z$4),0,IF(AND($H211&lt;=Z$4,$I211&gt;=AA$4,AB$62=1),($I211-AA$3)/365.25,IF(AND($H211&lt;=Z$4,$I211&gt;=AA$4),1,IF(AND($H211&lt;=Z$4,$I211&lt;AA$4,AA$62=0),($I211-Z$4)/365.25,IF(AND($H211&lt;=AA$4,$I211&gt;=AA$4,AB$62=1),($I211-$H211+1)/365.25,IF(AND($H211&lt;=AA$4,$I211&gt;=AA$4),(AA$4-$H211+1)/365.25,IF(AND($H211&lt;=AA$4,$I211&lt;AA$4,AA$62=0),($I211-$H211+1)/365.25,0)))))))</f>
        <v/>
      </c>
      <c r="AB211" s="144">
        <f>IF(OR($H211&gt;AB$4,$I211&lt;=AA$4),0,IF(AND($H211&lt;=AA$4,$I211&gt;=AB$4,AC$62=1),($I211-AB$3)/365.25,IF(AND($H211&lt;=AA$4,$I211&gt;=AB$4),1,IF(AND($H211&lt;=AA$4,$I211&lt;AB$4,AB$62=0),($I211-AA$4)/365.25,IF(AND($H211&lt;=AB$4,$I211&gt;=AB$4,AC$62=1),($I211-$H211+1)/365.25,IF(AND($H211&lt;=AB$4,$I211&gt;=AB$4),(AB$4-$H211+1)/365.25,IF(AND($H211&lt;=AB$4,$I211&lt;AB$4,AB$62=0),($I211-$H211+1)/365.25,0)))))))</f>
        <v/>
      </c>
      <c r="AC211" s="144">
        <f>IF(OR($H211&gt;AC$4,$I211&lt;=AB$4),0,IF(AND($H211&lt;=AB$4,$I211&gt;=AC$4,AD$62=1),($I211-AC$3)/365.25,IF(AND($H211&lt;=AB$4,$I211&gt;=AC$4),1,IF(AND($H211&lt;=AB$4,$I211&lt;AC$4,AC$62=0),($I211-AB$4)/365.25,IF(AND($H211&lt;=AC$4,$I211&gt;=AC$4,AD$62=1),($I211-$H211+1)/365.25,IF(AND($H211&lt;=AC$4,$I211&gt;=AC$4),(AC$4-$H211+1)/365.25,IF(AND($H211&lt;=AC$4,$I211&lt;AC$4,AC$62=0),($I211-$H211+1)/365.25,0)))))))</f>
        <v/>
      </c>
      <c r="AD211" s="144">
        <f>IF(OR($H211&gt;AD$4,$I211&lt;=AC$4),0,IF(AND($H211&lt;=AC$4,$I211&gt;=AD$4,AE$62=1),($I211-AD$3)/365.25,IF(AND($H211&lt;=AC$4,$I211&gt;=AD$4),1,IF(AND($H211&lt;=AC$4,$I211&lt;AD$4,AD$62=0),($I211-AC$4)/365.25,IF(AND($H211&lt;=AD$4,$I211&gt;=AD$4,AE$62=1),($I211-$H211+1)/365.25,IF(AND($H211&lt;=AD$4,$I211&gt;=AD$4),(AD$4-$H211+1)/365.25,IF(AND($H211&lt;=AD$4,$I211&lt;AD$4,AD$62=0),($I211-$H211+1)/365.25,0)))))))</f>
        <v/>
      </c>
      <c r="AE211" s="144">
        <f>IF(OR($H211&gt;AE$4,$I211&lt;=AD$4),0,IF(AND($H211&lt;=AD$4,$I211&gt;=AE$4,AF$62=1),($I211-AE$3)/365.25,IF(AND($H211&lt;=AD$4,$I211&gt;=AE$4),1,IF(AND($H211&lt;=AD$4,$I211&lt;AE$4,AE$62=0),($I211-AD$4)/365.25,IF(AND($H211&lt;=AE$4,$I211&gt;=AE$4,AF$62=1),($I211-$H211+1)/365.25,IF(AND($H211&lt;=AE$4,$I211&gt;=AE$4),(AE$4-$H211+1)/365.25,IF(AND($H211&lt;=AE$4,$I211&lt;AE$4,AE$62=0),($I211-$H211+1)/365.25,0)))))))</f>
        <v/>
      </c>
      <c r="AF211" s="144">
        <f>IF(OR($H211&gt;AF$4,$I211&lt;=AE$4),0,IF(AND($H211&lt;=AE$4,$I211&gt;=AF$4,AG$62=1),($I211-AF$3)/365.25,IF(AND($H211&lt;=AE$4,$I211&gt;=AF$4),1,IF(AND($H211&lt;=AE$4,$I211&lt;AF$4,AF$62=0),($I211-AE$4)/365.25,IF(AND($H211&lt;=AF$4,$I211&gt;=AF$4,AG$62=1),($I211-$H211+1)/365.25,IF(AND($H211&lt;=AF$4,$I211&gt;=AF$4),(AF$4-$H211+1)/365.25,IF(AND($H211&lt;=AF$4,$I211&lt;AF$4,AF$62=0),($I211-$H211+1)/365.25,0)))))))</f>
        <v/>
      </c>
      <c r="AG211" s="144">
        <f>IF(OR($H211&gt;AG$4,$I211&lt;=AF$4),0,IF(AND($H211&lt;=AF$4,$I211&gt;=AG$4,AH$62=1),($I211-AG$3)/365.25,IF(AND($H211&lt;=AF$4,$I211&gt;=AG$4),1,IF(AND($H211&lt;=AF$4,$I211&lt;AG$4,AG$62=0),($I211-AF$4)/365.25,IF(AND($H211&lt;=AG$4,$I211&gt;=AG$4,AH$62=1),($I211-$H211+1)/365.25,IF(AND($H211&lt;=AG$4,$I211&gt;=AG$4),(AG$4-$H211+1)/365.25,IF(AND($H211&lt;=AG$4,$I211&lt;AG$4,AG$62=0),($I211-$H211+1)/365.25,0)))))))</f>
        <v/>
      </c>
      <c r="AH211" s="144">
        <f>IF(OR($H211&gt;AH$4,$I211&lt;=AG$4),0,IF(AND($H211&lt;=AG$4,$I211&gt;=AH$4,AI$62=1),($I211-AH$3)/365.25,IF(AND($H211&lt;=AG$4,$I211&gt;=AH$4),1,IF(AND($H211&lt;=AG$4,$I211&lt;AH$4,AH$62=0),($I211-AG$4)/365.25,IF(AND($H211&lt;=AH$4,$I211&gt;=AH$4,AI$62=1),($I211-$H211+1)/365.25,IF(AND($H211&lt;=AH$4,$I211&gt;=AH$4),(AH$4-$H211+1)/365.25,IF(AND($H211&lt;=AH$4,$I211&lt;AH$4,AH$62=0),($I211-$H211+1)/365.25,0)))))))</f>
        <v/>
      </c>
      <c r="AI211" s="144">
        <f>IF(OR($H211&gt;AI$4,$I211&lt;=AH$4),0,IF(AND($H211&lt;=AH$4,$I211&gt;=AI$4,AJ$62=1),($I211-AI$3)/365.25,IF(AND($H211&lt;=AH$4,$I211&gt;=AI$4),1,IF(AND($H211&lt;=AH$4,$I211&lt;AI$4,AI$62=0),($I211-AH$4)/365.25,IF(AND($H211&lt;=AI$4,$I211&gt;=AI$4,AJ$62=1),($I211-$H211+1)/365.25,IF(AND($H211&lt;=AI$4,$I211&gt;=AI$4),(AI$4-$H211+1)/365.25,IF(AND($H211&lt;=AI$4,$I211&lt;AI$4,AI$62=0),($I211-$H211+1)/365.25,0)))))))</f>
        <v/>
      </c>
      <c r="AJ211" s="144">
        <f>IF(OR($H211&gt;AJ$4,$I211&lt;=AI$4),0,IF(AND($H211&lt;=AI$4,$I211&gt;=AJ$4,AK$62=1),($I211-AJ$3)/365.25,IF(AND($H211&lt;=AI$4,$I211&gt;=AJ$4),1,IF(AND($H211&lt;=AI$4,$I211&lt;AJ$4,AJ$62=0),($I211-AI$4)/365.25,IF(AND($H211&lt;=AJ$4,$I211&gt;=AJ$4,AK$62=1),($I211-$H211+1)/365.25,IF(AND($H211&lt;=AJ$4,$I211&gt;=AJ$4),(AJ$4-$H211+1)/365.25,IF(AND($H211&lt;=AJ$4,$I211&lt;AJ$4,AJ$62=0),($I211-$H211+1)/365.25,0)))))))</f>
        <v/>
      </c>
      <c r="AK211" s="144">
        <f>IF(OR($H211&gt;AK$4,$I211&lt;=AJ$4),0,IF(AND($H211&lt;=AJ$4,$I211&gt;=AK$4,AL$62=1),($I211-AK$3)/365.25,IF(AND($H211&lt;=AJ$4,$I211&gt;=AK$4),1,IF(AND($H211&lt;=AJ$4,$I211&lt;AK$4,AK$62=0),($I211-AJ$4)/365.25,IF(AND($H211&lt;=AK$4,$I211&gt;=AK$4,AL$62=1),($I211-$H211+1)/365.25,IF(AND($H211&lt;=AK$4,$I211&gt;=AK$4),(AK$4-$H211+1)/365.25,IF(AND($H211&lt;=AK$4,$I211&lt;AK$4,AK$62=0),($I211-$H211+1)/365.25,0)))))))</f>
        <v/>
      </c>
      <c r="AL211" s="144">
        <f>IF(OR($H211&gt;AL$4,$I211&lt;=AK$4),0,IF(AND($H211&lt;=AK$4,$I211&gt;=AL$4,AM$62=1),($I211-AL$3)/365.25,IF(AND($H211&lt;=AK$4,$I211&gt;=AL$4),1,IF(AND($H211&lt;=AK$4,$I211&lt;AL$4,AL$62=0),($I211-AK$4)/365.25,IF(AND($H211&lt;=AL$4,$I211&gt;=AL$4,AM$62=1),($I211-$H211+1)/365.25,IF(AND($H211&lt;=AL$4,$I211&gt;=AL$4),(AL$4-$H211+1)/365.25,IF(AND($H211&lt;=AL$4,$I211&lt;AL$4,AL$62=0),($I211-$H211+1)/365.25,0)))))))</f>
        <v/>
      </c>
      <c r="AM211" s="144">
        <f>IF(OR($H211&gt;AM$4,$I211&lt;=AL$4),0,IF(AND($H211&lt;=AL$4,$I211&gt;=AM$4,AN$62=1),($I211-AM$3)/365.25,IF(AND($H211&lt;=AL$4,$I211&gt;=AM$4),1,IF(AND($H211&lt;=AL$4,$I211&lt;AM$4,AM$62=0),($I211-AL$4)/365.25,IF(AND($H211&lt;=AM$4,$I211&gt;=AM$4,AN$62=1),($I211-$H211+1)/365.25,IF(AND($H211&lt;=AM$4,$I211&gt;=AM$4),(AM$4-$H211+1)/365.25,IF(AND($H211&lt;=AM$4,$I211&lt;AM$4,AM$62=0),($I211-$H211+1)/365.25,0)))))))</f>
        <v/>
      </c>
      <c r="AN211" s="144">
        <f>IF(OR($H211&gt;AN$4,$I211&lt;=AM$4),0,IF(AND($H211&lt;=AM$4,$I211&gt;=AN$4,AO$62=1),($I211-AN$3)/365.25,IF(AND($H211&lt;=AM$4,$I211&gt;=AN$4),1,IF(AND($H211&lt;=AM$4,$I211&lt;AN$4,AN$62=0),($I211-AM$4)/365.25,IF(AND($H211&lt;=AN$4,$I211&gt;=AN$4,AO$62=1),($I211-$H211+1)/365.25,IF(AND($H211&lt;=AN$4,$I211&gt;=AN$4),(AN$4-$H211+1)/365.25,IF(AND($H211&lt;=AN$4,$I211&lt;AN$4,AN$62=0),($I211-$H211+1)/365.25,0)))))))</f>
        <v/>
      </c>
      <c r="AO211" s="144">
        <f>IF(OR($H211&gt;AO$4,$I211&lt;=AN$4),0,IF(AND($H211&lt;=AN$4,$I211&gt;=AO$4,AP$62=1),($I211-AO$3)/365.25,IF(AND($H211&lt;=AN$4,$I211&gt;=AO$4),1,IF(AND($H211&lt;=AN$4,$I211&lt;AO$4,AO$62=0),($I211-AN$4)/365.25,IF(AND($H211&lt;=AO$4,$I211&gt;=AO$4,AP$62=1),($I211-$H211+1)/365.25,IF(AND($H211&lt;=AO$4,$I211&gt;=AO$4),(AO$4-$H211+1)/365.25,IF(AND($H211&lt;=AO$4,$I211&lt;AO$4,AO$62=0),($I211-$H211+1)/365.25,0)))))))</f>
        <v/>
      </c>
      <c r="AP211" s="144">
        <f>IF(OR($H211&gt;AP$4,$I211&lt;=AO$4),0,IF(AND($H211&lt;=AO$4,$I211&gt;=AP$4,AQ$62=1),($I211-AP$3)/365.25,IF(AND($H211&lt;=AO$4,$I211&gt;=AP$4),1,IF(AND($H211&lt;=AO$4,$I211&lt;AP$4,AP$62=0),($I211-AO$4)/365.25,IF(AND($H211&lt;=AP$4,$I211&gt;=AP$4,AQ$62=1),($I211-$H211+1)/365.25,IF(AND($H211&lt;=AP$4,$I211&gt;=AP$4),(AP$4-$H211+1)/365.25,IF(AND($H211&lt;=AP$4,$I211&lt;AP$4,AP$62=0),($I211-$H211+1)/365.25,0)))))))</f>
        <v/>
      </c>
      <c r="AQ211" s="144">
        <f>IF(OR($H211&gt;AQ$4,$I211&lt;=AP$4),0,IF(AND($H211&lt;=AP$4,$I211&gt;=AQ$4,AR$62=1),($I211-AQ$3)/365.25,IF(AND($H211&lt;=AP$4,$I211&gt;=AQ$4),1,IF(AND($H211&lt;=AP$4,$I211&lt;AQ$4,AQ$62=0),($I211-AP$4)/365.25,IF(AND($H211&lt;=AQ$4,$I211&gt;=AQ$4,AR$62=1),($I211-$H211+1)/365.25,IF(AND($H211&lt;=AQ$4,$I211&gt;=AQ$4),(AQ$4-$H211+1)/365.25,IF(AND($H211&lt;=AQ$4,$I211&lt;AQ$4,AQ$62=0),($I211-$H211+1)/365.25,0)))))))</f>
        <v/>
      </c>
      <c r="AR211" s="144">
        <f>IF(OR($H211&gt;AR$4,$I211&lt;=AQ$4),0,IF(AND($H211&lt;=AQ$4,$I211&gt;=AR$4,AS$62=1),($I211-AR$3)/365.25,IF(AND($H211&lt;=AQ$4,$I211&gt;=AR$4),1,IF(AND($H211&lt;=AQ$4,$I211&lt;AR$4,AR$62=0),($I211-AQ$4)/365.25,IF(AND($H211&lt;=AR$4,$I211&gt;=AR$4,AS$62=1),($I211-$H211+1)/365.25,IF(AND($H211&lt;=AR$4,$I211&gt;=AR$4),(AR$4-$H211+1)/365.25,IF(AND($H211&lt;=AR$4,$I211&lt;AR$4,AR$62=0),($I211-$H211+1)/365.25,0)))))))</f>
        <v/>
      </c>
      <c r="AS211" s="144">
        <f>IF(OR($H211&gt;AS$4,$I211&lt;=AR$4),0,IF(AND($H211&lt;=AR$4,$I211&gt;=AS$4,AT$62=1),($I211-AS$3)/365.25,IF(AND($H211&lt;=AR$4,$I211&gt;=AS$4),1,IF(AND($H211&lt;=AR$4,$I211&lt;AS$4,AS$62=0),($I211-AR$4)/365.25,IF(AND($H211&lt;=AS$4,$I211&gt;=AS$4,AT$62=1),($I211-$H211+1)/365.25,IF(AND($H211&lt;=AS$4,$I211&gt;=AS$4),(AS$4-$H211+1)/365.25,IF(AND($H211&lt;=AS$4,$I211&lt;AS$4,AS$62=0),($I211-$H211+1)/365.25,0)))))))</f>
        <v/>
      </c>
      <c r="AT211" s="144">
        <f>IF(OR($H211&gt;AT$4,$I211&lt;=AS$4),0,IF(AND($H211&lt;=AS$4,$I211&gt;=AT$4,AU$62=1),($I211-AT$3)/365.25,IF(AND($H211&lt;=AS$4,$I211&gt;=AT$4),1,IF(AND($H211&lt;=AS$4,$I211&lt;AT$4,AT$62=0),($I211-AS$4)/365.25,IF(AND($H211&lt;=AT$4,$I211&gt;=AT$4,AU$62=1),($I211-$H211+1)/365.25,IF(AND($H211&lt;=AT$4,$I211&gt;=AT$4),(AT$4-$H211+1)/365.25,IF(AND($H211&lt;=AT$4,$I211&lt;AT$4,AT$62=0),($I211-$H211+1)/365.25,0)))))))</f>
        <v/>
      </c>
      <c r="AU211" s="144">
        <f>IF(OR($H211&gt;AU$4,$I211&lt;=AT$4),0,IF(AND($H211&lt;=AT$4,$I211&gt;=AU$4,AV$62=1),($I211-AU$3)/365.25,IF(AND($H211&lt;=AT$4,$I211&gt;=AU$4),1,IF(AND($H211&lt;=AT$4,$I211&lt;AU$4,AU$62=0),($I211-AT$4)/365.25,IF(AND($H211&lt;=AU$4,$I211&gt;=AU$4,AV$62=1),($I211-$H211+1)/365.25,IF(AND($H211&lt;=AU$4,$I211&gt;=AU$4),(AU$4-$H211+1)/365.25,IF(AND($H211&lt;=AU$4,$I211&lt;AU$4,AU$62=0),($I211-$H211+1)/365.25,0)))))))</f>
        <v/>
      </c>
      <c r="AV211" s="144">
        <f>IF(OR($H211&gt;AV$4,$I211&lt;=AU$4),0,IF(AND($H211&lt;=AU$4,$I211&gt;=AV$4,AW$62=1),($I211-AV$3)/365.25,IF(AND($H211&lt;=AU$4,$I211&gt;=AV$4),1,IF(AND($H211&lt;=AU$4,$I211&lt;AV$4,AV$62=0),($I211-AU$4)/365.25,IF(AND($H211&lt;=AV$4,$I211&gt;=AV$4,AW$62=1),($I211-$H211+1)/365.25,IF(AND($H211&lt;=AV$4,$I211&gt;=AV$4),(AV$4-$H211+1)/365.25,IF(AND($H211&lt;=AV$4,$I211&lt;AV$4,AV$62=0),($I211-$H211+1)/365.25,0)))))))</f>
        <v/>
      </c>
      <c r="AW211" s="144">
        <f>IF(OR($H211&gt;AW$4,$I211&lt;=AV$4),0,IF(AND($H211&lt;=AV$4,$I211&gt;=AW$4,AX$62=1),($I211-AW$3)/365.25,IF(AND($H211&lt;=AV$4,$I211&gt;=AW$4),1,IF(AND($H211&lt;=AV$4,$I211&lt;AW$4,AW$62=0),($I211-AV$4)/365.25,IF(AND($H211&lt;=AW$4,$I211&gt;=AW$4,AX$62=1),($I211-$H211+1)/365.25,IF(AND($H211&lt;=AW$4,$I211&gt;=AW$4),(AW$4-$H211+1)/365.25,IF(AND($H211&lt;=AW$4,$I211&lt;AW$4,AW$62=0),($I211-$H211+1)/365.25,0)))))))</f>
        <v/>
      </c>
      <c r="AX211" s="144">
        <f>IF(OR($H211&gt;AX$4,$I211&lt;=AW$4),0,IF(AND($H211&lt;=AW$4,$I211&gt;=AX$4,AY$62=1),($I211-AX$3)/365.25,IF(AND($H211&lt;=AW$4,$I211&gt;=AX$4),1,IF(AND($H211&lt;=AW$4,$I211&lt;AX$4,AX$62=0),($I211-AW$4)/365.25,IF(AND($H211&lt;=AX$4,$I211&gt;=AX$4,AY$62=1),($I211-$H211+1)/365.25,IF(AND($H211&lt;=AX$4,$I211&gt;=AX$4),(AX$4-$H211+1)/365.25,IF(AND($H211&lt;=AX$4,$I211&lt;AX$4,AX$62=0),($I211-$H211+1)/365.25,0)))))))</f>
        <v/>
      </c>
      <c r="AY211" s="144">
        <f>IF(OR($H211&gt;AY$4,$I211&lt;=AX$4),0,IF(AND($H211&lt;=AX$4,$I211&gt;=AY$4,AZ$62=1),($I211-AY$3)/365.25,IF(AND($H211&lt;=AX$4,$I211&gt;=AY$4),1,IF(AND($H211&lt;=AX$4,$I211&lt;AY$4,AY$62=0),($I211-AX$4)/365.25,IF(AND($H211&lt;=AY$4,$I211&gt;=AY$4,AZ$62=1),($I211-$H211+1)/365.25,IF(AND($H211&lt;=AY$4,$I211&gt;=AY$4),(AY$4-$H211+1)/365.25,IF(AND($H211&lt;=AY$4,$I211&lt;AY$4,AY$62=0),($I211-$H211+1)/365.25,0)))))))</f>
        <v/>
      </c>
      <c r="AZ211" s="144">
        <f>IF(OR($H211&gt;AZ$4,$I211&lt;=AY$4),0,IF(AND($H211&lt;=AY$4,$I211&gt;=AZ$4,BA$62=1),($I211-AZ$3)/365.25,IF(AND($H211&lt;=AY$4,$I211&gt;=AZ$4),1,IF(AND($H211&lt;=AY$4,$I211&lt;AZ$4,AZ$62=0),($I211-AY$4)/365.25,IF(AND($H211&lt;=AZ$4,$I211&gt;=AZ$4,BA$62=1),($I211-$H211+1)/365.25,IF(AND($H211&lt;=AZ$4,$I211&gt;=AZ$4),(AZ$4-$H211+1)/365.25,IF(AND($H211&lt;=AZ$4,$I211&lt;AZ$4,AZ$62=0),($I211-$H211+1)/365.25,0)))))))</f>
        <v/>
      </c>
      <c r="BA211" s="144">
        <f>IF(OR($H211&gt;BA$4,$I211&lt;=AZ$4),0,IF(AND($H211&lt;=AZ$4,$I211&gt;=BA$4,BB$62=1),($I211-BA$3)/365.25,IF(AND($H211&lt;=AZ$4,$I211&gt;=BA$4),1,IF(AND($H211&lt;=AZ$4,$I211&lt;BA$4,BA$62=0),($I211-AZ$4)/365.25,IF(AND($H211&lt;=BA$4,$I211&gt;=BA$4,BB$62=1),($I211-$H211+1)/365.25,IF(AND($H211&lt;=BA$4,$I211&gt;=BA$4),(BA$4-$H211+1)/365.25,IF(AND($H211&lt;=BA$4,$I211&lt;BA$4,BA$62=0),($I211-$H211+1)/365.25,0)))))))</f>
        <v/>
      </c>
      <c r="BB211" s="144">
        <f>IF(OR($H211&gt;BB$4,$I211&lt;=BA$4),0,IF(AND($H211&lt;=BA$4,$I211&gt;=BB$4,BC$62=1),($I211-BB$3)/365.25,IF(AND($H211&lt;=BA$4,$I211&gt;=BB$4),1,IF(AND($H211&lt;=BA$4,$I211&lt;BB$4,BB$62=0),($I211-BA$4)/365.25,IF(AND($H211&lt;=BB$4,$I211&gt;=BB$4,BC$62=1),($I211-$H211+1)/365.25,IF(AND($H211&lt;=BB$4,$I211&gt;=BB$4),(BB$4-$H211+1)/365.25,IF(AND($H211&lt;=BB$4,$I211&lt;BB$4,BB$62=0),($I211-$H211+1)/365.25,0)))))))</f>
        <v/>
      </c>
    </row>
    <row r="212" ht="15" customHeight="1">
      <c r="G212" s="5" t="n"/>
      <c r="I212" s="39" t="n"/>
    </row>
    <row r="213" ht="15" customHeight="1">
      <c r="C213" s="40" t="inlineStr">
        <is>
          <t>Checks</t>
        </is>
      </c>
      <c r="D213" s="42" t="n"/>
      <c r="E213" s="42" t="n"/>
      <c r="F213" s="42" t="n"/>
      <c r="G213" s="42" t="n"/>
      <c r="H213" s="42" t="n"/>
      <c r="I213" s="42" t="n"/>
      <c r="J213" s="42" t="n"/>
      <c r="K213" s="42" t="n"/>
      <c r="L213" s="42" t="n"/>
      <c r="M213" s="42" t="n"/>
      <c r="N213" s="42" t="n"/>
      <c r="O213" s="42" t="n"/>
      <c r="P213" s="42" t="n"/>
      <c r="Q213" s="42" t="n"/>
      <c r="R213" s="42" t="n"/>
      <c r="S213" s="42" t="n"/>
      <c r="T213" s="42" t="n"/>
      <c r="U213" s="42" t="n"/>
      <c r="V213" s="42" t="n"/>
      <c r="W213" s="42" t="n"/>
      <c r="X213" s="42" t="n"/>
      <c r="Y213" s="42" t="n"/>
      <c r="Z213" s="42" t="n"/>
      <c r="AA213" s="42" t="n"/>
      <c r="AB213" s="42" t="n"/>
      <c r="AC213" s="42" t="n"/>
      <c r="AD213" s="42" t="n"/>
      <c r="AE213" s="42" t="n"/>
      <c r="AF213" s="42" t="n"/>
      <c r="AG213" s="42" t="n"/>
      <c r="AH213" s="42" t="n"/>
      <c r="AI213" s="42" t="n"/>
      <c r="AJ213" s="42" t="n"/>
      <c r="AK213" s="42" t="n"/>
      <c r="AL213" s="42" t="n"/>
      <c r="AM213" s="42" t="n"/>
      <c r="AN213" s="42" t="n"/>
      <c r="AO213" s="42" t="n"/>
      <c r="AP213" s="42" t="n"/>
      <c r="AQ213" s="42" t="n"/>
      <c r="AR213" s="42" t="n"/>
      <c r="AS213" s="42" t="n"/>
      <c r="AT213" s="42" t="n"/>
      <c r="AU213" s="42" t="n"/>
      <c r="AV213" s="42" t="n"/>
      <c r="AW213" s="42" t="n"/>
      <c r="AX213" s="42" t="n"/>
      <c r="AY213" s="42" t="n"/>
      <c r="AZ213" s="42" t="n"/>
      <c r="BA213" s="42" t="n"/>
      <c r="BB213" s="42" t="n"/>
    </row>
    <row r="214" ht="15" customHeight="1">
      <c r="C214" s="5" t="n"/>
      <c r="D214" s="5" t="n"/>
      <c r="E214" s="5" t="n"/>
      <c r="F214" s="5" t="n"/>
      <c r="G214" s="5" t="n"/>
      <c r="H214" s="5" t="n"/>
      <c r="I214" s="5" t="n"/>
      <c r="J214" s="5" t="n"/>
      <c r="K214" s="5" t="n"/>
      <c r="L214" s="5" t="n"/>
      <c r="M214" s="5" t="n"/>
      <c r="N214" s="5" t="n"/>
      <c r="O214" s="5" t="n"/>
      <c r="P214" s="5" t="n"/>
      <c r="Q214" s="5" t="n"/>
      <c r="R214" s="5" t="n"/>
      <c r="S214" s="5" t="n"/>
      <c r="T214" s="5" t="n"/>
      <c r="U214" s="5" t="n"/>
      <c r="V214" s="5" t="n"/>
      <c r="W214" s="5" t="n"/>
      <c r="X214" s="5" t="n"/>
      <c r="Y214" s="5" t="n"/>
      <c r="Z214" s="5" t="n"/>
      <c r="AA214" s="5" t="n"/>
      <c r="AB214" s="5" t="n"/>
      <c r="AC214" s="5" t="n"/>
      <c r="AD214" s="5" t="n"/>
      <c r="AE214" s="5" t="n"/>
      <c r="AF214" s="5" t="n"/>
      <c r="AG214" s="5" t="n"/>
      <c r="AH214" s="5" t="n"/>
      <c r="AI214" s="5" t="n"/>
      <c r="AJ214" s="5" t="n"/>
      <c r="AK214" s="5" t="n"/>
      <c r="AL214" s="5" t="n"/>
      <c r="AM214" s="5" t="n"/>
      <c r="AN214" s="5" t="n"/>
      <c r="AO214" s="5" t="n"/>
      <c r="AP214" s="5" t="n"/>
      <c r="AQ214" s="5" t="n"/>
      <c r="AR214" s="5" t="n"/>
      <c r="AS214" s="5" t="n"/>
      <c r="AT214" s="5" t="n"/>
      <c r="AU214" s="5" t="n"/>
      <c r="AV214" s="5" t="n"/>
      <c r="AW214" s="5" t="n"/>
      <c r="AX214" s="5" t="n"/>
      <c r="AY214" s="5" t="n"/>
      <c r="AZ214" s="5" t="n"/>
      <c r="BA214" s="5" t="n"/>
      <c r="BB214" s="5" t="n"/>
    </row>
    <row r="215" ht="15" customFormat="1" customHeight="1" s="32">
      <c r="C215" s="167" t="n"/>
      <c r="D215" s="167" t="n"/>
      <c r="E215" s="167" t="inlineStr">
        <is>
          <t>No relevant values input into individual years outside of the operational period</t>
        </is>
      </c>
      <c r="F215" s="167" t="n"/>
      <c r="G215" s="167" t="inlineStr">
        <is>
          <t>check</t>
        </is>
      </c>
      <c r="H215" s="167" t="n"/>
      <c r="I215" s="167" t="n"/>
      <c r="J215" s="167" t="n"/>
      <c r="K215" s="167" t="n"/>
      <c r="L215" s="167" t="n"/>
      <c r="M215" s="167" t="n"/>
      <c r="N215" s="167" t="n"/>
      <c r="O215" s="167">
        <f>IF(AND(O5&gt;0,O5&lt;=op_years),TRUE,SUM(O34:O36,O84:O85,O89:O96,O99:O101,O104,O110,O124:O125,O127:O128,O130,O164,O178)=0)</f>
        <v/>
      </c>
      <c r="P215" s="167">
        <f>IF(AND(P5&gt;0,P5&lt;=op_years),TRUE,SUM(P34:P36,P84:P85,P89:P96,P99:P101,P104,P110,P124:P125,P127:P128,P130,P164,P178)=0)</f>
        <v/>
      </c>
      <c r="Q215" s="167">
        <f>IF(AND(Q5&gt;0,Q5&lt;=op_years),TRUE,SUM(Q34:Q36,Q84:Q85,Q89:Q96,Q99:Q101,Q104,Q110,Q124:Q125,Q127:Q128,Q130,Q164,Q178)=0)</f>
        <v/>
      </c>
      <c r="R215" s="167">
        <f>IF(AND(R5&gt;0,R5&lt;=op_years),TRUE,SUM(R34:R36,R84:R85,R89:R96,R99:R101,R104,R110,R124:R125,R127:R128,R130,R164,R178)=0)</f>
        <v/>
      </c>
      <c r="S215" s="167">
        <f>IF(AND(S5&gt;0,S5&lt;=op_years),TRUE,SUM(S34:S36,S84:S85,S89:S96,S99:S101,S104,S110,S124:S125,S127:S128,S130,S164,S178)=0)</f>
        <v/>
      </c>
      <c r="T215" s="167">
        <f>IF(AND(T5&gt;0,T5&lt;=op_years),TRUE,SUM(T34:T36,T84:T85,T89:T96,T99:T101,T104,T110,T124:T125,T127:T128,T130,T164,T178)=0)</f>
        <v/>
      </c>
      <c r="U215" s="167">
        <f>IF(AND(U5&gt;0,U5&lt;=op_years),TRUE,SUM(U34:U36,U84:U85,U89:U96,U99:U101,U104,U110,U124:U125,U127:U128,U130,U164,U178)=0)</f>
        <v/>
      </c>
      <c r="V215" s="167">
        <f>IF(AND(V5&gt;0,V5&lt;=op_years),TRUE,SUM(V34:V36,V84:V85,V89:V96,V99:V101,V104,V110,V124:V125,V127:V128,V130,V164,V178)=0)</f>
        <v/>
      </c>
      <c r="W215" s="167">
        <f>IF(AND(W5&gt;0,W5&lt;=op_years),TRUE,SUM(W34:W36,W84:W85,W89:W96,W99:W101,W104,W110,W124:W125,W127:W128,W130,W164,W178)=0)</f>
        <v/>
      </c>
      <c r="X215" s="167">
        <f>IF(AND(X5&gt;0,X5&lt;=op_years),TRUE,SUM(X34:X36,X84:X85,X89:X96,X99:X101,X104,X110,X124:X125,X127:X128,X130,X164,X178)=0)</f>
        <v/>
      </c>
      <c r="Y215" s="167">
        <f>IF(AND(Y5&gt;0,Y5&lt;=op_years),TRUE,SUM(Y34:Y36,Y84:Y85,Y89:Y96,Y99:Y101,Y104,Y110,Y124:Y125,Y127:Y128,Y130,Y164,Y178)=0)</f>
        <v/>
      </c>
      <c r="Z215" s="167">
        <f>IF(AND(Z5&gt;0,Z5&lt;=op_years),TRUE,SUM(Z34:Z36,Z84:Z85,Z89:Z96,Z99:Z101,Z104,Z110,Z124:Z125,Z127:Z128,Z130,Z164,Z178)=0)</f>
        <v/>
      </c>
      <c r="AA215" s="167">
        <f>IF(AND(AA5&gt;0,AA5&lt;=op_years),TRUE,SUM(AA34:AA36,AA84:AA85,AA89:AA96,AA99:AA101,AA104,AA110,AA124:AA125,AA127:AA128,AA130,AA164,AA178)=0)</f>
        <v/>
      </c>
      <c r="AB215" s="167">
        <f>IF(AND(AB5&gt;0,AB5&lt;=op_years),TRUE,SUM(AB34:AB36,AB84:AB85,AB89:AB96,AB99:AB101,AB104,AB110,AB124:AB125,AB127:AB128,AB130,AB164,AB178)=0)</f>
        <v/>
      </c>
      <c r="AC215" s="167">
        <f>IF(AND(AC5&gt;0,AC5&lt;=op_years),TRUE,SUM(AC34:AC36,AC84:AC85,AC89:AC96,AC99:AC101,AC104,AC110,AC124:AC125,AC127:AC128,AC130,AC164,AC178)=0)</f>
        <v/>
      </c>
      <c r="AD215" s="167">
        <f>IF(AND(AD5&gt;0,AD5&lt;=op_years),TRUE,SUM(AD34:AD36,AD84:AD85,AD89:AD96,AD99:AD101,AD104,AD110,AD124:AD125,AD127:AD128,AD130,AD164,AD178)=0)</f>
        <v/>
      </c>
      <c r="AE215" s="167">
        <f>IF(AND(AE5&gt;0,AE5&lt;=op_years),TRUE,SUM(AE34:AE36,AE84:AE85,AE89:AE96,AE99:AE101,AE104,AE110,AE124:AE125,AE127:AE128,AE130,AE164,AE178)=0)</f>
        <v/>
      </c>
      <c r="AF215" s="167">
        <f>IF(AND(AF5&gt;0,AF5&lt;=op_years),TRUE,SUM(AF34:AF36,AF84:AF85,AF89:AF96,AF99:AF101,AF104,AF110,AF124:AF125,AF127:AF128,AF130,AF164,AF178)=0)</f>
        <v/>
      </c>
      <c r="AG215" s="167">
        <f>IF(AND(AG5&gt;0,AG5&lt;=op_years),TRUE,SUM(AG34:AG36,AG84:AG85,AG89:AG96,AG99:AG101,AG104,AG110,AG124:AG125,AG127:AG128,AG130,AG164,AG178)=0)</f>
        <v/>
      </c>
      <c r="AH215" s="167">
        <f>IF(AND(AH5&gt;0,AH5&lt;=op_years),TRUE,SUM(AH34:AH36,AH84:AH85,AH89:AH96,AH99:AH101,AH104,AH110,AH124:AH125,AH127:AH128,AH130,AH164,AH178)=0)</f>
        <v/>
      </c>
      <c r="AI215" s="167">
        <f>IF(AND(AI5&gt;0,AI5&lt;=op_years),TRUE,SUM(AI34:AI36,AI84:AI85,AI89:AI96,AI99:AI101,AI104,AI110,AI124:AI125,AI127:AI128,AI130,AI164,AI178)=0)</f>
        <v/>
      </c>
      <c r="AJ215" s="167">
        <f>IF(AND(AJ5&gt;0,AJ5&lt;=op_years),TRUE,SUM(AJ34:AJ36,AJ84:AJ85,AJ89:AJ96,AJ99:AJ101,AJ104,AJ110,AJ124:AJ125,AJ127:AJ128,AJ130,AJ164,AJ178)=0)</f>
        <v/>
      </c>
      <c r="AK215" s="167">
        <f>IF(AND(AK5&gt;0,AK5&lt;=op_years),TRUE,SUM(AK34:AK36,AK84:AK85,AK89:AK96,AK99:AK101,AK104,AK110,AK124:AK125,AK127:AK128,AK130,AK164,AK178)=0)</f>
        <v/>
      </c>
      <c r="AL215" s="167">
        <f>IF(AND(AL5&gt;0,AL5&lt;=op_years),TRUE,SUM(AL34:AL36,AL84:AL85,AL89:AL96,AL99:AL101,AL104,AL110,AL124:AL125,AL127:AL128,AL130,AL164,AL178)=0)</f>
        <v/>
      </c>
      <c r="AM215" s="167">
        <f>IF(AND(AM5&gt;0,AM5&lt;=op_years),TRUE,SUM(AM34:AM36,AM84:AM85,AM89:AM96,AM99:AM101,AM104,AM110,AM124:AM125,AM127:AM128,AM130,AM164,AM178)=0)</f>
        <v/>
      </c>
      <c r="AN215" s="167">
        <f>IF(AND(AN5&gt;0,AN5&lt;=op_years),TRUE,SUM(AN34:AN36,AN84:AN85,AN89:AN96,AN99:AN101,AN104,AN110,AN124:AN125,AN127:AN128,AN130,AN164,AN178)=0)</f>
        <v/>
      </c>
      <c r="AO215" s="167">
        <f>IF(AND(AO5&gt;0,AO5&lt;=op_years),TRUE,SUM(AO34:AO36,AO84:AO85,AO89:AO96,AO99:AO101,AO104,AO110,AO124:AO125,AO127:AO128,AO130,AO164,AO178)=0)</f>
        <v/>
      </c>
      <c r="AP215" s="167">
        <f>IF(AND(AP5&gt;0,AP5&lt;=op_years),TRUE,SUM(AP34:AP36,AP84:AP85,AP89:AP96,AP99:AP101,AP104,AP110,AP124:AP125,AP127:AP128,AP130,AP164,AP178)=0)</f>
        <v/>
      </c>
      <c r="AQ215" s="167">
        <f>IF(AND(AQ5&gt;0,AQ5&lt;=op_years),TRUE,SUM(AQ34:AQ36,AQ84:AQ85,AQ89:AQ96,AQ99:AQ101,AQ104,AQ110,AQ124:AQ125,AQ127:AQ128,AQ130,AQ164,AQ178)=0)</f>
        <v/>
      </c>
      <c r="AR215" s="167">
        <f>IF(AND(AR5&gt;0,AR5&lt;=op_years),TRUE,SUM(AR34:AR36,AR84:AR85,AR89:AR96,AR99:AR101,AR104,AR110,AR124:AR125,AR127:AR128,AR130,AR164,AR178)=0)</f>
        <v/>
      </c>
      <c r="AS215" s="167">
        <f>IF(AND(AS5&gt;0,AS5&lt;=op_years),TRUE,SUM(AS34:AS36,AS84:AS85,AS89:AS96,AS99:AS101,AS104,AS110,AS124:AS125,AS127:AS128,AS130,AS164,AS178)=0)</f>
        <v/>
      </c>
      <c r="AT215" s="167">
        <f>IF(AND(AT5&gt;0,AT5&lt;=op_years),TRUE,SUM(AT34:AT36,AT84:AT85,AT89:AT96,AT99:AT101,AT104,AT110,AT124:AT125,AT127:AT128,AT130,AT164,AT178)=0)</f>
        <v/>
      </c>
      <c r="AU215" s="167">
        <f>IF(AND(AU5&gt;0,AU5&lt;=op_years),TRUE,SUM(AU34:AU36,AU84:AU85,AU89:AU96,AU99:AU101,AU104,AU110,AU124:AU125,AU127:AU128,AU130,AU164,AU178)=0)</f>
        <v/>
      </c>
      <c r="AV215" s="167">
        <f>IF(AND(AV5&gt;0,AV5&lt;=op_years),TRUE,SUM(AV34:AV36,AV84:AV85,AV89:AV96,AV99:AV101,AV104,AV110,AV124:AV125,AV127:AV128,AV130,AV164,AV178)=0)</f>
        <v/>
      </c>
      <c r="AW215" s="167">
        <f>IF(AND(AW5&gt;0,AW5&lt;=op_years),TRUE,SUM(AW34:AW36,AW84:AW85,AW89:AW96,AW99:AW101,AW104,AW110,AW124:AW125,AW127:AW128,AW130,AW164,AW178)=0)</f>
        <v/>
      </c>
      <c r="AX215" s="167">
        <f>IF(AND(AX5&gt;0,AX5&lt;=op_years),TRUE,SUM(AX34:AX36,AX84:AX85,AX89:AX96,AX99:AX101,AX104,AX110,AX124:AX125,AX127:AX128,AX130,AX164,AX178)=0)</f>
        <v/>
      </c>
      <c r="AY215" s="167">
        <f>IF(AND(AY5&gt;0,AY5&lt;=op_years),TRUE,SUM(AY34:AY36,AY84:AY85,AY89:AY96,AY99:AY101,AY104,AY110,AY124:AY125,AY127:AY128,AY130,AY164,AY178)=0)</f>
        <v/>
      </c>
      <c r="AZ215" s="167">
        <f>IF(AND(AZ5&gt;0,AZ5&lt;=op_years),TRUE,SUM(AZ34:AZ36,AZ84:AZ85,AZ89:AZ96,AZ99:AZ101,AZ104,AZ110,AZ124:AZ125,AZ127:AZ128,AZ130,AZ164,AZ178)=0)</f>
        <v/>
      </c>
      <c r="BA215" s="167">
        <f>IF(AND(BA5&gt;0,BA5&lt;=op_years),TRUE,SUM(BA34:BA36,BA84:BA85,BA89:BA96,BA99:BA101,BA104,BA110,BA124:BA125,BA127:BA128,BA130,BA164,BA178)=0)</f>
        <v/>
      </c>
      <c r="BB215" s="167">
        <f>IF(AND(BB5&gt;0,BB5&lt;=op_years),TRUE,SUM(BB34:BB36,BB84:BB85,BB89:BB96,BB99:BB101,BB104,BB110,BB124:BB125,BB127:BB128,BB130,BB164,BB178)=0)</f>
        <v/>
      </c>
    </row>
    <row r="216" ht="15" customFormat="1" customHeight="1" s="32">
      <c r="C216" s="167" t="n"/>
      <c r="D216" s="167" t="n"/>
      <c r="E216" s="167" t="inlineStr">
        <is>
          <t>No relevant values input into any year outside of the operational period</t>
        </is>
      </c>
      <c r="F216" s="167" t="n"/>
      <c r="G216" s="167" t="inlineStr">
        <is>
          <t>check</t>
        </is>
      </c>
      <c r="H216" s="167" t="n"/>
      <c r="I216" s="168">
        <f>SUM(O216:BB216)=0</f>
        <v/>
      </c>
      <c r="J216" s="167" t="n"/>
      <c r="K216" s="167" t="n"/>
      <c r="L216" s="167" t="n"/>
      <c r="M216" s="167" t="n"/>
      <c r="N216" s="167" t="n"/>
      <c r="O216" s="169">
        <f>IF(O215=TRUE,0,1)</f>
        <v/>
      </c>
      <c r="P216" s="169">
        <f>IF(P215=TRUE,0,1)</f>
        <v/>
      </c>
      <c r="Q216" s="169">
        <f>IF(Q215=TRUE,0,1)</f>
        <v/>
      </c>
      <c r="R216" s="169">
        <f>IF(R215=TRUE,0,1)</f>
        <v/>
      </c>
      <c r="S216" s="169">
        <f>IF(S215=TRUE,0,1)</f>
        <v/>
      </c>
      <c r="T216" s="169">
        <f>IF(T215=TRUE,0,1)</f>
        <v/>
      </c>
      <c r="U216" s="169">
        <f>IF(U215=TRUE,0,1)</f>
        <v/>
      </c>
      <c r="V216" s="169">
        <f>IF(V215=TRUE,0,1)</f>
        <v/>
      </c>
      <c r="W216" s="169">
        <f>IF(W215=TRUE,0,1)</f>
        <v/>
      </c>
      <c r="X216" s="169">
        <f>IF(X215=TRUE,0,1)</f>
        <v/>
      </c>
      <c r="Y216" s="169">
        <f>IF(Y215=TRUE,0,1)</f>
        <v/>
      </c>
      <c r="Z216" s="169">
        <f>IF(Z215=TRUE,0,1)</f>
        <v/>
      </c>
      <c r="AA216" s="169">
        <f>IF(AA215=TRUE,0,1)</f>
        <v/>
      </c>
      <c r="AB216" s="169">
        <f>IF(AB215=TRUE,0,1)</f>
        <v/>
      </c>
      <c r="AC216" s="169">
        <f>IF(AC215=TRUE,0,1)</f>
        <v/>
      </c>
      <c r="AD216" s="169">
        <f>IF(AD215=TRUE,0,1)</f>
        <v/>
      </c>
      <c r="AE216" s="169">
        <f>IF(AE215=TRUE,0,1)</f>
        <v/>
      </c>
      <c r="AF216" s="169">
        <f>IF(AF215=TRUE,0,1)</f>
        <v/>
      </c>
      <c r="AG216" s="169">
        <f>IF(AG215=TRUE,0,1)</f>
        <v/>
      </c>
      <c r="AH216" s="169">
        <f>IF(AH215=TRUE,0,1)</f>
        <v/>
      </c>
      <c r="AI216" s="169">
        <f>IF(AI215=TRUE,0,1)</f>
        <v/>
      </c>
      <c r="AJ216" s="169">
        <f>IF(AJ215=TRUE,0,1)</f>
        <v/>
      </c>
      <c r="AK216" s="169">
        <f>IF(AK215=TRUE,0,1)</f>
        <v/>
      </c>
      <c r="AL216" s="169">
        <f>IF(AL215=TRUE,0,1)</f>
        <v/>
      </c>
      <c r="AM216" s="169">
        <f>IF(AM215=TRUE,0,1)</f>
        <v/>
      </c>
      <c r="AN216" s="169">
        <f>IF(AN215=TRUE,0,1)</f>
        <v/>
      </c>
      <c r="AO216" s="169">
        <f>IF(AO215=TRUE,0,1)</f>
        <v/>
      </c>
      <c r="AP216" s="169">
        <f>IF(AP215=TRUE,0,1)</f>
        <v/>
      </c>
      <c r="AQ216" s="169">
        <f>IF(AQ215=TRUE,0,1)</f>
        <v/>
      </c>
      <c r="AR216" s="169">
        <f>IF(AR215=TRUE,0,1)</f>
        <v/>
      </c>
      <c r="AS216" s="169">
        <f>IF(AS215=TRUE,0,1)</f>
        <v/>
      </c>
      <c r="AT216" s="169">
        <f>IF(AT215=TRUE,0,1)</f>
        <v/>
      </c>
      <c r="AU216" s="169">
        <f>IF(AU215=TRUE,0,1)</f>
        <v/>
      </c>
      <c r="AV216" s="169">
        <f>IF(AV215=TRUE,0,1)</f>
        <v/>
      </c>
      <c r="AW216" s="169">
        <f>IF(AW215=TRUE,0,1)</f>
        <v/>
      </c>
      <c r="AX216" s="169">
        <f>IF(AX215=TRUE,0,1)</f>
        <v/>
      </c>
      <c r="AY216" s="169">
        <f>IF(AY215=TRUE,0,1)</f>
        <v/>
      </c>
      <c r="AZ216" s="169">
        <f>IF(AZ215=TRUE,0,1)</f>
        <v/>
      </c>
      <c r="BA216" s="169">
        <f>IF(BA215=TRUE,0,1)</f>
        <v/>
      </c>
      <c r="BB216" s="169">
        <f>IF(BB215=TRUE,0,1)</f>
        <v/>
      </c>
    </row>
    <row r="217" ht="15" customHeight="1">
      <c r="G217" s="5" t="n"/>
      <c r="I217" s="39" t="n"/>
    </row>
    <row r="218" ht="15" customHeight="1">
      <c r="B218" s="75" t="inlineStr">
        <is>
          <t>End of sheet</t>
        </is>
      </c>
      <c r="C218" s="36" t="n"/>
      <c r="D218" s="36" t="n"/>
      <c r="E218" s="36" t="n"/>
      <c r="F218" s="36" t="n"/>
      <c r="G218" s="36" t="n"/>
      <c r="H218" s="36" t="n"/>
      <c r="I218" s="36" t="n"/>
      <c r="J218" s="36" t="n"/>
      <c r="K218" s="36" t="n"/>
      <c r="L218" s="36" t="n"/>
      <c r="M218" s="36" t="n"/>
      <c r="N218" s="36" t="n"/>
      <c r="O218" s="36" t="n"/>
      <c r="P218" s="36" t="n"/>
      <c r="Q218" s="36" t="n"/>
      <c r="R218" s="36" t="n"/>
      <c r="S218" s="36" t="n"/>
      <c r="T218" s="36" t="n"/>
      <c r="U218" s="36" t="n"/>
      <c r="V218" s="36" t="n"/>
      <c r="W218" s="36" t="n"/>
      <c r="X218" s="36" t="n"/>
      <c r="Y218" s="36" t="n"/>
      <c r="Z218" s="36" t="n"/>
      <c r="AA218" s="36" t="n"/>
      <c r="AB218" s="36" t="n"/>
      <c r="AC218" s="36" t="n"/>
      <c r="AD218" s="36" t="n"/>
      <c r="AE218" s="36" t="n"/>
      <c r="AF218" s="36" t="n"/>
      <c r="AG218" s="36" t="n"/>
      <c r="AH218" s="36" t="n"/>
      <c r="AI218" s="36" t="n"/>
      <c r="AJ218" s="36" t="n"/>
      <c r="AK218" s="36" t="n"/>
      <c r="AL218" s="36" t="n"/>
      <c r="AM218" s="36" t="n"/>
      <c r="AN218" s="36" t="n"/>
      <c r="AO218" s="36" t="n"/>
      <c r="AP218" s="36" t="n"/>
      <c r="AQ218" s="36" t="n"/>
      <c r="AR218" s="36" t="n"/>
      <c r="AS218" s="36" t="n"/>
      <c r="AT218" s="36" t="n"/>
      <c r="AU218" s="36" t="n"/>
      <c r="AV218" s="36" t="n"/>
      <c r="AW218" s="36" t="n"/>
      <c r="AX218" s="36" t="n"/>
      <c r="AY218" s="36" t="n"/>
      <c r="AZ218" s="36" t="n"/>
      <c r="BA218" s="36" t="n"/>
      <c r="BB218" s="36" t="n"/>
      <c r="BC218" s="5" t="n"/>
    </row>
    <row r="219" ht="15" customHeight="1"/>
    <row r="224" ht="15" customHeight="1"/>
    <row r="225" ht="15" customHeight="1"/>
  </sheetData>
  <dataValidations count="9">
    <dataValidation sqref="I152 I158 I171:I172 I177 I179" showDropDown="0" showInputMessage="1" showErrorMessage="1" allowBlank="1" type="list">
      <formula1>"Yes,No"</formula1>
    </dataValidation>
    <dataValidation sqref="I68" showDropDown="0" showInputMessage="1" showErrorMessage="1" allowBlank="1" type="date" operator="greaterThanOrEqual">
      <formula1>I55</formula1>
    </dataValidation>
    <dataValidation sqref="I191 I196 I201" showDropDown="0" showInputMessage="1" showErrorMessage="1" allowBlank="1" type="date" operator="greaterThan">
      <formula1>I186</formula1>
    </dataValidation>
    <dataValidation sqref="E55:E57 I55:I57" showDropDown="0" showInputMessage="1" showErrorMessage="1" allowBlank="1" type="date" operator="greaterThanOrEqual">
      <formula1>E134</formula1>
    </dataValidation>
    <dataValidation sqref="I67" showDropDown="0" showInputMessage="1" showErrorMessage="1" allowBlank="1" type="date" operator="greaterThanOrEqual">
      <formula1>I55</formula1>
    </dataValidation>
    <dataValidation sqref="I175 I186" showDropDown="0" showInputMessage="1" showErrorMessage="1" allowBlank="1" type="date" operator="greaterThan">
      <formula1>I44</formula1>
    </dataValidation>
    <dataValidation sqref="I149" showDropDown="0" showInputMessage="1" showErrorMessage="1" allowBlank="1" type="date" operator="greaterThanOrEqual">
      <formula1>I55</formula1>
    </dataValidation>
    <dataValidation sqref="I159" showDropDown="0" showInputMessage="1" showErrorMessage="1" allowBlank="1" type="date">
      <formula1>I55</formula1>
      <formula2>I61</formula2>
    </dataValidation>
    <dataValidation sqref="I13" showDropDown="0" showInputMessage="1" showErrorMessage="1" allowBlank="1" type="list">
      <formula1>"£,€"</formula1>
    </dataValidation>
  </dataValidations>
  <pageMargins left="0.2362204724409449" right="0.2362204724409449" top="0.7480314960629921" bottom="0.7480314960629921" header="0.3149606299212598" footer="0.3149606299212598"/>
  <pageSetup orientation="landscape" paperSize="8" scale="41" fitToHeight="0"/>
</worksheet>
</file>

<file path=xl/worksheets/sheet4.xml><?xml version="1.0" encoding="utf-8"?>
<worksheet xmlns="http://schemas.openxmlformats.org/spreadsheetml/2006/main">
  <sheetPr>
    <tabColor rgb="FFFFFFCC"/>
    <outlinePr summaryBelow="1" summaryRight="1"/>
    <pageSetUpPr fitToPage="1"/>
  </sheetPr>
  <dimension ref="A1:BF129"/>
  <sheetViews>
    <sheetView zoomScaleNormal="100" workbookViewId="0">
      <pane xSplit="10" ySplit="2" topLeftCell="K111" activePane="bottomRight" state="frozen"/>
      <selection pane="topRight" activeCell="A1" sqref="A1"/>
      <selection pane="bottomLeft" activeCell="A1" sqref="A1"/>
      <selection pane="bottomRight" activeCell="K46" sqref="K46"/>
    </sheetView>
  </sheetViews>
  <sheetFormatPr baseColWidth="10" defaultColWidth="0" defaultRowHeight="15" customHeight="1" zeroHeight="1"/>
  <cols>
    <col width="2.59765625" customWidth="1" style="21" min="1" max="4"/>
    <col width="55.796875" bestFit="1" customWidth="1" style="21" min="5" max="5"/>
    <col width="1.59765625" customWidth="1" style="21" min="6" max="6"/>
    <col width="18.59765625" customWidth="1" style="21" min="7" max="7"/>
    <col width="19" bestFit="1" customWidth="1" style="21" min="8" max="8"/>
    <col width="17" customWidth="1" style="21" min="9" max="9"/>
    <col width="1.59765625" customWidth="1" style="21" min="10" max="10"/>
    <col width="46.796875" bestFit="1" customWidth="1" style="124" min="11" max="11"/>
    <col width="25" customWidth="1" style="124" min="12" max="12"/>
    <col width="3" customWidth="1" min="13" max="13"/>
    <col hidden="1" width="1.59765625" customWidth="1" min="14" max="14"/>
    <col hidden="1" width="10.59765625" customWidth="1" min="15" max="35"/>
    <col hidden="1" width="17.3984375" customWidth="1" min="36" max="37"/>
    <col hidden="1" width="10.59765625" customWidth="1" min="38" max="54"/>
    <col hidden="1" width="2.59765625" customWidth="1" min="55" max="55"/>
    <col hidden="1" width="9" customWidth="1" style="21" min="56" max="57"/>
    <col hidden="1" width="13" customWidth="1" style="21" min="58" max="58"/>
    <col hidden="1" width="9" customWidth="1" style="21" min="59" max="59"/>
    <col hidden="1" width="9" customWidth="1" style="21" min="60" max="16384"/>
  </cols>
  <sheetData>
    <row r="1" ht="14.5" customFormat="1" customHeight="1" s="10">
      <c r="A1" s="126" t="inlineStr">
        <is>
          <t>Data Sources</t>
        </is>
      </c>
      <c r="H1" s="9" t="inlineStr">
        <is>
          <t>Licence</t>
        </is>
      </c>
      <c r="I1" s="119" t="inlineStr">
        <is>
          <t>Reference row in</t>
        </is>
      </c>
      <c r="J1" s="61" t="n"/>
      <c r="K1" s="122" t="n"/>
      <c r="L1" s="122" t="n"/>
    </row>
    <row r="2" ht="15" customFormat="1" customHeight="1" s="10">
      <c r="E2" s="9" t="inlineStr">
        <is>
          <t>Parameter</t>
        </is>
      </c>
      <c r="F2" s="9" t="n"/>
      <c r="G2" s="9" t="inlineStr">
        <is>
          <t>Units</t>
        </is>
      </c>
      <c r="H2" s="9" t="inlineStr">
        <is>
          <t>Terminology</t>
        </is>
      </c>
      <c r="I2" s="120" t="inlineStr">
        <is>
          <t>Inputs sheet</t>
        </is>
      </c>
      <c r="K2" s="121" t="inlineStr">
        <is>
          <t>Source</t>
        </is>
      </c>
      <c r="L2" s="121" t="inlineStr">
        <is>
          <t>Link</t>
        </is>
      </c>
    </row>
    <row r="3" ht="15" customHeight="1">
      <c r="K3" s="123" t="n"/>
      <c r="L3" s="123" t="n"/>
    </row>
    <row r="4" ht="15" customHeight="1">
      <c r="B4" s="75" t="inlineStr">
        <is>
          <t>Items transferred from CFFM1</t>
        </is>
      </c>
      <c r="C4" s="75" t="n"/>
      <c r="D4" s="75" t="n"/>
      <c r="E4" s="75" t="n"/>
      <c r="F4" s="75" t="n"/>
      <c r="G4" s="75" t="n"/>
      <c r="H4" s="75" t="n"/>
      <c r="I4" s="75" t="n"/>
      <c r="J4" s="75" t="n"/>
      <c r="K4" s="75" t="n"/>
      <c r="L4" s="75" t="n"/>
    </row>
    <row r="5" ht="15" customHeight="1"/>
    <row r="6" ht="15" customFormat="1" customHeight="1" s="63">
      <c r="C6" s="40" t="inlineStr">
        <is>
          <t>Base year and currency</t>
        </is>
      </c>
      <c r="D6" s="42" t="n"/>
      <c r="E6" s="42" t="n"/>
      <c r="F6" s="42" t="n"/>
      <c r="G6" s="42" t="n"/>
      <c r="H6" s="42" t="n"/>
      <c r="I6" s="42" t="n"/>
      <c r="J6" s="42" t="n"/>
      <c r="K6" s="42" t="n"/>
      <c r="L6" s="42" t="n"/>
    </row>
    <row r="7" ht="15" customHeight="1"/>
    <row r="8" ht="15" customHeight="1">
      <c r="E8" s="21">
        <f>Inputs!E11</f>
        <v/>
      </c>
      <c r="I8">
        <f>ROW(Inputs!E11)</f>
        <v/>
      </c>
      <c r="K8" s="125" t="inlineStr">
        <is>
          <t>IFA2CFFM1</t>
        </is>
      </c>
      <c r="L8" s="125" t="n"/>
    </row>
    <row r="9" ht="15" customHeight="1">
      <c r="E9" s="21">
        <f>Inputs!E13</f>
        <v/>
      </c>
      <c r="I9">
        <f>ROW(Inputs!E13)</f>
        <v/>
      </c>
      <c r="K9" s="125" t="inlineStr">
        <is>
          <t>IFA2CFFM1</t>
        </is>
      </c>
      <c r="L9" s="125" t="n"/>
    </row>
    <row r="10" ht="15" customHeight="1"/>
    <row r="11" ht="15" customFormat="1" customHeight="1" s="5">
      <c r="C11" s="40" t="inlineStr">
        <is>
          <t>Model operation</t>
        </is>
      </c>
      <c r="D11" s="40" t="n"/>
      <c r="E11" s="40" t="n"/>
      <c r="F11" s="40" t="n"/>
      <c r="G11" s="40" t="n"/>
      <c r="H11" s="40" t="n"/>
      <c r="I11" s="40" t="n"/>
      <c r="J11" s="40" t="n"/>
      <c r="K11" s="42" t="n"/>
      <c r="L11" s="42" t="n"/>
    </row>
    <row r="12" ht="15" customHeight="1"/>
    <row r="13" ht="15" customHeight="1">
      <c r="E13" s="21">
        <f>Inputs!E17</f>
        <v/>
      </c>
      <c r="G13" s="21">
        <f>Inputs!G17</f>
        <v/>
      </c>
      <c r="I13">
        <f>ROW(Inputs!I17)</f>
        <v/>
      </c>
      <c r="K13" s="125" t="inlineStr">
        <is>
          <t>IFA2CFFM1</t>
        </is>
      </c>
      <c r="L13" s="125" t="n"/>
    </row>
    <row r="14" ht="15" customFormat="1" customHeight="1" s="171">
      <c r="A14" s="21" t="n"/>
      <c r="B14" s="21" t="n"/>
      <c r="C14" s="21" t="n"/>
      <c r="D14" s="21" t="n"/>
      <c r="E14" s="21">
        <f>Inputs!E18</f>
        <v/>
      </c>
      <c r="F14" s="21" t="n"/>
      <c r="G14" s="21">
        <f>Inputs!G18</f>
        <v/>
      </c>
      <c r="H14" s="21" t="n"/>
      <c r="I14">
        <f>ROW(Inputs!I18)</f>
        <v/>
      </c>
      <c r="J14" s="21" t="n"/>
      <c r="K14" s="125" t="inlineStr">
        <is>
          <t>IFA2CFFM1</t>
        </is>
      </c>
      <c r="L14" s="125" t="n"/>
      <c r="N14" s="172" t="n"/>
      <c r="O14" s="172" t="n"/>
      <c r="P14" s="172" t="n"/>
      <c r="Q14" s="172" t="n"/>
      <c r="R14" s="172" t="n"/>
      <c r="S14" s="172" t="n"/>
      <c r="T14" s="172" t="n"/>
      <c r="U14" s="172" t="n"/>
      <c r="V14" s="172" t="n"/>
      <c r="W14" s="172" t="n"/>
      <c r="X14" s="172" t="n"/>
      <c r="Y14" s="172" t="n"/>
      <c r="Z14" s="172" t="n"/>
      <c r="AA14" s="172" t="n"/>
      <c r="AB14" s="172" t="n"/>
      <c r="AC14" s="172" t="n"/>
      <c r="AD14" s="172" t="n"/>
      <c r="AE14" s="172" t="n"/>
      <c r="AF14" s="172" t="n"/>
      <c r="AG14" s="172" t="n"/>
      <c r="AH14" s="172" t="n"/>
      <c r="AI14" s="172" t="n"/>
      <c r="AJ14" s="172" t="n"/>
      <c r="AK14" s="172" t="n"/>
      <c r="AL14" s="172" t="n"/>
      <c r="AM14" s="172" t="n"/>
      <c r="AN14" s="172" t="n"/>
      <c r="AO14" s="172" t="n"/>
      <c r="AP14" s="172" t="n"/>
      <c r="AQ14" s="172" t="n"/>
      <c r="AR14" s="172" t="n"/>
      <c r="AS14" s="172" t="n"/>
      <c r="AT14" s="172" t="n"/>
      <c r="AU14" s="172" t="n"/>
      <c r="AV14" s="172" t="n"/>
      <c r="AW14" s="172" t="n"/>
      <c r="AX14" s="172" t="n"/>
      <c r="AY14" s="172" t="n"/>
      <c r="AZ14" s="172" t="n"/>
      <c r="BA14" s="172" t="n"/>
      <c r="BB14" s="172" t="n"/>
      <c r="BC14" s="172" t="n"/>
    </row>
    <row r="15" ht="15" customHeight="1">
      <c r="E15" s="21">
        <f>Inputs!E21</f>
        <v/>
      </c>
      <c r="G15" s="21">
        <f>Inputs!G21</f>
        <v/>
      </c>
      <c r="I15">
        <f>ROW(Inputs!I21)</f>
        <v/>
      </c>
      <c r="K15" s="125" t="inlineStr">
        <is>
          <t>IFA2CFFM1</t>
        </is>
      </c>
      <c r="L15" s="125" t="n"/>
    </row>
    <row r="16" ht="15" customHeight="1">
      <c r="M16" s="21" t="n"/>
      <c r="N16" s="21" t="n"/>
      <c r="O16" s="21" t="n"/>
      <c r="P16" s="21" t="n"/>
      <c r="Q16" s="21" t="n"/>
      <c r="R16" s="21" t="n"/>
      <c r="S16" s="21" t="n"/>
      <c r="T16" s="21" t="n"/>
      <c r="U16" s="21" t="n"/>
      <c r="V16" s="21" t="n"/>
      <c r="W16" s="21" t="n"/>
      <c r="X16" s="21" t="n"/>
      <c r="Y16" s="21" t="n"/>
      <c r="Z16" s="21" t="n"/>
      <c r="AA16" s="21" t="n"/>
      <c r="AB16" s="21" t="n"/>
      <c r="AC16" s="21" t="n"/>
      <c r="AD16" s="21" t="n"/>
      <c r="AE16" s="21" t="n"/>
      <c r="AF16" s="21" t="n"/>
      <c r="AG16" s="21" t="n"/>
      <c r="AH16" s="21" t="n"/>
      <c r="AI16" s="21" t="n"/>
      <c r="AJ16" s="21" t="n"/>
      <c r="AK16" s="21" t="n"/>
      <c r="AL16" s="21" t="n"/>
      <c r="AM16" s="21" t="n"/>
      <c r="AN16" s="21" t="n"/>
      <c r="AO16" s="21" t="n"/>
      <c r="AP16" s="21" t="n"/>
      <c r="AQ16" s="21" t="n"/>
      <c r="AR16" s="21" t="n"/>
      <c r="AS16" s="21" t="n"/>
      <c r="AT16" s="21" t="n"/>
      <c r="AU16" s="21" t="n"/>
      <c r="AV16" s="21" t="n"/>
      <c r="AW16" s="21" t="n"/>
      <c r="AX16" s="21" t="n"/>
      <c r="AY16" s="21" t="n"/>
      <c r="AZ16" s="21" t="n"/>
      <c r="BA16" s="21" t="n"/>
      <c r="BB16" s="21" t="n"/>
      <c r="BC16" s="21" t="n"/>
    </row>
    <row r="17" ht="15" customFormat="1" customHeight="1" s="63">
      <c r="C17" s="40" t="inlineStr">
        <is>
          <t>Cap and Floor levels</t>
        </is>
      </c>
      <c r="D17" s="42" t="n"/>
      <c r="E17" s="42" t="n"/>
      <c r="F17" s="42" t="n"/>
      <c r="G17" s="42" t="n"/>
      <c r="H17" s="42" t="n"/>
      <c r="I17" s="42" t="n"/>
      <c r="J17" s="42" t="n"/>
      <c r="K17" s="42" t="n"/>
      <c r="L17" s="42" t="n"/>
    </row>
    <row r="18" ht="15" customHeight="1"/>
    <row r="19" ht="15" customHeight="1">
      <c r="E19" s="21">
        <f>Inputs!E26</f>
        <v/>
      </c>
      <c r="G19" s="21">
        <f>Inputs!G26</f>
        <v/>
      </c>
      <c r="H19" s="21">
        <f>Inputs!H26</f>
        <v/>
      </c>
      <c r="I19">
        <f>ROW(Inputs!E26)</f>
        <v/>
      </c>
      <c r="K19" s="125" t="inlineStr">
        <is>
          <t>IFA2CFFM1</t>
        </is>
      </c>
      <c r="L19" s="125" t="n"/>
    </row>
    <row r="20" ht="15" customHeight="1">
      <c r="E20" s="21">
        <f>Inputs!E27</f>
        <v/>
      </c>
      <c r="G20" s="21">
        <f>Inputs!G27</f>
        <v/>
      </c>
      <c r="H20" s="21">
        <f>Inputs!H27</f>
        <v/>
      </c>
      <c r="I20">
        <f>ROW(Inputs!E27)</f>
        <v/>
      </c>
      <c r="K20" s="125" t="inlineStr">
        <is>
          <t>IFA2CFFM1</t>
        </is>
      </c>
      <c r="L20" s="125" t="n"/>
    </row>
    <row r="21" ht="15" customHeight="1">
      <c r="E21" s="21">
        <f>Inputs!E29</f>
        <v/>
      </c>
      <c r="G21" s="21">
        <f>Inputs!G29</f>
        <v/>
      </c>
      <c r="H21" s="21">
        <f>Inputs!H29</f>
        <v/>
      </c>
      <c r="I21">
        <f>ROW(Inputs!E29)</f>
        <v/>
      </c>
      <c r="K21" s="125" t="inlineStr">
        <is>
          <t>IFA2CFFM1</t>
        </is>
      </c>
      <c r="L21" s="125" t="n"/>
    </row>
    <row r="22" ht="15" customHeight="1">
      <c r="E22" s="21">
        <f>Inputs!E30</f>
        <v/>
      </c>
      <c r="G22" s="21">
        <f>Inputs!G30</f>
        <v/>
      </c>
      <c r="H22" s="21">
        <f>Inputs!H30</f>
        <v/>
      </c>
      <c r="I22">
        <f>ROW(Inputs!E30)</f>
        <v/>
      </c>
      <c r="K22" s="125" t="inlineStr">
        <is>
          <t>IFA2CFFM1</t>
        </is>
      </c>
      <c r="L22" s="125" t="n"/>
    </row>
    <row r="23" ht="15" customFormat="1" customHeight="1" s="21">
      <c r="G23" s="5" t="n"/>
      <c r="I23" s="49" t="n"/>
      <c r="K23" s="124" t="n"/>
      <c r="L23" s="124" t="n"/>
    </row>
    <row r="24" ht="15" customFormat="1" customHeight="1" s="63">
      <c r="C24" s="40" t="inlineStr">
        <is>
          <t>Baseline cost inputs during operations</t>
        </is>
      </c>
      <c r="D24" s="42" t="n"/>
      <c r="E24" s="42" t="n"/>
      <c r="F24" s="42" t="n"/>
      <c r="G24" s="42" t="n"/>
      <c r="H24" s="42" t="n"/>
      <c r="I24" s="42" t="n"/>
      <c r="J24" s="42" t="n"/>
      <c r="K24" s="42" t="n"/>
      <c r="L24" s="42" t="n"/>
    </row>
    <row r="25" ht="15" customHeight="1"/>
    <row r="26" ht="15" customHeight="1">
      <c r="E26" s="21">
        <f>Inputs!E34</f>
        <v/>
      </c>
      <c r="G26" s="21">
        <f>Inputs!G34</f>
        <v/>
      </c>
      <c r="I26" s="21">
        <f>ROW(Inputs!E34)</f>
        <v/>
      </c>
      <c r="K26" s="125" t="inlineStr">
        <is>
          <t>IFA2CFFM1</t>
        </is>
      </c>
      <c r="L26" s="125" t="n"/>
    </row>
    <row r="27" ht="15" customHeight="1">
      <c r="E27" s="21">
        <f>Inputs!E35</f>
        <v/>
      </c>
      <c r="G27" s="21">
        <f>Inputs!G35</f>
        <v/>
      </c>
      <c r="I27" s="21">
        <f>ROW(Inputs!E35)</f>
        <v/>
      </c>
      <c r="K27" s="125" t="inlineStr">
        <is>
          <t>IFA2CFFM1</t>
        </is>
      </c>
      <c r="L27" s="125" t="n"/>
    </row>
    <row r="28" ht="15" customHeight="1">
      <c r="E28" s="21">
        <f>Inputs!E36</f>
        <v/>
      </c>
      <c r="G28" s="21">
        <f>Inputs!G36</f>
        <v/>
      </c>
      <c r="H28" s="21">
        <f>Inputs!H36</f>
        <v/>
      </c>
      <c r="I28" s="21">
        <f>ROW(Inputs!E36)</f>
        <v/>
      </c>
      <c r="K28" s="125" t="inlineStr">
        <is>
          <t>IFA2CFFM1</t>
        </is>
      </c>
      <c r="L28" s="125" t="n"/>
    </row>
    <row r="29" ht="15" customHeight="1"/>
    <row r="30" ht="15" customFormat="1" customHeight="1" s="5">
      <c r="C30" s="40" t="inlineStr">
        <is>
          <t>Financial returns</t>
        </is>
      </c>
      <c r="D30" s="40" t="n"/>
      <c r="E30" s="40" t="n"/>
      <c r="F30" s="40" t="n"/>
      <c r="G30" s="40" t="n"/>
      <c r="H30" s="40" t="n"/>
      <c r="I30" s="40" t="n"/>
      <c r="J30" s="40" t="n"/>
      <c r="K30" s="42" t="n"/>
      <c r="L30" s="42" t="n"/>
    </row>
    <row r="31" ht="15" customFormat="1" customHeight="1" s="5">
      <c r="I31" s="6" t="n"/>
      <c r="J31" s="6" t="n"/>
      <c r="K31" s="124" t="n"/>
      <c r="L31" s="124" t="n"/>
    </row>
    <row r="32" ht="15" customHeight="1">
      <c r="E32" s="21">
        <f>Inputs!E40</f>
        <v/>
      </c>
      <c r="G32" s="21">
        <f>Inputs!G40</f>
        <v/>
      </c>
      <c r="I32" s="21">
        <f>ROW(Inputs!E40)</f>
        <v/>
      </c>
      <c r="K32" s="125" t="inlineStr">
        <is>
          <t>IFA2CFFM1</t>
        </is>
      </c>
      <c r="L32" s="125" t="n"/>
    </row>
    <row r="33" ht="15" customHeight="1">
      <c r="E33" s="21">
        <f>Inputs!E41</f>
        <v/>
      </c>
      <c r="G33" s="21">
        <f>Inputs!G41</f>
        <v/>
      </c>
      <c r="I33" s="21">
        <f>ROW(Inputs!E41)</f>
        <v/>
      </c>
      <c r="K33" s="125" t="inlineStr">
        <is>
          <t>IFA2CFFM1</t>
        </is>
      </c>
      <c r="L33" s="125" t="n"/>
    </row>
    <row r="34" ht="15" customHeight="1">
      <c r="E34" s="21">
        <f>Inputs!E42</f>
        <v/>
      </c>
      <c r="G34" s="21">
        <f>Inputs!G42</f>
        <v/>
      </c>
      <c r="H34" s="21">
        <f>Inputs!H42</f>
        <v/>
      </c>
      <c r="I34" s="21">
        <f>ROW(Inputs!E42)</f>
        <v/>
      </c>
      <c r="K34" s="125" t="inlineStr">
        <is>
          <t>IFA2CFFM1</t>
        </is>
      </c>
      <c r="L34" s="125" t="n"/>
    </row>
    <row r="35" ht="15" customHeight="1"/>
    <row r="36" ht="15" customFormat="1" customHeight="1" s="5">
      <c r="C36" s="40" t="inlineStr">
        <is>
          <t>Base year indices</t>
        </is>
      </c>
      <c r="D36" s="40" t="n"/>
      <c r="E36" s="40" t="n"/>
      <c r="F36" s="40" t="n"/>
      <c r="G36" s="40" t="n"/>
      <c r="H36" s="40" t="n"/>
      <c r="I36" s="40" t="n"/>
      <c r="J36" s="40" t="n"/>
      <c r="K36" s="42" t="n"/>
      <c r="L36" s="42" t="n"/>
    </row>
    <row r="37" ht="15" customHeight="1"/>
    <row r="38" ht="13" customHeight="1">
      <c r="E38" s="21">
        <f>Inputs!E46</f>
        <v/>
      </c>
      <c r="G38" s="21">
        <f>Inputs!G46</f>
        <v/>
      </c>
      <c r="H38" s="21">
        <f>Inputs!H46</f>
        <v/>
      </c>
      <c r="I38" s="21">
        <f>ROW(Inputs!E46)</f>
        <v/>
      </c>
      <c r="K38" s="125" t="inlineStr">
        <is>
          <t>IFA2CFFM1</t>
        </is>
      </c>
      <c r="L38" s="125" t="n"/>
    </row>
    <row r="39" ht="13" customHeight="1">
      <c r="E39" s="21">
        <f>Inputs!E47</f>
        <v/>
      </c>
      <c r="G39" s="21">
        <f>Inputs!G47</f>
        <v/>
      </c>
      <c r="H39" s="21">
        <f>Inputs!H47</f>
        <v/>
      </c>
      <c r="I39" s="21">
        <f>ROW(Inputs!E47)</f>
        <v/>
      </c>
      <c r="K39" s="125" t="inlineStr">
        <is>
          <t>IFA2CFFM1</t>
        </is>
      </c>
      <c r="L39" s="125" t="n"/>
    </row>
    <row r="40" ht="13" customHeight="1">
      <c r="E40" s="21">
        <f>Inputs!E48</f>
        <v/>
      </c>
      <c r="G40" s="21">
        <f>Inputs!G48</f>
        <v/>
      </c>
      <c r="H40" s="21">
        <f>Inputs!H48</f>
        <v/>
      </c>
      <c r="I40" s="21">
        <f>ROW(Inputs!E48)</f>
        <v/>
      </c>
      <c r="K40" s="125" t="inlineStr">
        <is>
          <t>IFA2CFFM1</t>
        </is>
      </c>
      <c r="L40" s="125" t="n"/>
    </row>
    <row r="41" ht="15" customHeight="1"/>
    <row r="42" ht="15" customFormat="1" customHeight="1" s="5">
      <c r="B42" s="75" t="inlineStr">
        <is>
          <t>Regime timings and design</t>
        </is>
      </c>
      <c r="C42" s="36" t="n"/>
      <c r="D42" s="36" t="n"/>
      <c r="E42" s="36" t="n"/>
      <c r="F42" s="36" t="n"/>
      <c r="G42" s="36" t="n"/>
      <c r="H42" s="36" t="n"/>
      <c r="I42" s="36" t="n"/>
      <c r="J42" s="36" t="n"/>
      <c r="K42" s="75" t="n"/>
      <c r="L42" s="75" t="n"/>
    </row>
    <row r="43" ht="15" customFormat="1" customHeight="1" s="5">
      <c r="B43" s="72" t="n"/>
      <c r="K43" s="124" t="n"/>
      <c r="L43" s="124" t="n"/>
    </row>
    <row r="44" ht="15" customFormat="1" customHeight="1" s="5">
      <c r="C44" s="40" t="inlineStr">
        <is>
          <t>Model operation</t>
        </is>
      </c>
      <c r="D44" s="40" t="n"/>
      <c r="E44" s="40" t="n"/>
      <c r="F44" s="40" t="n"/>
      <c r="G44" s="40" t="n"/>
      <c r="H44" s="40" t="n"/>
      <c r="I44" s="40" t="n"/>
      <c r="J44" s="40" t="n"/>
      <c r="K44" s="42" t="n"/>
      <c r="L44" s="42" t="n"/>
    </row>
    <row r="45" ht="15" customHeight="1"/>
    <row r="46" ht="15" customHeight="1">
      <c r="E46" s="21">
        <f>Inputs!E67</f>
        <v/>
      </c>
      <c r="G46" s="21">
        <f>Inputs!G67</f>
        <v/>
      </c>
      <c r="I46" s="21">
        <f>ROW(Inputs!E67)</f>
        <v/>
      </c>
      <c r="K46" s="125" t="inlineStr">
        <is>
          <t>IFA2CFFM1</t>
        </is>
      </c>
      <c r="L46" s="125" t="n"/>
    </row>
    <row r="47" ht="15" customHeight="1">
      <c r="E47" s="21">
        <f>Inputs!E76</f>
        <v/>
      </c>
      <c r="G47" s="21">
        <f>Inputs!G76</f>
        <v/>
      </c>
      <c r="I47" s="21">
        <f>ROW(Inputs!E76)</f>
        <v/>
      </c>
      <c r="K47" s="125" t="inlineStr">
        <is>
          <t>IFA2CFFM1</t>
        </is>
      </c>
      <c r="L47" s="125" t="n"/>
    </row>
    <row r="48" ht="15" customFormat="1" customHeight="1" s="21">
      <c r="B48" s="32" t="n"/>
      <c r="E48" s="21">
        <f>Inputs!E78</f>
        <v/>
      </c>
      <c r="G48" s="21">
        <f>Inputs!G78</f>
        <v/>
      </c>
      <c r="I48" s="21">
        <f>ROW(Inputs!E78)</f>
        <v/>
      </c>
      <c r="K48" s="125" t="inlineStr">
        <is>
          <t>IFA2CFFM1</t>
        </is>
      </c>
      <c r="L48" s="125" t="n"/>
    </row>
    <row r="49" ht="15" customHeight="1">
      <c r="B49" s="32" t="n"/>
      <c r="G49" s="5" t="n"/>
      <c r="M49" s="21" t="n"/>
      <c r="N49" s="21" t="n"/>
      <c r="O49" s="21" t="n"/>
      <c r="P49" s="21" t="n"/>
      <c r="Q49" s="21" t="n"/>
      <c r="R49" s="21" t="n"/>
      <c r="S49" s="21" t="n"/>
      <c r="T49" s="21" t="n"/>
      <c r="U49" s="21" t="n"/>
      <c r="V49" s="21" t="n"/>
      <c r="W49" s="21" t="n"/>
      <c r="X49" s="21" t="n"/>
      <c r="Y49" s="21" t="n"/>
      <c r="Z49" s="21" t="n"/>
      <c r="AA49" s="21" t="n"/>
      <c r="AB49" s="21" t="n"/>
      <c r="AC49" s="21" t="n"/>
      <c r="AD49" s="21" t="n"/>
      <c r="AE49" s="21" t="n"/>
      <c r="AF49" s="21" t="n"/>
      <c r="AG49" s="21" t="n"/>
      <c r="AH49" s="21" t="n"/>
      <c r="AI49" s="21" t="n"/>
      <c r="AJ49" s="21" t="n"/>
      <c r="AK49" s="21" t="n"/>
      <c r="AL49" s="21" t="n"/>
      <c r="AM49" s="21" t="n"/>
      <c r="AN49" s="21" t="n"/>
      <c r="AO49" s="21" t="n"/>
      <c r="AP49" s="21" t="n"/>
      <c r="AQ49" s="21" t="n"/>
      <c r="AR49" s="21" t="n"/>
      <c r="AS49" s="21" t="n"/>
      <c r="AT49" s="21" t="n"/>
      <c r="AU49" s="21" t="n"/>
      <c r="AV49" s="21" t="n"/>
      <c r="AW49" s="21" t="n"/>
      <c r="AX49" s="21" t="n"/>
      <c r="AY49" s="21" t="n"/>
      <c r="AZ49" s="21" t="n"/>
      <c r="BA49" s="21" t="n"/>
      <c r="BB49" s="21" t="n"/>
      <c r="BC49" s="21" t="n"/>
    </row>
    <row r="50" ht="15" customHeight="1">
      <c r="B50" s="75" t="inlineStr">
        <is>
          <t>Variables to be updated</t>
        </is>
      </c>
      <c r="C50" s="36" t="n"/>
      <c r="D50" s="36" t="n"/>
      <c r="E50" s="36" t="n"/>
      <c r="F50" s="36" t="n"/>
      <c r="G50" s="36" t="n"/>
      <c r="H50" s="36" t="n"/>
      <c r="I50" s="36" t="n"/>
      <c r="J50" s="36" t="n"/>
      <c r="K50" s="75" t="n"/>
      <c r="L50" s="75" t="n"/>
    </row>
    <row r="51" ht="15" customHeight="1"/>
    <row r="52" ht="15" customFormat="1" customHeight="1" s="63">
      <c r="C52" s="40" t="inlineStr">
        <is>
          <t>Cost items to be updated up to and beyond PCA stage (actual)</t>
        </is>
      </c>
      <c r="D52" s="42" t="n"/>
      <c r="E52" s="42" t="n"/>
      <c r="F52" s="42" t="n"/>
      <c r="G52" s="42" t="n"/>
      <c r="H52" s="42" t="n"/>
      <c r="I52" s="42" t="n"/>
      <c r="J52" s="42" t="n"/>
      <c r="K52" s="42" t="n"/>
      <c r="L52" s="42" t="n"/>
    </row>
    <row r="53" ht="15" customHeight="1"/>
    <row r="54" ht="15" customHeight="1">
      <c r="E54" s="21">
        <f>Inputs!E84</f>
        <v/>
      </c>
      <c r="G54" s="21">
        <f>Inputs!G84</f>
        <v/>
      </c>
      <c r="I54" s="21">
        <f>ROW(Inputs!E84)</f>
        <v/>
      </c>
      <c r="K54" s="125" t="inlineStr">
        <is>
          <t>RIGs and Ofgem decision (current value is illustrative)</t>
        </is>
      </c>
      <c r="L54" s="125" t="n"/>
      <c r="BD54" s="63" t="n"/>
      <c r="BE54" s="63" t="n"/>
      <c r="BF54" s="63" t="n"/>
    </row>
    <row r="55" ht="13" customHeight="1">
      <c r="E55" s="21">
        <f>Inputs!E85</f>
        <v/>
      </c>
      <c r="G55" s="21">
        <f>Inputs!G85</f>
        <v/>
      </c>
      <c r="I55" s="21">
        <f>ROW(Inputs!E85)</f>
        <v/>
      </c>
      <c r="K55" s="125" t="inlineStr">
        <is>
          <t>Ofgem decision (current value is illustrative)</t>
        </is>
      </c>
      <c r="L55" s="125" t="n"/>
    </row>
    <row r="56" ht="15" customHeight="1">
      <c r="BD56" s="63" t="n"/>
      <c r="BE56" s="63" t="n"/>
      <c r="BF56" s="63" t="n"/>
    </row>
    <row r="57" ht="15" customFormat="1" customHeight="1" s="63">
      <c r="C57" s="40" t="inlineStr">
        <is>
          <t>Revenue items to be updated (actual)</t>
        </is>
      </c>
      <c r="D57" s="42" t="n"/>
      <c r="E57" s="42" t="n"/>
      <c r="F57" s="42" t="n"/>
      <c r="G57" s="42" t="n"/>
      <c r="H57" s="42" t="n"/>
      <c r="I57" s="42" t="n"/>
      <c r="J57" s="42" t="n"/>
      <c r="K57" s="42" t="n"/>
      <c r="L57" s="42" t="n"/>
    </row>
    <row r="58" ht="15" customHeight="1"/>
    <row r="59" ht="15" customHeight="1">
      <c r="E59" s="21">
        <f>Inputs!E89</f>
        <v/>
      </c>
      <c r="G59" s="21">
        <f>Inputs!G89</f>
        <v/>
      </c>
      <c r="H59" s="21">
        <f>Inputs!H89</f>
        <v/>
      </c>
      <c r="I59" s="21">
        <f>ROW(Inputs!E89)</f>
        <v/>
      </c>
      <c r="K59" s="125" t="inlineStr">
        <is>
          <t>RIGs and Ofgem decision (current value is illustrative)</t>
        </is>
      </c>
      <c r="L59" s="125" t="n"/>
    </row>
    <row r="60" ht="15" customHeight="1">
      <c r="E60" s="21">
        <f>Inputs!E90</f>
        <v/>
      </c>
      <c r="G60" s="21">
        <f>Inputs!G90</f>
        <v/>
      </c>
      <c r="H60" s="21">
        <f>Inputs!H90</f>
        <v/>
      </c>
      <c r="I60" s="21">
        <f>ROW(Inputs!E90)</f>
        <v/>
      </c>
      <c r="K60" s="125" t="inlineStr">
        <is>
          <t>RIGs and Ofgem decision (current value is illustrative)</t>
        </is>
      </c>
      <c r="L60" s="125" t="n"/>
    </row>
    <row r="61" ht="15" customHeight="1">
      <c r="E61" s="21">
        <f>Inputs!E91</f>
        <v/>
      </c>
      <c r="G61" s="21">
        <f>Inputs!G91</f>
        <v/>
      </c>
      <c r="H61" s="21">
        <f>Inputs!H91</f>
        <v/>
      </c>
      <c r="I61" s="21">
        <f>ROW(Inputs!E91)</f>
        <v/>
      </c>
      <c r="K61" s="125" t="inlineStr">
        <is>
          <t>RIGs and Ofgem decision (current value is illustrative)</t>
        </is>
      </c>
      <c r="L61" s="125" t="n"/>
    </row>
    <row r="62" ht="15" customHeight="1">
      <c r="E62" s="21">
        <f>Inputs!E92</f>
        <v/>
      </c>
      <c r="G62" s="21">
        <f>Inputs!G92</f>
        <v/>
      </c>
      <c r="H62" s="21">
        <f>Inputs!H92</f>
        <v/>
      </c>
      <c r="I62" s="21">
        <f>ROW(Inputs!E92)</f>
        <v/>
      </c>
      <c r="K62" s="125" t="inlineStr">
        <is>
          <t>RIGs and Ofgem decision (current value is illustrative)</t>
        </is>
      </c>
      <c r="L62" s="125" t="n"/>
    </row>
    <row r="63" ht="15" customHeight="1">
      <c r="E63" s="21">
        <f>Inputs!E93</f>
        <v/>
      </c>
      <c r="G63" s="21">
        <f>Inputs!G93</f>
        <v/>
      </c>
      <c r="H63" s="21">
        <f>Inputs!H93</f>
        <v/>
      </c>
      <c r="I63" s="21">
        <f>ROW(Inputs!E93)</f>
        <v/>
      </c>
      <c r="K63" s="125" t="inlineStr">
        <is>
          <t>RIGs and Ofgem decision (current value is illustrative)</t>
        </is>
      </c>
      <c r="L63" s="125" t="n"/>
    </row>
    <row r="64" ht="15" customHeight="1">
      <c r="E64" s="21">
        <f>Inputs!E94</f>
        <v/>
      </c>
      <c r="G64" s="21">
        <f>Inputs!G94</f>
        <v/>
      </c>
      <c r="H64" s="21">
        <f>Inputs!H94</f>
        <v/>
      </c>
      <c r="I64" s="21">
        <f>ROW(Inputs!E94)</f>
        <v/>
      </c>
      <c r="K64" s="125" t="inlineStr">
        <is>
          <t>RIGs and Ofgem decision (current value is illustrative)</t>
        </is>
      </c>
      <c r="L64" s="125" t="n"/>
    </row>
    <row r="65" ht="15" customHeight="1">
      <c r="E65" s="21">
        <f>Inputs!E95</f>
        <v/>
      </c>
      <c r="G65" s="21">
        <f>Inputs!G95</f>
        <v/>
      </c>
      <c r="H65" s="21">
        <f>Inputs!H95</f>
        <v/>
      </c>
      <c r="I65" s="21">
        <f>ROW(Inputs!E95)</f>
        <v/>
      </c>
      <c r="K65" s="125" t="inlineStr">
        <is>
          <t>RIGs and Ofgem decision (current value is illustrative)</t>
        </is>
      </c>
      <c r="L65" s="125" t="n"/>
    </row>
    <row r="66" ht="15" customHeight="1">
      <c r="E66" s="21">
        <f>Inputs!E96</f>
        <v/>
      </c>
      <c r="G66" s="21">
        <f>Inputs!G96</f>
        <v/>
      </c>
      <c r="H66" s="21">
        <f>Inputs!H96</f>
        <v/>
      </c>
      <c r="I66" s="21">
        <f>ROW(Inputs!E96)</f>
        <v/>
      </c>
      <c r="K66" s="125" t="inlineStr">
        <is>
          <t>RIGs and Ofgem decision (current value is illustrative)</t>
        </is>
      </c>
      <c r="L66" s="125" t="n"/>
    </row>
    <row r="67" ht="15" customHeight="1">
      <c r="E67" s="21">
        <f>Inputs!E99</f>
        <v/>
      </c>
      <c r="G67" s="21">
        <f>Inputs!G99</f>
        <v/>
      </c>
      <c r="H67" s="21">
        <f>Inputs!H99</f>
        <v/>
      </c>
      <c r="I67" s="21">
        <f>ROW(Inputs!E99)</f>
        <v/>
      </c>
      <c r="K67" s="125" t="inlineStr">
        <is>
          <t>RIGs and Ofgem decision (current value is illustrative)</t>
        </is>
      </c>
      <c r="L67" s="125" t="n"/>
    </row>
    <row r="68" ht="15" customHeight="1">
      <c r="E68" s="21">
        <f>Inputs!E100</f>
        <v/>
      </c>
      <c r="G68" s="21">
        <f>Inputs!G100</f>
        <v/>
      </c>
      <c r="H68" s="21">
        <f>Inputs!H100</f>
        <v/>
      </c>
      <c r="I68" s="21">
        <f>ROW(Inputs!E100)</f>
        <v/>
      </c>
      <c r="K68" s="125" t="inlineStr">
        <is>
          <t>RIGs and Ofgem decision (current value is illustrative)</t>
        </is>
      </c>
      <c r="L68" s="125" t="n"/>
    </row>
    <row r="69" ht="15" customHeight="1">
      <c r="E69" s="21">
        <f>Inputs!E101</f>
        <v/>
      </c>
      <c r="G69" s="21">
        <f>Inputs!G101</f>
        <v/>
      </c>
      <c r="H69" s="21">
        <f>Inputs!H101</f>
        <v/>
      </c>
      <c r="I69" s="21">
        <f>ROW(Inputs!E101)</f>
        <v/>
      </c>
      <c r="K69" s="125" t="inlineStr">
        <is>
          <t>RIGs and Ofgem decision (current value is illustrative)</t>
        </is>
      </c>
      <c r="L69" s="125" t="n"/>
    </row>
    <row r="70" ht="15" customHeight="1">
      <c r="E70" s="21">
        <f>Inputs!E104</f>
        <v/>
      </c>
      <c r="G70" s="21">
        <f>Inputs!G104</f>
        <v/>
      </c>
      <c r="H70" s="21">
        <f>Inputs!H104</f>
        <v/>
      </c>
      <c r="I70" s="21">
        <f>ROW(Inputs!E104)</f>
        <v/>
      </c>
      <c r="K70" s="125" t="inlineStr">
        <is>
          <t>RIGs and Ofgem decision (current value is illustrative)</t>
        </is>
      </c>
      <c r="L70" s="125" t="n"/>
    </row>
    <row r="71" ht="15" customHeight="1">
      <c r="E71" s="21">
        <f>Inputs!E110</f>
        <v/>
      </c>
      <c r="G71" s="21">
        <f>Inputs!G110</f>
        <v/>
      </c>
      <c r="H71" s="21">
        <f>Inputs!H110</f>
        <v/>
      </c>
      <c r="I71" s="21">
        <f>ROW(Inputs!E110)</f>
        <v/>
      </c>
      <c r="K71" s="125" t="inlineStr">
        <is>
          <t>RIGs and Ofgem decision (current value is illustrative)</t>
        </is>
      </c>
      <c r="L71" s="125" t="n"/>
    </row>
    <row r="72" ht="15" customFormat="1" customHeight="1" s="21">
      <c r="G72" s="5" t="n"/>
      <c r="K72" s="124" t="n"/>
      <c r="L72" s="124" t="n"/>
    </row>
    <row r="73" ht="15" customFormat="1" customHeight="1" s="5">
      <c r="B73" s="75" t="inlineStr">
        <is>
          <t>Adjustment to Cap and Floor levels</t>
        </is>
      </c>
      <c r="C73" s="36" t="n"/>
      <c r="D73" s="36" t="n"/>
      <c r="E73" s="36" t="n"/>
      <c r="F73" s="36" t="n"/>
      <c r="G73" s="36" t="n"/>
      <c r="H73" s="36" t="n"/>
      <c r="I73" s="36" t="n"/>
      <c r="J73" s="36" t="n"/>
      <c r="K73" s="75" t="n"/>
      <c r="L73" s="75" t="n"/>
    </row>
    <row r="74" ht="15" customFormat="1" customHeight="1" s="5">
      <c r="B74" s="72" t="n"/>
      <c r="K74" s="124" t="n"/>
      <c r="L74" s="124" t="n"/>
    </row>
    <row r="75" ht="15" customHeight="1">
      <c r="C75" s="40" t="inlineStr">
        <is>
          <t>Availability incentive</t>
        </is>
      </c>
      <c r="D75" s="40" t="n"/>
      <c r="E75" s="40" t="n"/>
      <c r="F75" s="40" t="n"/>
      <c r="G75" s="40" t="n"/>
      <c r="H75" s="40" t="n"/>
      <c r="I75" s="40" t="n"/>
      <c r="J75" s="40" t="n"/>
      <c r="K75" s="42" t="n"/>
      <c r="L75" s="42" t="n"/>
    </row>
    <row r="76" ht="15" customHeight="1">
      <c r="G76" s="5" t="n"/>
    </row>
    <row r="77" ht="15" customHeight="1">
      <c r="E77" s="21">
        <f>Inputs!E116</f>
        <v/>
      </c>
      <c r="G77" s="21">
        <f>Inputs!G116</f>
        <v/>
      </c>
      <c r="I77" s="21">
        <f>ROW(Inputs!E116)</f>
        <v/>
      </c>
      <c r="K77" s="125" t="inlineStr">
        <is>
          <t>Ofgem decision (current value is illustrative)</t>
        </is>
      </c>
      <c r="L77" s="125" t="n"/>
    </row>
    <row r="78" ht="15" customHeight="1">
      <c r="E78" s="21">
        <f>Inputs!E117</f>
        <v/>
      </c>
      <c r="G78" s="21">
        <f>Inputs!G117</f>
        <v/>
      </c>
      <c r="I78" s="21">
        <f>ROW(Inputs!E117)</f>
        <v/>
      </c>
      <c r="K78" s="125" t="inlineStr">
        <is>
          <t>Ofgem decision (current value is illustrative)</t>
        </is>
      </c>
      <c r="L78" s="125" t="n"/>
    </row>
    <row r="79" ht="15" customHeight="1">
      <c r="E79" s="21">
        <f>Inputs!E118</f>
        <v/>
      </c>
      <c r="G79" s="21">
        <f>Inputs!G118</f>
        <v/>
      </c>
      <c r="I79" s="21">
        <f>ROW(Inputs!E118)</f>
        <v/>
      </c>
      <c r="K79" s="125" t="inlineStr">
        <is>
          <t>Ofgem decision (current value is illustrative)</t>
        </is>
      </c>
      <c r="L79" s="125" t="n"/>
    </row>
    <row r="80" ht="15" customHeight="1">
      <c r="E80" s="21">
        <f>Inputs!E119</f>
        <v/>
      </c>
      <c r="G80" s="21">
        <f>Inputs!G119</f>
        <v/>
      </c>
      <c r="I80" s="21">
        <f>ROW(Inputs!E119)</f>
        <v/>
      </c>
      <c r="K80" s="125" t="inlineStr">
        <is>
          <t>Ofgem decision (current value is illustrative)</t>
        </is>
      </c>
      <c r="L80" s="125" t="n"/>
    </row>
    <row r="81" ht="15" customHeight="1">
      <c r="E81" s="21">
        <f>Inputs!E121</f>
        <v/>
      </c>
      <c r="G81" s="21">
        <f>Inputs!G121</f>
        <v/>
      </c>
      <c r="H81" s="21">
        <f>Inputs!H121</f>
        <v/>
      </c>
      <c r="I81" s="21">
        <f>ROW(Inputs!E121)</f>
        <v/>
      </c>
      <c r="K81" s="125" t="inlineStr">
        <is>
          <t>Ofgem decision (current value is illustrative)</t>
        </is>
      </c>
      <c r="L81" s="125" t="n"/>
    </row>
    <row r="82" ht="15" customFormat="1" customHeight="1" s="21">
      <c r="A82" s="5" t="n"/>
      <c r="B82" s="5" t="n"/>
      <c r="D82" s="5" t="n"/>
      <c r="E82" s="21">
        <f>Inputs!E132</f>
        <v/>
      </c>
      <c r="G82" s="21">
        <f>Inputs!G132</f>
        <v/>
      </c>
      <c r="I82" s="21">
        <f>ROW(Inputs!E132)</f>
        <v/>
      </c>
      <c r="K82" s="125" t="inlineStr">
        <is>
          <t>Ofgem decision (current value is illustrative)</t>
        </is>
      </c>
      <c r="L82" s="125" t="n"/>
    </row>
    <row r="83" ht="15" customHeight="1">
      <c r="G83" s="5" t="n"/>
    </row>
    <row r="84" ht="15" customFormat="1" customHeight="1" s="21">
      <c r="C84" s="40" t="inlineStr">
        <is>
          <t>Inflation &amp; exchange rate</t>
        </is>
      </c>
      <c r="D84" s="40" t="n"/>
      <c r="E84" s="40" t="n"/>
      <c r="F84" s="40" t="n"/>
      <c r="G84" s="40" t="n"/>
      <c r="H84" s="40" t="n"/>
      <c r="I84" s="40" t="n"/>
      <c r="J84" s="40" t="n"/>
      <c r="K84" s="42" t="n"/>
      <c r="L84" s="42" t="n"/>
    </row>
    <row r="85" ht="15" customFormat="1" customHeight="1" s="21">
      <c r="A85" s="5" t="n"/>
      <c r="B85" s="5" t="n"/>
      <c r="D85" s="5" t="n"/>
      <c r="K85" s="124" t="n"/>
      <c r="L85" s="124" t="n"/>
    </row>
    <row r="86" ht="15" customFormat="1" customHeight="1" s="21">
      <c r="B86" s="32" t="n"/>
      <c r="E86" s="21">
        <f>Inputs!E140</f>
        <v/>
      </c>
      <c r="G86" s="21">
        <f>Inputs!G140</f>
        <v/>
      </c>
      <c r="H86" s="21">
        <f>Inputs!H140</f>
        <v/>
      </c>
      <c r="I86" s="21">
        <f>ROW(Inputs!E140)</f>
        <v/>
      </c>
      <c r="K86" s="125" t="inlineStr">
        <is>
          <t>Ofgem decision (current value is illustrative)</t>
        </is>
      </c>
      <c r="L86" s="125" t="n"/>
    </row>
    <row r="87" ht="15" customFormat="1" customHeight="1" s="21">
      <c r="B87" s="32" t="n"/>
      <c r="E87" s="21">
        <f>Inputs!E141</f>
        <v/>
      </c>
      <c r="G87" s="21">
        <f>Inputs!G141</f>
        <v/>
      </c>
      <c r="H87" s="21">
        <f>Inputs!H141</f>
        <v/>
      </c>
      <c r="I87" s="21">
        <f>ROW(Inputs!E141)</f>
        <v/>
      </c>
      <c r="K87" s="125" t="inlineStr">
        <is>
          <t>Ofgem decision (current value is illustrative)</t>
        </is>
      </c>
      <c r="L87" s="125" t="n"/>
    </row>
    <row r="88" ht="15" customFormat="1" customHeight="1" s="21">
      <c r="B88" s="32" t="n"/>
      <c r="E88" s="21">
        <f>Inputs!E143</f>
        <v/>
      </c>
      <c r="G88" s="21">
        <f>Inputs!G143</f>
        <v/>
      </c>
      <c r="H88" s="21">
        <f>Inputs!H143</f>
        <v/>
      </c>
      <c r="I88" s="21">
        <f>ROW(Inputs!E143)</f>
        <v/>
      </c>
      <c r="K88" s="125" t="inlineStr">
        <is>
          <t>Ofgem decision (current value is illustrative)</t>
        </is>
      </c>
      <c r="L88" s="125" t="n"/>
    </row>
    <row r="89" ht="15" customFormat="1" customHeight="1" s="21">
      <c r="A89" s="5" t="n"/>
      <c r="B89" s="5" t="n"/>
      <c r="D89" s="5" t="n"/>
      <c r="K89" s="124" t="n"/>
      <c r="L89" s="124" t="n"/>
    </row>
    <row r="90" ht="15" customFormat="1" customHeight="1" s="5">
      <c r="C90" s="40" t="inlineStr">
        <is>
          <t>PCA adjustment</t>
        </is>
      </c>
      <c r="D90" s="40" t="n"/>
      <c r="E90" s="40" t="n"/>
      <c r="F90" s="40" t="n"/>
      <c r="G90" s="40" t="n"/>
      <c r="H90" s="40" t="n"/>
      <c r="I90" s="40" t="n"/>
      <c r="J90" s="40" t="n"/>
      <c r="K90" s="42" t="n"/>
      <c r="L90" s="42" t="n"/>
    </row>
    <row r="91" ht="15" customHeight="1"/>
    <row r="92" ht="15" customHeight="1">
      <c r="E92" s="21">
        <f>Inputs!E149</f>
        <v/>
      </c>
      <c r="G92" s="21">
        <f>Inputs!G149</f>
        <v/>
      </c>
      <c r="I92">
        <f>ROW(Inputs!E149)</f>
        <v/>
      </c>
      <c r="K92" s="125" t="inlineStr">
        <is>
          <t>Ofgem decision (current value is illustrative)</t>
        </is>
      </c>
      <c r="L92" s="125" t="n"/>
    </row>
    <row r="93" ht="15" customHeight="1">
      <c r="E93" s="21">
        <f>Inputs!E152</f>
        <v/>
      </c>
      <c r="G93" s="21">
        <f>Inputs!G152</f>
        <v/>
      </c>
      <c r="I93">
        <f>ROW(Inputs!E152)</f>
        <v/>
      </c>
      <c r="K93" s="125" t="inlineStr">
        <is>
          <t>Ofgem decision (current value is illustrative)</t>
        </is>
      </c>
      <c r="L93" s="125" t="n"/>
    </row>
    <row r="94" ht="15" customHeight="1">
      <c r="E94" s="32" t="n"/>
      <c r="F94" s="32" t="n"/>
      <c r="G94" s="32" t="n"/>
      <c r="H94" s="32" t="n"/>
      <c r="I94" s="54" t="n"/>
      <c r="J94" s="32" t="n"/>
    </row>
    <row r="95" ht="15" customFormat="1" customHeight="1" s="5">
      <c r="C95" s="40" t="inlineStr">
        <is>
          <t>ORA adjustment</t>
        </is>
      </c>
      <c r="D95" s="40" t="n"/>
      <c r="E95" s="40" t="n"/>
      <c r="F95" s="40" t="n"/>
      <c r="G95" s="40" t="n"/>
      <c r="H95" s="40" t="n"/>
      <c r="I95" s="40" t="n"/>
      <c r="J95" s="40" t="n"/>
      <c r="K95" s="42" t="n"/>
      <c r="L95" s="42" t="n"/>
    </row>
    <row r="96" ht="15" customHeight="1"/>
    <row r="97" ht="15" customHeight="1">
      <c r="E97" s="21">
        <f>Inputs!E158</f>
        <v/>
      </c>
      <c r="G97" s="21">
        <f>Inputs!G158</f>
        <v/>
      </c>
      <c r="I97" s="21">
        <f>ROW(Inputs!E158)</f>
        <v/>
      </c>
      <c r="K97" s="125" t="inlineStr">
        <is>
          <t>Ofgem decision (current value is illustrative)</t>
        </is>
      </c>
      <c r="L97" s="125" t="n"/>
    </row>
    <row r="98" ht="15" customHeight="1">
      <c r="E98" s="21">
        <f>Inputs!E159</f>
        <v/>
      </c>
      <c r="G98" s="21">
        <f>Inputs!G159</f>
        <v/>
      </c>
      <c r="I98" s="21">
        <f>ROW(Inputs!I159)</f>
        <v/>
      </c>
      <c r="K98" s="125" t="inlineStr">
        <is>
          <t>Ofgem decision (current value is illustrative)</t>
        </is>
      </c>
      <c r="L98" s="125" t="n"/>
    </row>
    <row r="99" ht="15" customHeight="1">
      <c r="E99" s="21">
        <f>Inputs!E164</f>
        <v/>
      </c>
      <c r="G99" s="21">
        <f>Inputs!G164</f>
        <v/>
      </c>
      <c r="I99" s="21">
        <f>ROW(Inputs!E164)</f>
        <v/>
      </c>
      <c r="K99" s="125" t="inlineStr">
        <is>
          <t>Ofgem decision (current value is illustrative)</t>
        </is>
      </c>
      <c r="L99" s="125" t="n"/>
    </row>
    <row r="100" ht="15" customHeight="1"/>
    <row r="101" ht="15" customFormat="1" customHeight="1" s="5">
      <c r="C101" s="40" t="inlineStr">
        <is>
          <t>DC adjustments</t>
        </is>
      </c>
      <c r="D101" s="40" t="n"/>
      <c r="E101" s="40" t="n"/>
      <c r="F101" s="40" t="n"/>
      <c r="G101" s="40" t="n"/>
      <c r="H101" s="40" t="n"/>
      <c r="I101" s="40" t="n"/>
      <c r="J101" s="40" t="n"/>
      <c r="K101" s="42" t="n"/>
      <c r="L101" s="42" t="n"/>
    </row>
    <row r="102" ht="15" customHeight="1"/>
    <row r="103" ht="15" customHeight="1">
      <c r="E103" s="21">
        <f>Inputs!E171</f>
        <v/>
      </c>
      <c r="G103" s="21">
        <f>Inputs!G171</f>
        <v/>
      </c>
      <c r="I103" s="21">
        <f>ROW(Inputs!E171)</f>
        <v/>
      </c>
      <c r="K103" s="125" t="inlineStr">
        <is>
          <t>Ofgem decision (current value is illustrative)</t>
        </is>
      </c>
      <c r="L103" s="125" t="n"/>
    </row>
    <row r="104" ht="15" customFormat="1" customHeight="1" s="21">
      <c r="I104" s="56" t="n"/>
      <c r="K104" s="124" t="n"/>
      <c r="L104" s="124" t="n"/>
    </row>
    <row r="105" ht="15" customFormat="1" customHeight="1" s="5">
      <c r="D105" s="40" t="inlineStr">
        <is>
          <t>Current DC adjustment</t>
        </is>
      </c>
      <c r="E105" s="40" t="n"/>
      <c r="F105" s="40" t="n"/>
      <c r="G105" s="40" t="n"/>
      <c r="H105" s="40" t="n"/>
      <c r="I105" s="40" t="n"/>
      <c r="J105" s="40" t="n"/>
      <c r="K105" s="42" t="n"/>
      <c r="L105" s="42" t="n"/>
    </row>
    <row r="106" ht="15" customFormat="1" customHeight="1" s="5">
      <c r="K106" s="124" t="n"/>
      <c r="L106" s="124" t="n"/>
    </row>
    <row r="107" ht="15" customHeight="1">
      <c r="E107" s="21">
        <f>Inputs!E175</f>
        <v/>
      </c>
      <c r="G107" s="21">
        <f>Inputs!G175</f>
        <v/>
      </c>
      <c r="I107" s="21">
        <f>ROW(Inputs!E175)</f>
        <v/>
      </c>
      <c r="K107" s="125" t="inlineStr">
        <is>
          <t>Ofgem decision (current value is illustrative)</t>
        </is>
      </c>
      <c r="L107" s="125" t="n"/>
    </row>
    <row r="108" ht="13" customHeight="1">
      <c r="E108" s="21">
        <f>Inputs!E178</f>
        <v/>
      </c>
      <c r="G108" s="21">
        <f>Inputs!G178</f>
        <v/>
      </c>
      <c r="I108" s="21">
        <f>ROW(Inputs!E178)</f>
        <v/>
      </c>
      <c r="K108" s="125" t="inlineStr">
        <is>
          <t>Ofgem decision (current value is illustrative)</t>
        </is>
      </c>
      <c r="L108" s="125" t="n"/>
    </row>
    <row r="109" ht="15" customHeight="1"/>
    <row r="110" ht="15" customFormat="1" customHeight="1" s="5">
      <c r="D110" s="40" t="inlineStr">
        <is>
          <t>Previous DC adjustments</t>
        </is>
      </c>
      <c r="E110" s="40" t="n"/>
      <c r="F110" s="40" t="n"/>
      <c r="G110" s="40" t="n"/>
      <c r="H110" s="40" t="n"/>
      <c r="I110" s="40" t="n"/>
      <c r="J110" s="40" t="n"/>
      <c r="K110" s="42" t="n"/>
      <c r="L110" s="42" t="n"/>
    </row>
    <row r="111" ht="15" customFormat="1" customHeight="1" s="5">
      <c r="K111" s="124" t="n"/>
      <c r="L111" s="124" t="n"/>
    </row>
    <row r="112" ht="15" customHeight="1">
      <c r="E112" s="86">
        <f>Inputs!E185</f>
        <v/>
      </c>
    </row>
    <row r="113" ht="15" customHeight="1">
      <c r="E113" s="21">
        <f>Inputs!E186</f>
        <v/>
      </c>
      <c r="G113" s="21">
        <f>Inputs!G186</f>
        <v/>
      </c>
      <c r="I113" s="21">
        <f>ROW(Inputs!E186)</f>
        <v/>
      </c>
      <c r="K113" s="125" t="inlineStr">
        <is>
          <t>Ofgem decision (current value is illustrative)</t>
        </is>
      </c>
      <c r="L113" s="125" t="n"/>
    </row>
    <row r="114" ht="15" customHeight="1">
      <c r="E114" s="21">
        <f>Inputs!E187</f>
        <v/>
      </c>
      <c r="G114" s="21">
        <f>Inputs!G187</f>
        <v/>
      </c>
      <c r="I114" s="21">
        <f>ROW(Inputs!E187)</f>
        <v/>
      </c>
      <c r="K114" s="125" t="inlineStr">
        <is>
          <t>Ofgem decision (current value is illustrative)</t>
        </is>
      </c>
      <c r="L114" s="125" t="n"/>
    </row>
    <row r="115" ht="15" customHeight="1">
      <c r="E115" s="21">
        <f>Inputs!E188</f>
        <v/>
      </c>
      <c r="G115" s="21">
        <f>Inputs!G188</f>
        <v/>
      </c>
      <c r="I115" s="21">
        <f>ROW(Inputs!E188)</f>
        <v/>
      </c>
      <c r="K115" s="125" t="inlineStr">
        <is>
          <t>Ofgem decision (current value is illustrative)</t>
        </is>
      </c>
      <c r="L115" s="125" t="n"/>
    </row>
    <row r="116" ht="15" customHeight="1">
      <c r="E116" s="86">
        <f>Inputs!E190</f>
        <v/>
      </c>
    </row>
    <row r="117" ht="15" customHeight="1">
      <c r="E117" s="21">
        <f>Inputs!E191</f>
        <v/>
      </c>
      <c r="G117" s="21">
        <f>Inputs!G191</f>
        <v/>
      </c>
      <c r="I117" s="21">
        <f>ROW(Inputs!E191)</f>
        <v/>
      </c>
      <c r="K117" s="125" t="inlineStr">
        <is>
          <t>Ofgem decision (current value is illustrative)</t>
        </is>
      </c>
      <c r="L117" s="125" t="n"/>
    </row>
    <row r="118" ht="15" customHeight="1">
      <c r="E118" s="21">
        <f>Inputs!E192</f>
        <v/>
      </c>
      <c r="G118" s="21">
        <f>Inputs!G192</f>
        <v/>
      </c>
      <c r="I118" s="21">
        <f>ROW(Inputs!E192)</f>
        <v/>
      </c>
      <c r="K118" s="125" t="inlineStr">
        <is>
          <t>Ofgem decision (current value is illustrative)</t>
        </is>
      </c>
      <c r="L118" s="125" t="n"/>
    </row>
    <row r="119" ht="15" customHeight="1">
      <c r="E119" s="21">
        <f>Inputs!E193</f>
        <v/>
      </c>
      <c r="G119" s="21">
        <f>Inputs!G193</f>
        <v/>
      </c>
      <c r="I119" s="21">
        <f>ROW(Inputs!E193)</f>
        <v/>
      </c>
      <c r="K119" s="125" t="inlineStr">
        <is>
          <t>Ofgem decision (current value is illustrative)</t>
        </is>
      </c>
      <c r="L119" s="125" t="n"/>
    </row>
    <row r="120" ht="15" customHeight="1">
      <c r="E120" s="86">
        <f>Inputs!E195</f>
        <v/>
      </c>
    </row>
    <row r="121" ht="15" customHeight="1">
      <c r="E121" s="21">
        <f>Inputs!E196</f>
        <v/>
      </c>
      <c r="G121" s="21">
        <f>Inputs!G196</f>
        <v/>
      </c>
      <c r="I121" s="21">
        <f>ROW(Inputs!E196)</f>
        <v/>
      </c>
      <c r="K121" s="125" t="inlineStr">
        <is>
          <t>Ofgem decision (current value is illustrative)</t>
        </is>
      </c>
      <c r="L121" s="125" t="n"/>
    </row>
    <row r="122" ht="15" customHeight="1">
      <c r="E122" s="21">
        <f>Inputs!E197</f>
        <v/>
      </c>
      <c r="G122" s="21">
        <f>Inputs!G197</f>
        <v/>
      </c>
      <c r="I122" s="21">
        <f>ROW(Inputs!E197)</f>
        <v/>
      </c>
      <c r="K122" s="125" t="inlineStr">
        <is>
          <t>Ofgem decision (current value is illustrative)</t>
        </is>
      </c>
      <c r="L122" s="125" t="n"/>
    </row>
    <row r="123" ht="15" customHeight="1">
      <c r="E123" s="21">
        <f>Inputs!E198</f>
        <v/>
      </c>
      <c r="G123" s="21">
        <f>Inputs!G198</f>
        <v/>
      </c>
      <c r="I123" s="21">
        <f>ROW(Inputs!E198)</f>
        <v/>
      </c>
      <c r="K123" s="125" t="inlineStr">
        <is>
          <t>Ofgem decision (current value is illustrative)</t>
        </is>
      </c>
      <c r="L123" s="125" t="n"/>
    </row>
    <row r="124" ht="15" customHeight="1">
      <c r="E124" s="86">
        <f>Inputs!E200</f>
        <v/>
      </c>
    </row>
    <row r="125" ht="15" customHeight="1">
      <c r="E125" s="21">
        <f>Inputs!E201</f>
        <v/>
      </c>
      <c r="G125" s="21">
        <f>Inputs!G201</f>
        <v/>
      </c>
      <c r="I125" s="21">
        <f>ROW(Inputs!E201)</f>
        <v/>
      </c>
      <c r="K125" s="125" t="inlineStr">
        <is>
          <t>Ofgem decision (current value is illustrative)</t>
        </is>
      </c>
      <c r="L125" s="125" t="n"/>
    </row>
    <row r="126" ht="15" customHeight="1">
      <c r="E126" s="21">
        <f>Inputs!E202</f>
        <v/>
      </c>
      <c r="G126" s="21">
        <f>Inputs!G202</f>
        <v/>
      </c>
      <c r="I126" s="21">
        <f>ROW(Inputs!E202)</f>
        <v/>
      </c>
      <c r="K126" s="125" t="inlineStr">
        <is>
          <t>Ofgem decision (current value is illustrative)</t>
        </is>
      </c>
      <c r="L126" s="125" t="n"/>
    </row>
    <row r="127" ht="15" customHeight="1">
      <c r="E127" s="21">
        <f>Inputs!E203</f>
        <v/>
      </c>
      <c r="G127" s="21">
        <f>Inputs!G203</f>
        <v/>
      </c>
      <c r="I127" s="21">
        <f>ROW(Inputs!E203)</f>
        <v/>
      </c>
      <c r="K127" s="125" t="inlineStr">
        <is>
          <t>Ofgem decision (current value is illustrative)</t>
        </is>
      </c>
      <c r="L127" s="125" t="n"/>
    </row>
    <row r="128" ht="15" customHeight="1"/>
    <row r="129" ht="15" customHeight="1">
      <c r="B129" s="75" t="inlineStr">
        <is>
          <t>End of sheet</t>
        </is>
      </c>
      <c r="C129" s="36" t="n"/>
      <c r="D129" s="36" t="n"/>
      <c r="E129" s="36" t="n"/>
      <c r="F129" s="36" t="n"/>
      <c r="G129" s="36" t="n"/>
      <c r="H129" s="36" t="n"/>
      <c r="I129" s="36" t="n"/>
      <c r="J129" s="36" t="n"/>
      <c r="K129" s="75" t="inlineStr">
        <is>
          <t>`</t>
        </is>
      </c>
      <c r="L129" s="75" t="n"/>
    </row>
    <row r="130"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sheetData>
  <pageMargins left="0.2362204724409449" right="0.2362204724409449" top="0.7480314960629921" bottom="0.7480314960629921" header="0.3149606299212598" footer="0.3149606299212598"/>
  <pageSetup orientation="landscape" paperSize="8" scale="41" fitToHeight="0"/>
</worksheet>
</file>

<file path=xl/worksheets/sheet5.xml><?xml version="1.0" encoding="utf-8"?>
<worksheet xmlns="http://schemas.openxmlformats.org/spreadsheetml/2006/main">
  <sheetPr codeName="Sheet11">
    <tabColor theme="7" tint="0.5999938962981048"/>
    <outlinePr summaryBelow="1" summaryRight="1"/>
    <pageSetUpPr fitToPage="1"/>
  </sheetPr>
  <dimension ref="A1:BC33"/>
  <sheetViews>
    <sheetView zoomScaleNormal="100" workbookViewId="0">
      <pane xSplit="10" ySplit="5" topLeftCell="K6" activePane="bottomRight" state="frozen"/>
      <selection pane="topRight" activeCell="A1" sqref="A1"/>
      <selection pane="bottomLeft" activeCell="A1" sqref="A1"/>
      <selection pane="bottomRight" activeCell="P13" sqref="P13"/>
    </sheetView>
  </sheetViews>
  <sheetFormatPr baseColWidth="10" defaultColWidth="0" defaultRowHeight="15" customHeight="1" zeroHeight="1"/>
  <cols>
    <col width="2.59765625" customWidth="1" style="21" min="1" max="4"/>
    <col width="50.59765625" customWidth="1" style="21" min="5" max="5"/>
    <col width="1.59765625" customWidth="1" style="21" min="6" max="6"/>
    <col width="15.59765625" customWidth="1" style="21" min="7" max="7"/>
    <col width="10.59765625" bestFit="1" customWidth="1" style="21" min="8" max="8"/>
    <col width="10.59765625" customWidth="1" style="21" min="9" max="9"/>
    <col width="1.59765625" customWidth="1" style="21" min="10" max="14"/>
    <col width="10.59765625" customWidth="1" style="21" min="15" max="54"/>
    <col width="2.59765625" customWidth="1" style="21" min="55" max="55"/>
    <col hidden="1" width="9" customWidth="1" style="21" min="56" max="56"/>
    <col hidden="1" width="9" customWidth="1" style="21" min="57" max="16384"/>
  </cols>
  <sheetData>
    <row r="1" ht="15" customFormat="1" customHeight="1" s="10">
      <c r="A1" s="126" t="inlineStr">
        <is>
          <t>Costs &amp; Revenue</t>
        </is>
      </c>
      <c r="H1" s="9" t="inlineStr">
        <is>
          <t>Licence</t>
        </is>
      </c>
      <c r="J1" s="61" t="n"/>
      <c r="K1" s="61" t="n"/>
      <c r="L1" s="61" t="n"/>
      <c r="M1" s="61" t="n"/>
      <c r="N1" s="61" t="n"/>
      <c r="O1" s="61" t="n"/>
      <c r="P1" s="61" t="n"/>
      <c r="Q1" s="61" t="n"/>
      <c r="R1" s="61" t="n"/>
      <c r="S1" s="61" t="n"/>
      <c r="T1" s="61" t="n"/>
      <c r="U1" s="61" t="n"/>
      <c r="V1" s="61" t="n"/>
      <c r="W1" s="61" t="n"/>
      <c r="X1" s="61" t="n"/>
      <c r="Y1" s="61" t="n"/>
      <c r="Z1" s="61" t="n"/>
      <c r="AA1" s="61" t="n"/>
      <c r="AB1" s="61" t="n"/>
      <c r="AC1" s="61" t="n"/>
      <c r="AD1" s="61" t="n"/>
      <c r="AE1" s="61" t="n"/>
      <c r="AF1" s="61" t="n"/>
      <c r="AG1" s="61" t="n"/>
      <c r="AH1" s="61" t="n"/>
      <c r="AI1" s="61" t="n"/>
      <c r="AJ1" s="61" t="n"/>
    </row>
    <row r="2" ht="15" customFormat="1" customHeight="1" s="10">
      <c r="E2" s="9" t="inlineStr">
        <is>
          <t>Parameter</t>
        </is>
      </c>
      <c r="F2" s="9" t="n"/>
      <c r="G2" s="9" t="inlineStr">
        <is>
          <t>Units</t>
        </is>
      </c>
      <c r="H2" s="9" t="inlineStr">
        <is>
          <t>Terminology</t>
        </is>
      </c>
      <c r="I2" s="13" t="inlineStr">
        <is>
          <t>Constant</t>
        </is>
      </c>
      <c r="O2" s="9" t="inlineStr">
        <is>
          <t>Annual values</t>
        </is>
      </c>
    </row>
    <row r="3" ht="15" customFormat="1" customHeight="1" s="10">
      <c r="E3" s="52" t="inlineStr">
        <is>
          <t>Year commencing</t>
        </is>
      </c>
      <c r="F3" s="9" t="n"/>
      <c r="G3" s="9" t="n"/>
      <c r="H3" s="9" t="n"/>
      <c r="I3" s="9" t="n"/>
      <c r="O3" s="62">
        <f>INDEX(Inputs!$O3:$BB3,MATCH('Costs &amp; Revenue'!O$5,Inputs!$O$5:$BB$5,0))</f>
        <v/>
      </c>
      <c r="P3" s="62">
        <f>INDEX(Inputs!$O3:$BB3,MATCH('Costs &amp; Revenue'!P$5,Inputs!$O$5:$BB$5,0))</f>
        <v/>
      </c>
      <c r="Q3" s="62">
        <f>INDEX(Inputs!$O3:$BB3,MATCH('Costs &amp; Revenue'!Q$5,Inputs!$O$5:$BB$5,0))</f>
        <v/>
      </c>
      <c r="R3" s="62">
        <f>INDEX(Inputs!$O3:$BB3,MATCH('Costs &amp; Revenue'!R$5,Inputs!$O$5:$BB$5,0))</f>
        <v/>
      </c>
      <c r="S3" s="62">
        <f>INDEX(Inputs!$O3:$BB3,MATCH('Costs &amp; Revenue'!S$5,Inputs!$O$5:$BB$5,0))</f>
        <v/>
      </c>
      <c r="T3" s="62">
        <f>INDEX(Inputs!$O3:$BB3,MATCH('Costs &amp; Revenue'!T$5,Inputs!$O$5:$BB$5,0))</f>
        <v/>
      </c>
      <c r="U3" s="62">
        <f>INDEX(Inputs!$O3:$BB3,MATCH('Costs &amp; Revenue'!U$5,Inputs!$O$5:$BB$5,0))</f>
        <v/>
      </c>
      <c r="V3" s="62">
        <f>INDEX(Inputs!$O3:$BB3,MATCH('Costs &amp; Revenue'!V$5,Inputs!$O$5:$BB$5,0))</f>
        <v/>
      </c>
      <c r="W3" s="62">
        <f>INDEX(Inputs!$O3:$BB3,MATCH('Costs &amp; Revenue'!W$5,Inputs!$O$5:$BB$5,0))</f>
        <v/>
      </c>
      <c r="X3" s="62">
        <f>INDEX(Inputs!$O3:$BB3,MATCH('Costs &amp; Revenue'!X$5,Inputs!$O$5:$BB$5,0))</f>
        <v/>
      </c>
      <c r="Y3" s="62">
        <f>INDEX(Inputs!$O3:$BB3,MATCH('Costs &amp; Revenue'!Y$5,Inputs!$O$5:$BB$5,0))</f>
        <v/>
      </c>
      <c r="Z3" s="62">
        <f>INDEX(Inputs!$O3:$BB3,MATCH('Costs &amp; Revenue'!Z$5,Inputs!$O$5:$BB$5,0))</f>
        <v/>
      </c>
      <c r="AA3" s="62">
        <f>INDEX(Inputs!$O3:$BB3,MATCH('Costs &amp; Revenue'!AA$5,Inputs!$O$5:$BB$5,0))</f>
        <v/>
      </c>
      <c r="AB3" s="62">
        <f>INDEX(Inputs!$O3:$BB3,MATCH('Costs &amp; Revenue'!AB$5,Inputs!$O$5:$BB$5,0))</f>
        <v/>
      </c>
      <c r="AC3" s="62">
        <f>INDEX(Inputs!$O3:$BB3,MATCH('Costs &amp; Revenue'!AC$5,Inputs!$O$5:$BB$5,0))</f>
        <v/>
      </c>
      <c r="AD3" s="62">
        <f>INDEX(Inputs!$O3:$BB3,MATCH('Costs &amp; Revenue'!AD$5,Inputs!$O$5:$BB$5,0))</f>
        <v/>
      </c>
      <c r="AE3" s="62">
        <f>INDEX(Inputs!$O3:$BB3,MATCH('Costs &amp; Revenue'!AE$5,Inputs!$O$5:$BB$5,0))</f>
        <v/>
      </c>
      <c r="AF3" s="62">
        <f>INDEX(Inputs!$O3:$BB3,MATCH('Costs &amp; Revenue'!AF$5,Inputs!$O$5:$BB$5,0))</f>
        <v/>
      </c>
      <c r="AG3" s="62">
        <f>INDEX(Inputs!$O3:$BB3,MATCH('Costs &amp; Revenue'!AG$5,Inputs!$O$5:$BB$5,0))</f>
        <v/>
      </c>
      <c r="AH3" s="62">
        <f>INDEX(Inputs!$O3:$BB3,MATCH('Costs &amp; Revenue'!AH$5,Inputs!$O$5:$BB$5,0))</f>
        <v/>
      </c>
      <c r="AI3" s="62">
        <f>INDEX(Inputs!$O3:$BB3,MATCH('Costs &amp; Revenue'!AI$5,Inputs!$O$5:$BB$5,0))</f>
        <v/>
      </c>
      <c r="AJ3" s="62">
        <f>INDEX(Inputs!$O3:$BB3,MATCH('Costs &amp; Revenue'!AJ$5,Inputs!$O$5:$BB$5,0))</f>
        <v/>
      </c>
      <c r="AK3" s="62">
        <f>INDEX(Inputs!$O3:$BB3,MATCH('Costs &amp; Revenue'!AK$5,Inputs!$O$5:$BB$5,0))</f>
        <v/>
      </c>
      <c r="AL3" s="62">
        <f>INDEX(Inputs!$O3:$BB3,MATCH('Costs &amp; Revenue'!AL$5,Inputs!$O$5:$BB$5,0))</f>
        <v/>
      </c>
      <c r="AM3" s="62">
        <f>INDEX(Inputs!$O3:$BB3,MATCH('Costs &amp; Revenue'!AM$5,Inputs!$O$5:$BB$5,0))</f>
        <v/>
      </c>
      <c r="AN3" s="62">
        <f>INDEX(Inputs!$O3:$BB3,MATCH('Costs &amp; Revenue'!AN$5,Inputs!$O$5:$BB$5,0))</f>
        <v/>
      </c>
      <c r="AO3" s="62">
        <f>INDEX(Inputs!$O3:$BB3,MATCH('Costs &amp; Revenue'!AO$5,Inputs!$O$5:$BB$5,0))</f>
        <v/>
      </c>
      <c r="AP3" s="62">
        <f>INDEX(Inputs!$O3:$BB3,MATCH('Costs &amp; Revenue'!AP$5,Inputs!$O$5:$BB$5,0))</f>
        <v/>
      </c>
      <c r="AQ3" s="62">
        <f>INDEX(Inputs!$O3:$BB3,MATCH('Costs &amp; Revenue'!AQ$5,Inputs!$O$5:$BB$5,0))</f>
        <v/>
      </c>
      <c r="AR3" s="62">
        <f>INDEX(Inputs!$O3:$BB3,MATCH('Costs &amp; Revenue'!AR$5,Inputs!$O$5:$BB$5,0))</f>
        <v/>
      </c>
      <c r="AS3" s="62">
        <f>INDEX(Inputs!$O3:$BB3,MATCH('Costs &amp; Revenue'!AS$5,Inputs!$O$5:$BB$5,0))</f>
        <v/>
      </c>
      <c r="AT3" s="62">
        <f>INDEX(Inputs!$O3:$BB3,MATCH('Costs &amp; Revenue'!AT$5,Inputs!$O$5:$BB$5,0))</f>
        <v/>
      </c>
      <c r="AU3" s="62">
        <f>INDEX(Inputs!$O3:$BB3,MATCH('Costs &amp; Revenue'!AU$5,Inputs!$O$5:$BB$5,0))</f>
        <v/>
      </c>
      <c r="AV3" s="62">
        <f>INDEX(Inputs!$O3:$BB3,MATCH('Costs &amp; Revenue'!AV$5,Inputs!$O$5:$BB$5,0))</f>
        <v/>
      </c>
      <c r="AW3" s="62">
        <f>INDEX(Inputs!$O3:$BB3,MATCH('Costs &amp; Revenue'!AW$5,Inputs!$O$5:$BB$5,0))</f>
        <v/>
      </c>
      <c r="AX3" s="62">
        <f>INDEX(Inputs!$O3:$BB3,MATCH('Costs &amp; Revenue'!AX$5,Inputs!$O$5:$BB$5,0))</f>
        <v/>
      </c>
      <c r="AY3" s="62">
        <f>INDEX(Inputs!$O3:$BB3,MATCH('Costs &amp; Revenue'!AY$5,Inputs!$O$5:$BB$5,0))</f>
        <v/>
      </c>
      <c r="AZ3" s="62">
        <f>INDEX(Inputs!$O3:$BB3,MATCH('Costs &amp; Revenue'!AZ$5,Inputs!$O$5:$BB$5,0))</f>
        <v/>
      </c>
      <c r="BA3" s="62">
        <f>INDEX(Inputs!$O3:$BB3,MATCH('Costs &amp; Revenue'!BA$5,Inputs!$O$5:$BB$5,0))</f>
        <v/>
      </c>
      <c r="BB3" s="62">
        <f>INDEX(Inputs!$O3:$BB3,MATCH('Costs &amp; Revenue'!BB$5,Inputs!$O$5:$BB$5,0))</f>
        <v/>
      </c>
    </row>
    <row r="4" ht="15" customFormat="1" customHeight="1" s="52">
      <c r="E4" s="52" t="inlineStr">
        <is>
          <t>Year ending</t>
        </is>
      </c>
      <c r="O4" s="62">
        <f>INDEX(Inputs!$O4:$BB4,MATCH('Costs &amp; Revenue'!O$5,Inputs!$O$5:$BB$5,0))</f>
        <v/>
      </c>
      <c r="P4" s="62">
        <f>INDEX(Inputs!$O4:$BB4,MATCH('Costs &amp; Revenue'!P$5,Inputs!$O$5:$BB$5,0))</f>
        <v/>
      </c>
      <c r="Q4" s="62">
        <f>INDEX(Inputs!$O4:$BB4,MATCH('Costs &amp; Revenue'!Q$5,Inputs!$O$5:$BB$5,0))</f>
        <v/>
      </c>
      <c r="R4" s="62">
        <f>INDEX(Inputs!$O4:$BB4,MATCH('Costs &amp; Revenue'!R$5,Inputs!$O$5:$BB$5,0))</f>
        <v/>
      </c>
      <c r="S4" s="62">
        <f>INDEX(Inputs!$O4:$BB4,MATCH('Costs &amp; Revenue'!S$5,Inputs!$O$5:$BB$5,0))</f>
        <v/>
      </c>
      <c r="T4" s="62">
        <f>INDEX(Inputs!$O4:$BB4,MATCH('Costs &amp; Revenue'!T$5,Inputs!$O$5:$BB$5,0))</f>
        <v/>
      </c>
      <c r="U4" s="62">
        <f>INDEX(Inputs!$O4:$BB4,MATCH('Costs &amp; Revenue'!U$5,Inputs!$O$5:$BB$5,0))</f>
        <v/>
      </c>
      <c r="V4" s="62">
        <f>INDEX(Inputs!$O4:$BB4,MATCH('Costs &amp; Revenue'!V$5,Inputs!$O$5:$BB$5,0))</f>
        <v/>
      </c>
      <c r="W4" s="62">
        <f>INDEX(Inputs!$O4:$BB4,MATCH('Costs &amp; Revenue'!W$5,Inputs!$O$5:$BB$5,0))</f>
        <v/>
      </c>
      <c r="X4" s="62">
        <f>INDEX(Inputs!$O4:$BB4,MATCH('Costs &amp; Revenue'!X$5,Inputs!$O$5:$BB$5,0))</f>
        <v/>
      </c>
      <c r="Y4" s="62">
        <f>INDEX(Inputs!$O4:$BB4,MATCH('Costs &amp; Revenue'!Y$5,Inputs!$O$5:$BB$5,0))</f>
        <v/>
      </c>
      <c r="Z4" s="62">
        <f>INDEX(Inputs!$O4:$BB4,MATCH('Costs &amp; Revenue'!Z$5,Inputs!$O$5:$BB$5,0))</f>
        <v/>
      </c>
      <c r="AA4" s="62">
        <f>INDEX(Inputs!$O4:$BB4,MATCH('Costs &amp; Revenue'!AA$5,Inputs!$O$5:$BB$5,0))</f>
        <v/>
      </c>
      <c r="AB4" s="62">
        <f>INDEX(Inputs!$O4:$BB4,MATCH('Costs &amp; Revenue'!AB$5,Inputs!$O$5:$BB$5,0))</f>
        <v/>
      </c>
      <c r="AC4" s="62">
        <f>INDEX(Inputs!$O4:$BB4,MATCH('Costs &amp; Revenue'!AC$5,Inputs!$O$5:$BB$5,0))</f>
        <v/>
      </c>
      <c r="AD4" s="62">
        <f>INDEX(Inputs!$O4:$BB4,MATCH('Costs &amp; Revenue'!AD$5,Inputs!$O$5:$BB$5,0))</f>
        <v/>
      </c>
      <c r="AE4" s="62">
        <f>INDEX(Inputs!$O4:$BB4,MATCH('Costs &amp; Revenue'!AE$5,Inputs!$O$5:$BB$5,0))</f>
        <v/>
      </c>
      <c r="AF4" s="62">
        <f>INDEX(Inputs!$O4:$BB4,MATCH('Costs &amp; Revenue'!AF$5,Inputs!$O$5:$BB$5,0))</f>
        <v/>
      </c>
      <c r="AG4" s="62">
        <f>INDEX(Inputs!$O4:$BB4,MATCH('Costs &amp; Revenue'!AG$5,Inputs!$O$5:$BB$5,0))</f>
        <v/>
      </c>
      <c r="AH4" s="62">
        <f>INDEX(Inputs!$O4:$BB4,MATCH('Costs &amp; Revenue'!AH$5,Inputs!$O$5:$BB$5,0))</f>
        <v/>
      </c>
      <c r="AI4" s="62">
        <f>INDEX(Inputs!$O4:$BB4,MATCH('Costs &amp; Revenue'!AI$5,Inputs!$O$5:$BB$5,0))</f>
        <v/>
      </c>
      <c r="AJ4" s="62">
        <f>INDEX(Inputs!$O4:$BB4,MATCH('Costs &amp; Revenue'!AJ$5,Inputs!$O$5:$BB$5,0))</f>
        <v/>
      </c>
      <c r="AK4" s="62">
        <f>INDEX(Inputs!$O4:$BB4,MATCH('Costs &amp; Revenue'!AK$5,Inputs!$O$5:$BB$5,0))</f>
        <v/>
      </c>
      <c r="AL4" s="62">
        <f>INDEX(Inputs!$O4:$BB4,MATCH('Costs &amp; Revenue'!AL$5,Inputs!$O$5:$BB$5,0))</f>
        <v/>
      </c>
      <c r="AM4" s="62">
        <f>INDEX(Inputs!$O4:$BB4,MATCH('Costs &amp; Revenue'!AM$5,Inputs!$O$5:$BB$5,0))</f>
        <v/>
      </c>
      <c r="AN4" s="62">
        <f>INDEX(Inputs!$O4:$BB4,MATCH('Costs &amp; Revenue'!AN$5,Inputs!$O$5:$BB$5,0))</f>
        <v/>
      </c>
      <c r="AO4" s="62">
        <f>INDEX(Inputs!$O4:$BB4,MATCH('Costs &amp; Revenue'!AO$5,Inputs!$O$5:$BB$5,0))</f>
        <v/>
      </c>
      <c r="AP4" s="62">
        <f>INDEX(Inputs!$O4:$BB4,MATCH('Costs &amp; Revenue'!AP$5,Inputs!$O$5:$BB$5,0))</f>
        <v/>
      </c>
      <c r="AQ4" s="62">
        <f>INDEX(Inputs!$O4:$BB4,MATCH('Costs &amp; Revenue'!AQ$5,Inputs!$O$5:$BB$5,0))</f>
        <v/>
      </c>
      <c r="AR4" s="62">
        <f>INDEX(Inputs!$O4:$BB4,MATCH('Costs &amp; Revenue'!AR$5,Inputs!$O$5:$BB$5,0))</f>
        <v/>
      </c>
      <c r="AS4" s="62">
        <f>INDEX(Inputs!$O4:$BB4,MATCH('Costs &amp; Revenue'!AS$5,Inputs!$O$5:$BB$5,0))</f>
        <v/>
      </c>
      <c r="AT4" s="62">
        <f>INDEX(Inputs!$O4:$BB4,MATCH('Costs &amp; Revenue'!AT$5,Inputs!$O$5:$BB$5,0))</f>
        <v/>
      </c>
      <c r="AU4" s="62">
        <f>INDEX(Inputs!$O4:$BB4,MATCH('Costs &amp; Revenue'!AU$5,Inputs!$O$5:$BB$5,0))</f>
        <v/>
      </c>
      <c r="AV4" s="62">
        <f>INDEX(Inputs!$O4:$BB4,MATCH('Costs &amp; Revenue'!AV$5,Inputs!$O$5:$BB$5,0))</f>
        <v/>
      </c>
      <c r="AW4" s="62">
        <f>INDEX(Inputs!$O4:$BB4,MATCH('Costs &amp; Revenue'!AW$5,Inputs!$O$5:$BB$5,0))</f>
        <v/>
      </c>
      <c r="AX4" s="62">
        <f>INDEX(Inputs!$O4:$BB4,MATCH('Costs &amp; Revenue'!AX$5,Inputs!$O$5:$BB$5,0))</f>
        <v/>
      </c>
      <c r="AY4" s="62">
        <f>INDEX(Inputs!$O4:$BB4,MATCH('Costs &amp; Revenue'!AY$5,Inputs!$O$5:$BB$5,0))</f>
        <v/>
      </c>
      <c r="AZ4" s="62">
        <f>INDEX(Inputs!$O4:$BB4,MATCH('Costs &amp; Revenue'!AZ$5,Inputs!$O$5:$BB$5,0))</f>
        <v/>
      </c>
      <c r="BA4" s="62">
        <f>INDEX(Inputs!$O4:$BB4,MATCH('Costs &amp; Revenue'!BA$5,Inputs!$O$5:$BB$5,0))</f>
        <v/>
      </c>
      <c r="BB4" s="62">
        <f>INDEX(Inputs!$O4:$BB4,MATCH('Costs &amp; Revenue'!BB$5,Inputs!$O$5:$BB$5,0))</f>
        <v/>
      </c>
      <c r="BC4" s="62" t="n"/>
    </row>
    <row r="5" ht="15" customFormat="1" customHeight="1" s="52">
      <c r="E5" s="52" t="inlineStr">
        <is>
          <t>Operational year</t>
        </is>
      </c>
      <c r="O5" s="11">
        <f>Inputs!O5</f>
        <v/>
      </c>
      <c r="P5" s="11">
        <f>Inputs!P5</f>
        <v/>
      </c>
      <c r="Q5" s="11">
        <f>Inputs!Q5</f>
        <v/>
      </c>
      <c r="R5" s="11">
        <f>Inputs!R5</f>
        <v/>
      </c>
      <c r="S5" s="11">
        <f>Inputs!S5</f>
        <v/>
      </c>
      <c r="T5" s="11">
        <f>Inputs!T5</f>
        <v/>
      </c>
      <c r="U5" s="11">
        <f>Inputs!U5</f>
        <v/>
      </c>
      <c r="V5" s="11">
        <f>Inputs!V5</f>
        <v/>
      </c>
      <c r="W5" s="11">
        <f>Inputs!W5</f>
        <v/>
      </c>
      <c r="X5" s="11">
        <f>Inputs!X5</f>
        <v/>
      </c>
      <c r="Y5" s="11">
        <f>Inputs!Y5</f>
        <v/>
      </c>
      <c r="Z5" s="11">
        <f>Inputs!Z5</f>
        <v/>
      </c>
      <c r="AA5" s="11">
        <f>Inputs!AA5</f>
        <v/>
      </c>
      <c r="AB5" s="11">
        <f>Inputs!AB5</f>
        <v/>
      </c>
      <c r="AC5" s="11">
        <f>Inputs!AC5</f>
        <v/>
      </c>
      <c r="AD5" s="11">
        <f>Inputs!AD5</f>
        <v/>
      </c>
      <c r="AE5" s="11">
        <f>Inputs!AE5</f>
        <v/>
      </c>
      <c r="AF5" s="11">
        <f>Inputs!AF5</f>
        <v/>
      </c>
      <c r="AG5" s="11">
        <f>Inputs!AG5</f>
        <v/>
      </c>
      <c r="AH5" s="11">
        <f>Inputs!AH5</f>
        <v/>
      </c>
      <c r="AI5" s="11">
        <f>Inputs!AI5</f>
        <v/>
      </c>
      <c r="AJ5" s="11">
        <f>Inputs!AJ5</f>
        <v/>
      </c>
      <c r="AK5" s="11">
        <f>Inputs!AK5</f>
        <v/>
      </c>
      <c r="AL5" s="11">
        <f>Inputs!AL5</f>
        <v/>
      </c>
      <c r="AM5" s="11">
        <f>Inputs!AM5</f>
        <v/>
      </c>
      <c r="AN5" s="11">
        <f>Inputs!AN5</f>
        <v/>
      </c>
      <c r="AO5" s="11">
        <f>Inputs!AO5</f>
        <v/>
      </c>
      <c r="AP5" s="11">
        <f>Inputs!AP5</f>
        <v/>
      </c>
      <c r="AQ5" s="11">
        <f>Inputs!AQ5</f>
        <v/>
      </c>
      <c r="AR5" s="11">
        <f>Inputs!AR5</f>
        <v/>
      </c>
      <c r="AS5" s="11">
        <f>Inputs!AS5</f>
        <v/>
      </c>
      <c r="AT5" s="11">
        <f>Inputs!AT5</f>
        <v/>
      </c>
      <c r="AU5" s="11">
        <f>Inputs!AU5</f>
        <v/>
      </c>
      <c r="AV5" s="11">
        <f>Inputs!AV5</f>
        <v/>
      </c>
      <c r="AW5" s="11">
        <f>Inputs!AW5</f>
        <v/>
      </c>
      <c r="AX5" s="11">
        <f>Inputs!AX5</f>
        <v/>
      </c>
      <c r="AY5" s="11">
        <f>Inputs!AY5</f>
        <v/>
      </c>
      <c r="AZ5" s="11">
        <f>Inputs!AZ5</f>
        <v/>
      </c>
      <c r="BA5" s="11">
        <f>Inputs!BA5</f>
        <v/>
      </c>
      <c r="BB5" s="11">
        <f>Inputs!BB5</f>
        <v/>
      </c>
      <c r="BC5" s="62" t="n"/>
    </row>
    <row r="6" ht="15" customHeight="1"/>
    <row r="7" ht="15" customHeight="1">
      <c r="B7" s="75" t="inlineStr">
        <is>
          <t>Costs</t>
        </is>
      </c>
      <c r="C7" s="75" t="n"/>
      <c r="D7" s="75" t="n"/>
      <c r="E7" s="75" t="n"/>
      <c r="F7" s="75" t="n"/>
      <c r="G7" s="75" t="n"/>
      <c r="H7" s="75" t="n"/>
      <c r="I7" s="75" t="n"/>
      <c r="J7" s="75" t="n"/>
      <c r="K7" s="75" t="n"/>
      <c r="L7" s="75" t="n"/>
      <c r="M7" s="75" t="n"/>
      <c r="N7" s="75" t="n"/>
      <c r="O7" s="75" t="n"/>
      <c r="P7" s="75" t="n"/>
      <c r="Q7" s="75" t="n"/>
      <c r="R7" s="75" t="n"/>
      <c r="S7" s="75" t="n"/>
      <c r="T7" s="75" t="n"/>
      <c r="U7" s="75" t="n"/>
      <c r="V7" s="75" t="n"/>
      <c r="W7" s="75" t="n"/>
      <c r="X7" s="75" t="n"/>
      <c r="Y7" s="75" t="n"/>
      <c r="Z7" s="75" t="n"/>
      <c r="AA7" s="75" t="n"/>
      <c r="AB7" s="75" t="n"/>
      <c r="AC7" s="75" t="n"/>
      <c r="AD7" s="75" t="n"/>
      <c r="AE7" s="75" t="n"/>
      <c r="AF7" s="75" t="n"/>
      <c r="AG7" s="75" t="n"/>
      <c r="AH7" s="75" t="n"/>
      <c r="AI7" s="75" t="n"/>
      <c r="AJ7" s="75" t="n"/>
      <c r="AK7" s="75" t="n"/>
      <c r="AL7" s="75" t="n"/>
      <c r="AM7" s="75" t="n"/>
      <c r="AN7" s="75" t="n"/>
      <c r="AO7" s="75" t="n"/>
      <c r="AP7" s="75" t="n"/>
      <c r="AQ7" s="75" t="n"/>
      <c r="AR7" s="75" t="n"/>
      <c r="AS7" s="75" t="n"/>
      <c r="AT7" s="75" t="n"/>
      <c r="AU7" s="75" t="n"/>
      <c r="AV7" s="75" t="n"/>
      <c r="AW7" s="75" t="n"/>
      <c r="AX7" s="75" t="n"/>
      <c r="AY7" s="75" t="n"/>
      <c r="AZ7" s="75" t="n"/>
      <c r="BA7" s="75" t="n"/>
      <c r="BB7" s="75" t="n"/>
    </row>
    <row r="8" ht="15" customHeight="1"/>
    <row r="9" ht="15" customFormat="1" customHeight="1" s="63">
      <c r="C9" s="40" t="inlineStr">
        <is>
          <t>Baseline costs</t>
        </is>
      </c>
      <c r="D9" s="40" t="n"/>
      <c r="E9" s="40" t="n"/>
      <c r="F9" s="40" t="n"/>
      <c r="G9" s="40" t="n"/>
      <c r="H9" s="40" t="n"/>
      <c r="I9" s="40" t="n"/>
      <c r="J9" s="40" t="n"/>
      <c r="K9" s="40" t="n"/>
      <c r="L9" s="40" t="n"/>
      <c r="M9" s="40" t="n"/>
      <c r="N9" s="40" t="n"/>
      <c r="O9" s="40" t="n"/>
      <c r="P9" s="40" t="n"/>
      <c r="Q9" s="40" t="n"/>
      <c r="R9" s="40" t="n"/>
      <c r="S9" s="40" t="n"/>
      <c r="T9" s="40" t="n"/>
      <c r="U9" s="40" t="n"/>
      <c r="V9" s="40" t="n"/>
      <c r="W9" s="40" t="n"/>
      <c r="X9" s="40" t="n"/>
      <c r="Y9" s="40" t="n"/>
      <c r="Z9" s="40" t="n"/>
      <c r="AA9" s="40" t="n"/>
      <c r="AB9" s="40" t="n"/>
      <c r="AC9" s="40" t="n"/>
      <c r="AD9" s="40" t="n"/>
      <c r="AE9" s="40" t="n"/>
      <c r="AF9" s="40" t="n"/>
      <c r="AG9" s="40" t="n"/>
      <c r="AH9" s="40" t="n"/>
      <c r="AI9" s="40" t="n"/>
      <c r="AJ9" s="40" t="n"/>
      <c r="AK9" s="40" t="n"/>
      <c r="AL9" s="40" t="n"/>
      <c r="AM9" s="40" t="n"/>
      <c r="AN9" s="40" t="n"/>
      <c r="AO9" s="40" t="n"/>
      <c r="AP9" s="40" t="n"/>
      <c r="AQ9" s="40" t="n"/>
      <c r="AR9" s="40" t="n"/>
      <c r="AS9" s="40" t="n"/>
      <c r="AT9" s="40" t="n"/>
      <c r="AU9" s="40" t="n"/>
      <c r="AV9" s="40" t="n"/>
      <c r="AW9" s="40" t="n"/>
      <c r="AX9" s="40" t="n"/>
      <c r="AY9" s="40" t="n"/>
      <c r="AZ9" s="40" t="n"/>
      <c r="BA9" s="40" t="n"/>
      <c r="BB9" s="40" t="n"/>
    </row>
    <row r="10" ht="15" customHeight="1"/>
    <row r="11" ht="15" customHeight="1">
      <c r="E11" s="21">
        <f>Inputs!E34</f>
        <v/>
      </c>
      <c r="G11" s="5">
        <f>base_year</f>
        <v/>
      </c>
      <c r="O11" s="33" t="n"/>
      <c r="P11" s="84">
        <f>INDEX(Inputs!$P$34:$BB$34,MATCH('Costs &amp; Revenue'!P$5,Inputs!$P$5:$BB$5,0))</f>
        <v/>
      </c>
      <c r="Q11" s="84">
        <f>INDEX(Inputs!$P$34:$BB$34,MATCH('Costs &amp; Revenue'!Q$5,Inputs!$P$5:$BB$5,0))</f>
        <v/>
      </c>
      <c r="R11" s="84">
        <f>INDEX(Inputs!$P$34:$BB$34,MATCH('Costs &amp; Revenue'!R$5,Inputs!$P$5:$BB$5,0))</f>
        <v/>
      </c>
      <c r="S11" s="84">
        <f>INDEX(Inputs!$P$34:$BB$34,MATCH('Costs &amp; Revenue'!S$5,Inputs!$P$5:$BB$5,0))</f>
        <v/>
      </c>
      <c r="T11" s="84">
        <f>INDEX(Inputs!$P$34:$BB$34,MATCH('Costs &amp; Revenue'!T$5,Inputs!$P$5:$BB$5,0))</f>
        <v/>
      </c>
      <c r="U11" s="84">
        <f>INDEX(Inputs!$P$34:$BB$34,MATCH('Costs &amp; Revenue'!U$5,Inputs!$P$5:$BB$5,0))</f>
        <v/>
      </c>
      <c r="V11" s="84">
        <f>INDEX(Inputs!$P$34:$BB$34,MATCH('Costs &amp; Revenue'!V$5,Inputs!$P$5:$BB$5,0))</f>
        <v/>
      </c>
      <c r="W11" s="84">
        <f>INDEX(Inputs!$P$34:$BB$34,MATCH('Costs &amp; Revenue'!W$5,Inputs!$P$5:$BB$5,0))</f>
        <v/>
      </c>
      <c r="X11" s="84">
        <f>INDEX(Inputs!$P$34:$BB$34,MATCH('Costs &amp; Revenue'!X$5,Inputs!$P$5:$BB$5,0))</f>
        <v/>
      </c>
      <c r="Y11" s="84">
        <f>INDEX(Inputs!$P$34:$BB$34,MATCH('Costs &amp; Revenue'!Y$5,Inputs!$P$5:$BB$5,0))</f>
        <v/>
      </c>
      <c r="Z11" s="84">
        <f>INDEX(Inputs!$P$34:$BB$34,MATCH('Costs &amp; Revenue'!Z$5,Inputs!$P$5:$BB$5,0))</f>
        <v/>
      </c>
      <c r="AA11" s="84">
        <f>INDEX(Inputs!$P$34:$BB$34,MATCH('Costs &amp; Revenue'!AA$5,Inputs!$P$5:$BB$5,0))</f>
        <v/>
      </c>
      <c r="AB11" s="84">
        <f>INDEX(Inputs!$P$34:$BB$34,MATCH('Costs &amp; Revenue'!AB$5,Inputs!$P$5:$BB$5,0))</f>
        <v/>
      </c>
      <c r="AC11" s="84">
        <f>INDEX(Inputs!$P$34:$BB$34,MATCH('Costs &amp; Revenue'!AC$5,Inputs!$P$5:$BB$5,0))</f>
        <v/>
      </c>
      <c r="AD11" s="84">
        <f>INDEX(Inputs!$P$34:$BB$34,MATCH('Costs &amp; Revenue'!AD$5,Inputs!$P$5:$BB$5,0))</f>
        <v/>
      </c>
      <c r="AE11" s="84">
        <f>INDEX(Inputs!$P$34:$BB$34,MATCH('Costs &amp; Revenue'!AE$5,Inputs!$P$5:$BB$5,0))</f>
        <v/>
      </c>
      <c r="AF11" s="84">
        <f>INDEX(Inputs!$P$34:$BB$34,MATCH('Costs &amp; Revenue'!AF$5,Inputs!$P$5:$BB$5,0))</f>
        <v/>
      </c>
      <c r="AG11" s="84">
        <f>INDEX(Inputs!$P$34:$BB$34,MATCH('Costs &amp; Revenue'!AG$5,Inputs!$P$5:$BB$5,0))</f>
        <v/>
      </c>
      <c r="AH11" s="84">
        <f>INDEX(Inputs!$P$34:$BB$34,MATCH('Costs &amp; Revenue'!AH$5,Inputs!$P$5:$BB$5,0))</f>
        <v/>
      </c>
      <c r="AI11" s="84">
        <f>INDEX(Inputs!$P$34:$BB$34,MATCH('Costs &amp; Revenue'!AI$5,Inputs!$P$5:$BB$5,0))</f>
        <v/>
      </c>
      <c r="AJ11" s="84">
        <f>INDEX(Inputs!$P$34:$BB$34,MATCH('Costs &amp; Revenue'!AJ$5,Inputs!$P$5:$BB$5,0))</f>
        <v/>
      </c>
      <c r="AK11" s="84">
        <f>INDEX(Inputs!$P$34:$BB$34,MATCH('Costs &amp; Revenue'!AK$5,Inputs!$P$5:$BB$5,0))</f>
        <v/>
      </c>
      <c r="AL11" s="84">
        <f>INDEX(Inputs!$P$34:$BB$34,MATCH('Costs &amp; Revenue'!AL$5,Inputs!$P$5:$BB$5,0))</f>
        <v/>
      </c>
      <c r="AM11" s="84">
        <f>INDEX(Inputs!$P$34:$BB$34,MATCH('Costs &amp; Revenue'!AM$5,Inputs!$P$5:$BB$5,0))</f>
        <v/>
      </c>
      <c r="AN11" s="84">
        <f>INDEX(Inputs!$P$34:$BB$34,MATCH('Costs &amp; Revenue'!AN$5,Inputs!$P$5:$BB$5,0))</f>
        <v/>
      </c>
      <c r="AO11" s="84">
        <f>INDEX(Inputs!$P$34:$BB$34,MATCH('Costs &amp; Revenue'!AO$5,Inputs!$P$5:$BB$5,0))</f>
        <v/>
      </c>
      <c r="AP11" s="84">
        <f>INDEX(Inputs!$P$34:$BB$34,MATCH('Costs &amp; Revenue'!AP$5,Inputs!$P$5:$BB$5,0))</f>
        <v/>
      </c>
      <c r="AQ11" s="84">
        <f>INDEX(Inputs!$P$34:$BB$34,MATCH('Costs &amp; Revenue'!AQ$5,Inputs!$P$5:$BB$5,0))</f>
        <v/>
      </c>
      <c r="AR11" s="84">
        <f>INDEX(Inputs!$P$34:$BB$34,MATCH('Costs &amp; Revenue'!AR$5,Inputs!$P$5:$BB$5,0))</f>
        <v/>
      </c>
      <c r="AS11" s="84">
        <f>INDEX(Inputs!$P$34:$BB$34,MATCH('Costs &amp; Revenue'!AS$5,Inputs!$P$5:$BB$5,0))</f>
        <v/>
      </c>
      <c r="AT11" s="84">
        <f>INDEX(Inputs!$P$34:$BB$34,MATCH('Costs &amp; Revenue'!AT$5,Inputs!$P$5:$BB$5,0))</f>
        <v/>
      </c>
      <c r="AU11" s="84">
        <f>INDEX(Inputs!$P$34:$BB$34,MATCH('Costs &amp; Revenue'!AU$5,Inputs!$P$5:$BB$5,0))</f>
        <v/>
      </c>
      <c r="AV11" s="84">
        <f>INDEX(Inputs!$P$34:$BB$34,MATCH('Costs &amp; Revenue'!AV$5,Inputs!$P$5:$BB$5,0))</f>
        <v/>
      </c>
      <c r="AW11" s="84">
        <f>INDEX(Inputs!$P$34:$BB$34,MATCH('Costs &amp; Revenue'!AW$5,Inputs!$P$5:$BB$5,0))</f>
        <v/>
      </c>
      <c r="AX11" s="84">
        <f>INDEX(Inputs!$P$34:$BB$34,MATCH('Costs &amp; Revenue'!AX$5,Inputs!$P$5:$BB$5,0))</f>
        <v/>
      </c>
      <c r="AY11" s="84">
        <f>INDEX(Inputs!$P$34:$BB$34,MATCH('Costs &amp; Revenue'!AY$5,Inputs!$P$5:$BB$5,0))</f>
        <v/>
      </c>
      <c r="AZ11" s="84">
        <f>INDEX(Inputs!$P$34:$BB$34,MATCH('Costs &amp; Revenue'!AZ$5,Inputs!$P$5:$BB$5,0))</f>
        <v/>
      </c>
      <c r="BA11" s="84">
        <f>INDEX(Inputs!$P$34:$BB$34,MATCH('Costs &amp; Revenue'!BA$5,Inputs!$P$5:$BB$5,0))</f>
        <v/>
      </c>
      <c r="BB11" s="84">
        <f>INDEX(Inputs!$P$34:$BB$34,MATCH('Costs &amp; Revenue'!BB$5,Inputs!$P$5:$BB$5,0))</f>
        <v/>
      </c>
      <c r="BC11" s="5" t="n"/>
    </row>
    <row r="12" ht="15" customHeight="1">
      <c r="E12" s="21">
        <f>Inputs!E35</f>
        <v/>
      </c>
      <c r="G12" s="5">
        <f>base_year</f>
        <v/>
      </c>
      <c r="O12" s="33" t="n"/>
      <c r="P12" s="84">
        <f>INDEX(Inputs!$P$35:$BB$35,MATCH('Costs &amp; Revenue'!P$5,Inputs!$P$5:$BB$5,0))</f>
        <v/>
      </c>
      <c r="Q12" s="84">
        <f>INDEX(Inputs!$P$35:$BB$35,MATCH('Costs &amp; Revenue'!Q$5,Inputs!$P$5:$BB$5,0))</f>
        <v/>
      </c>
      <c r="R12" s="84">
        <f>INDEX(Inputs!$P$35:$BB$35,MATCH('Costs &amp; Revenue'!R$5,Inputs!$P$5:$BB$5,0))</f>
        <v/>
      </c>
      <c r="S12" s="84">
        <f>INDEX(Inputs!$P$35:$BB$35,MATCH('Costs &amp; Revenue'!S$5,Inputs!$P$5:$BB$5,0))</f>
        <v/>
      </c>
      <c r="T12" s="84">
        <f>INDEX(Inputs!$P$35:$BB$35,MATCH('Costs &amp; Revenue'!T$5,Inputs!$P$5:$BB$5,0))</f>
        <v/>
      </c>
      <c r="U12" s="84">
        <f>INDEX(Inputs!$P$35:$BB$35,MATCH('Costs &amp; Revenue'!U$5,Inputs!$P$5:$BB$5,0))</f>
        <v/>
      </c>
      <c r="V12" s="84">
        <f>INDEX(Inputs!$P$35:$BB$35,MATCH('Costs &amp; Revenue'!V$5,Inputs!$P$5:$BB$5,0))</f>
        <v/>
      </c>
      <c r="W12" s="84">
        <f>INDEX(Inputs!$P$35:$BB$35,MATCH('Costs &amp; Revenue'!W$5,Inputs!$P$5:$BB$5,0))</f>
        <v/>
      </c>
      <c r="X12" s="84">
        <f>INDEX(Inputs!$P$35:$BB$35,MATCH('Costs &amp; Revenue'!X$5,Inputs!$P$5:$BB$5,0))</f>
        <v/>
      </c>
      <c r="Y12" s="84">
        <f>INDEX(Inputs!$P$35:$BB$35,MATCH('Costs &amp; Revenue'!Y$5,Inputs!$P$5:$BB$5,0))</f>
        <v/>
      </c>
      <c r="Z12" s="84">
        <f>INDEX(Inputs!$P$35:$BB$35,MATCH('Costs &amp; Revenue'!Z$5,Inputs!$P$5:$BB$5,0))</f>
        <v/>
      </c>
      <c r="AA12" s="84">
        <f>INDEX(Inputs!$P$35:$BB$35,MATCH('Costs &amp; Revenue'!AA$5,Inputs!$P$5:$BB$5,0))</f>
        <v/>
      </c>
      <c r="AB12" s="84">
        <f>INDEX(Inputs!$P$35:$BB$35,MATCH('Costs &amp; Revenue'!AB$5,Inputs!$P$5:$BB$5,0))</f>
        <v/>
      </c>
      <c r="AC12" s="84">
        <f>INDEX(Inputs!$P$35:$BB$35,MATCH('Costs &amp; Revenue'!AC$5,Inputs!$P$5:$BB$5,0))</f>
        <v/>
      </c>
      <c r="AD12" s="84">
        <f>INDEX(Inputs!$P$35:$BB$35,MATCH('Costs &amp; Revenue'!AD$5,Inputs!$P$5:$BB$5,0))</f>
        <v/>
      </c>
      <c r="AE12" s="84">
        <f>INDEX(Inputs!$P$35:$BB$35,MATCH('Costs &amp; Revenue'!AE$5,Inputs!$P$5:$BB$5,0))</f>
        <v/>
      </c>
      <c r="AF12" s="84">
        <f>INDEX(Inputs!$P$35:$BB$35,MATCH('Costs &amp; Revenue'!AF$5,Inputs!$P$5:$BB$5,0))</f>
        <v/>
      </c>
      <c r="AG12" s="84">
        <f>INDEX(Inputs!$P$35:$BB$35,MATCH('Costs &amp; Revenue'!AG$5,Inputs!$P$5:$BB$5,0))</f>
        <v/>
      </c>
      <c r="AH12" s="84">
        <f>INDEX(Inputs!$P$35:$BB$35,MATCH('Costs &amp; Revenue'!AH$5,Inputs!$P$5:$BB$5,0))</f>
        <v/>
      </c>
      <c r="AI12" s="84">
        <f>INDEX(Inputs!$P$35:$BB$35,MATCH('Costs &amp; Revenue'!AI$5,Inputs!$P$5:$BB$5,0))</f>
        <v/>
      </c>
      <c r="AJ12" s="84">
        <f>INDEX(Inputs!$P$35:$BB$35,MATCH('Costs &amp; Revenue'!AJ$5,Inputs!$P$5:$BB$5,0))</f>
        <v/>
      </c>
      <c r="AK12" s="84">
        <f>INDEX(Inputs!$P$35:$BB$35,MATCH('Costs &amp; Revenue'!AK$5,Inputs!$P$5:$BB$5,0))</f>
        <v/>
      </c>
      <c r="AL12" s="84">
        <f>INDEX(Inputs!$P$35:$BB$35,MATCH('Costs &amp; Revenue'!AL$5,Inputs!$P$5:$BB$5,0))</f>
        <v/>
      </c>
      <c r="AM12" s="84">
        <f>INDEX(Inputs!$P$35:$BB$35,MATCH('Costs &amp; Revenue'!AM$5,Inputs!$P$5:$BB$5,0))</f>
        <v/>
      </c>
      <c r="AN12" s="84">
        <f>INDEX(Inputs!$P$35:$BB$35,MATCH('Costs &amp; Revenue'!AN$5,Inputs!$P$5:$BB$5,0))</f>
        <v/>
      </c>
      <c r="AO12" s="84">
        <f>INDEX(Inputs!$P$35:$BB$35,MATCH('Costs &amp; Revenue'!AO$5,Inputs!$P$5:$BB$5,0))</f>
        <v/>
      </c>
      <c r="AP12" s="84">
        <f>INDEX(Inputs!$P$35:$BB$35,MATCH('Costs &amp; Revenue'!AP$5,Inputs!$P$5:$BB$5,0))</f>
        <v/>
      </c>
      <c r="AQ12" s="84">
        <f>INDEX(Inputs!$P$35:$BB$35,MATCH('Costs &amp; Revenue'!AQ$5,Inputs!$P$5:$BB$5,0))</f>
        <v/>
      </c>
      <c r="AR12" s="84">
        <f>INDEX(Inputs!$P$35:$BB$35,MATCH('Costs &amp; Revenue'!AR$5,Inputs!$P$5:$BB$5,0))</f>
        <v/>
      </c>
      <c r="AS12" s="84">
        <f>INDEX(Inputs!$P$35:$BB$35,MATCH('Costs &amp; Revenue'!AS$5,Inputs!$P$5:$BB$5,0))</f>
        <v/>
      </c>
      <c r="AT12" s="84">
        <f>INDEX(Inputs!$P$35:$BB$35,MATCH('Costs &amp; Revenue'!AT$5,Inputs!$P$5:$BB$5,0))</f>
        <v/>
      </c>
      <c r="AU12" s="84">
        <f>INDEX(Inputs!$P$35:$BB$35,MATCH('Costs &amp; Revenue'!AU$5,Inputs!$P$5:$BB$5,0))</f>
        <v/>
      </c>
      <c r="AV12" s="84">
        <f>INDEX(Inputs!$P$35:$BB$35,MATCH('Costs &amp; Revenue'!AV$5,Inputs!$P$5:$BB$5,0))</f>
        <v/>
      </c>
      <c r="AW12" s="84">
        <f>INDEX(Inputs!$P$35:$BB$35,MATCH('Costs &amp; Revenue'!AW$5,Inputs!$P$5:$BB$5,0))</f>
        <v/>
      </c>
      <c r="AX12" s="84">
        <f>INDEX(Inputs!$P$35:$BB$35,MATCH('Costs &amp; Revenue'!AX$5,Inputs!$P$5:$BB$5,0))</f>
        <v/>
      </c>
      <c r="AY12" s="84">
        <f>INDEX(Inputs!$P$35:$BB$35,MATCH('Costs &amp; Revenue'!AY$5,Inputs!$P$5:$BB$5,0))</f>
        <v/>
      </c>
      <c r="AZ12" s="84">
        <f>INDEX(Inputs!$P$35:$BB$35,MATCH('Costs &amp; Revenue'!AZ$5,Inputs!$P$5:$BB$5,0))</f>
        <v/>
      </c>
      <c r="BA12" s="84">
        <f>INDEX(Inputs!$P$35:$BB$35,MATCH('Costs &amp; Revenue'!BA$5,Inputs!$P$5:$BB$5,0))</f>
        <v/>
      </c>
      <c r="BB12" s="84">
        <f>INDEX(Inputs!$P$35:$BB$35,MATCH('Costs &amp; Revenue'!BB$5,Inputs!$P$5:$BB$5,0))</f>
        <v/>
      </c>
      <c r="BC12" s="5" t="n"/>
    </row>
    <row r="13" ht="15" customHeight="1">
      <c r="E13" s="21">
        <f>Inputs!E36</f>
        <v/>
      </c>
      <c r="G13" s="5">
        <f>base_year</f>
        <v/>
      </c>
      <c r="H13" s="21" t="inlineStr">
        <is>
          <t>BNCOA</t>
        </is>
      </c>
      <c r="O13" s="33" t="n"/>
      <c r="P13" s="150">
        <f>INDEX(Inputs!$P$36:$BB$36,MATCH('Costs &amp; Revenue'!P$5,Inputs!$P$5:$BB$5,0))</f>
        <v/>
      </c>
      <c r="Q13" s="150">
        <f>INDEX(Inputs!$P$36:$BB$36,MATCH('Costs &amp; Revenue'!Q$5,Inputs!$P$5:$BB$5,0))</f>
        <v/>
      </c>
      <c r="R13" s="150">
        <f>INDEX(Inputs!$P$36:$BB$36,MATCH('Costs &amp; Revenue'!R$5,Inputs!$P$5:$BB$5,0))</f>
        <v/>
      </c>
      <c r="S13" s="150">
        <f>INDEX(Inputs!$P$36:$BB$36,MATCH('Costs &amp; Revenue'!S$5,Inputs!$P$5:$BB$5,0))</f>
        <v/>
      </c>
      <c r="T13" s="150">
        <f>INDEX(Inputs!$P$36:$BB$36,MATCH('Costs &amp; Revenue'!T$5,Inputs!$P$5:$BB$5,0))</f>
        <v/>
      </c>
      <c r="U13" s="150">
        <f>INDEX(Inputs!$P$36:$BB$36,MATCH('Costs &amp; Revenue'!U$5,Inputs!$P$5:$BB$5,0))</f>
        <v/>
      </c>
      <c r="V13" s="150">
        <f>INDEX(Inputs!$P$36:$BB$36,MATCH('Costs &amp; Revenue'!V$5,Inputs!$P$5:$BB$5,0))</f>
        <v/>
      </c>
      <c r="W13" s="150">
        <f>INDEX(Inputs!$P$36:$BB$36,MATCH('Costs &amp; Revenue'!W$5,Inputs!$P$5:$BB$5,0))</f>
        <v/>
      </c>
      <c r="X13" s="150">
        <f>INDEX(Inputs!$P$36:$BB$36,MATCH('Costs &amp; Revenue'!X$5,Inputs!$P$5:$BB$5,0))</f>
        <v/>
      </c>
      <c r="Y13" s="150">
        <f>INDEX(Inputs!$P$36:$BB$36,MATCH('Costs &amp; Revenue'!Y$5,Inputs!$P$5:$BB$5,0))</f>
        <v/>
      </c>
      <c r="Z13" s="150">
        <f>INDEX(Inputs!$P$36:$BB$36,MATCH('Costs &amp; Revenue'!Z$5,Inputs!$P$5:$BB$5,0))</f>
        <v/>
      </c>
      <c r="AA13" s="150">
        <f>INDEX(Inputs!$P$36:$BB$36,MATCH('Costs &amp; Revenue'!AA$5,Inputs!$P$5:$BB$5,0))</f>
        <v/>
      </c>
      <c r="AB13" s="150">
        <f>INDEX(Inputs!$P$36:$BB$36,MATCH('Costs &amp; Revenue'!AB$5,Inputs!$P$5:$BB$5,0))</f>
        <v/>
      </c>
      <c r="AC13" s="150">
        <f>INDEX(Inputs!$P$36:$BB$36,MATCH('Costs &amp; Revenue'!AC$5,Inputs!$P$5:$BB$5,0))</f>
        <v/>
      </c>
      <c r="AD13" s="150">
        <f>INDEX(Inputs!$P$36:$BB$36,MATCH('Costs &amp; Revenue'!AD$5,Inputs!$P$5:$BB$5,0))</f>
        <v/>
      </c>
      <c r="AE13" s="150">
        <f>INDEX(Inputs!$P$36:$BB$36,MATCH('Costs &amp; Revenue'!AE$5,Inputs!$P$5:$BB$5,0))</f>
        <v/>
      </c>
      <c r="AF13" s="150">
        <f>INDEX(Inputs!$P$36:$BB$36,MATCH('Costs &amp; Revenue'!AF$5,Inputs!$P$5:$BB$5,0))</f>
        <v/>
      </c>
      <c r="AG13" s="150">
        <f>INDEX(Inputs!$P$36:$BB$36,MATCH('Costs &amp; Revenue'!AG$5,Inputs!$P$5:$BB$5,0))</f>
        <v/>
      </c>
      <c r="AH13" s="150">
        <f>INDEX(Inputs!$P$36:$BB$36,MATCH('Costs &amp; Revenue'!AH$5,Inputs!$P$5:$BB$5,0))</f>
        <v/>
      </c>
      <c r="AI13" s="150">
        <f>INDEX(Inputs!$P$36:$BB$36,MATCH('Costs &amp; Revenue'!AI$5,Inputs!$P$5:$BB$5,0))</f>
        <v/>
      </c>
      <c r="AJ13" s="150">
        <f>INDEX(Inputs!$P$36:$BB$36,MATCH('Costs &amp; Revenue'!AJ$5,Inputs!$P$5:$BB$5,0))</f>
        <v/>
      </c>
      <c r="AK13" s="150">
        <f>INDEX(Inputs!$P$36:$BB$36,MATCH('Costs &amp; Revenue'!AK$5,Inputs!$P$5:$BB$5,0))</f>
        <v/>
      </c>
      <c r="AL13" s="150">
        <f>INDEX(Inputs!$P$36:$BB$36,MATCH('Costs &amp; Revenue'!AL$5,Inputs!$P$5:$BB$5,0))</f>
        <v/>
      </c>
      <c r="AM13" s="150">
        <f>INDEX(Inputs!$P$36:$BB$36,MATCH('Costs &amp; Revenue'!AM$5,Inputs!$P$5:$BB$5,0))</f>
        <v/>
      </c>
      <c r="AN13" s="150">
        <f>INDEX(Inputs!$P$36:$BB$36,MATCH('Costs &amp; Revenue'!AN$5,Inputs!$P$5:$BB$5,0))</f>
        <v/>
      </c>
      <c r="AO13" s="150">
        <f>INDEX(Inputs!$P$36:$BB$36,MATCH('Costs &amp; Revenue'!AO$5,Inputs!$P$5:$BB$5,0))</f>
        <v/>
      </c>
      <c r="AP13" s="150">
        <f>INDEX(Inputs!$P$36:$BB$36,MATCH('Costs &amp; Revenue'!AP$5,Inputs!$P$5:$BB$5,0))</f>
        <v/>
      </c>
      <c r="AQ13" s="150">
        <f>INDEX(Inputs!$P$36:$BB$36,MATCH('Costs &amp; Revenue'!AQ$5,Inputs!$P$5:$BB$5,0))</f>
        <v/>
      </c>
      <c r="AR13" s="150">
        <f>INDEX(Inputs!$P$36:$BB$36,MATCH('Costs &amp; Revenue'!AR$5,Inputs!$P$5:$BB$5,0))</f>
        <v/>
      </c>
      <c r="AS13" s="150">
        <f>INDEX(Inputs!$P$36:$BB$36,MATCH('Costs &amp; Revenue'!AS$5,Inputs!$P$5:$BB$5,0))</f>
        <v/>
      </c>
      <c r="AT13" s="150">
        <f>INDEX(Inputs!$P$36:$BB$36,MATCH('Costs &amp; Revenue'!AT$5,Inputs!$P$5:$BB$5,0))</f>
        <v/>
      </c>
      <c r="AU13" s="150">
        <f>INDEX(Inputs!$P$36:$BB$36,MATCH('Costs &amp; Revenue'!AU$5,Inputs!$P$5:$BB$5,0))</f>
        <v/>
      </c>
      <c r="AV13" s="150">
        <f>INDEX(Inputs!$P$36:$BB$36,MATCH('Costs &amp; Revenue'!AV$5,Inputs!$P$5:$BB$5,0))</f>
        <v/>
      </c>
      <c r="AW13" s="150">
        <f>INDEX(Inputs!$P$36:$BB$36,MATCH('Costs &amp; Revenue'!AW$5,Inputs!$P$5:$BB$5,0))</f>
        <v/>
      </c>
      <c r="AX13" s="150">
        <f>INDEX(Inputs!$P$36:$BB$36,MATCH('Costs &amp; Revenue'!AX$5,Inputs!$P$5:$BB$5,0))</f>
        <v/>
      </c>
      <c r="AY13" s="150">
        <f>INDEX(Inputs!$P$36:$BB$36,MATCH('Costs &amp; Revenue'!AY$5,Inputs!$P$5:$BB$5,0))</f>
        <v/>
      </c>
      <c r="AZ13" s="150">
        <f>INDEX(Inputs!$P$36:$BB$36,MATCH('Costs &amp; Revenue'!AZ$5,Inputs!$P$5:$BB$5,0))</f>
        <v/>
      </c>
      <c r="BA13" s="150">
        <f>INDEX(Inputs!$P$36:$BB$36,MATCH('Costs &amp; Revenue'!BA$5,Inputs!$P$5:$BB$5,0))</f>
        <v/>
      </c>
      <c r="BB13" s="150">
        <f>INDEX(Inputs!$P$36:$BB$36,MATCH('Costs &amp; Revenue'!BB$5,Inputs!$P$5:$BB$5,0))</f>
        <v/>
      </c>
      <c r="BC13" s="5" t="n"/>
    </row>
    <row r="14" ht="15" customHeight="1">
      <c r="P14" s="37" t="n"/>
      <c r="Q14" s="37" t="n"/>
      <c r="R14" s="37" t="n"/>
      <c r="S14" s="37" t="n"/>
      <c r="T14" s="37" t="n"/>
      <c r="U14" s="37" t="n"/>
      <c r="V14" s="37" t="n"/>
      <c r="W14" s="37" t="n"/>
      <c r="X14" s="37" t="n"/>
      <c r="Y14" s="37" t="n"/>
      <c r="Z14" s="37" t="n"/>
      <c r="AA14" s="37" t="n"/>
      <c r="AB14" s="37" t="n"/>
      <c r="AC14" s="37" t="n"/>
      <c r="AD14" s="37" t="n"/>
      <c r="AE14" s="37" t="n"/>
      <c r="AF14" s="37" t="n"/>
      <c r="AG14" s="37" t="n"/>
      <c r="AH14" s="37" t="n"/>
      <c r="AI14" s="37" t="n"/>
      <c r="AJ14" s="37" t="n"/>
      <c r="AK14" s="37" t="n"/>
      <c r="AL14" s="37" t="n"/>
      <c r="AM14" s="37" t="n"/>
      <c r="AN14" s="37" t="n"/>
      <c r="AO14" s="37" t="n"/>
      <c r="AP14" s="37" t="n"/>
      <c r="AQ14" s="37" t="n"/>
      <c r="AR14" s="37" t="n"/>
      <c r="AS14" s="37" t="n"/>
      <c r="AT14" s="37" t="n"/>
      <c r="AU14" s="37" t="n"/>
      <c r="AV14" s="37" t="n"/>
      <c r="AW14" s="37" t="n"/>
      <c r="AX14" s="37" t="n"/>
      <c r="AY14" s="37" t="n"/>
      <c r="AZ14" s="37" t="n"/>
      <c r="BA14" s="37" t="n"/>
      <c r="BB14" s="37" t="n"/>
    </row>
    <row r="15" ht="15" customFormat="1" customHeight="1" s="63">
      <c r="C15" s="40">
        <f>Inputs!C82</f>
        <v/>
      </c>
      <c r="D15" s="40" t="n"/>
      <c r="E15" s="40" t="n"/>
      <c r="F15" s="40" t="n"/>
      <c r="G15" s="40" t="n"/>
      <c r="H15" s="40" t="n"/>
      <c r="I15" s="40" t="n"/>
      <c r="J15" s="40" t="n"/>
      <c r="K15" s="40" t="n"/>
      <c r="L15" s="40" t="n"/>
      <c r="M15" s="40" t="n"/>
      <c r="N15" s="40" t="n"/>
      <c r="O15" s="40" t="n"/>
      <c r="P15" s="94" t="n"/>
      <c r="Q15" s="94" t="n"/>
      <c r="R15" s="94" t="n"/>
      <c r="S15" s="94" t="n"/>
      <c r="T15" s="94" t="n"/>
      <c r="U15" s="94" t="n"/>
      <c r="V15" s="94" t="n"/>
      <c r="W15" s="94" t="n"/>
      <c r="X15" s="94" t="n"/>
      <c r="Y15" s="94" t="n"/>
      <c r="Z15" s="94" t="n"/>
      <c r="AA15" s="94" t="n"/>
      <c r="AB15" s="94" t="n"/>
      <c r="AC15" s="94" t="n"/>
      <c r="AD15" s="94" t="n"/>
      <c r="AE15" s="94" t="n"/>
      <c r="AF15" s="94" t="n"/>
      <c r="AG15" s="94" t="n"/>
      <c r="AH15" s="94" t="n"/>
      <c r="AI15" s="94" t="n"/>
      <c r="AJ15" s="94" t="n"/>
      <c r="AK15" s="94" t="n"/>
      <c r="AL15" s="94" t="n"/>
      <c r="AM15" s="94" t="n"/>
      <c r="AN15" s="94" t="n"/>
      <c r="AO15" s="94" t="n"/>
      <c r="AP15" s="94" t="n"/>
      <c r="AQ15" s="94" t="n"/>
      <c r="AR15" s="94" t="n"/>
      <c r="AS15" s="94" t="n"/>
      <c r="AT15" s="94" t="n"/>
      <c r="AU15" s="94" t="n"/>
      <c r="AV15" s="94" t="n"/>
      <c r="AW15" s="94" t="n"/>
      <c r="AX15" s="94" t="n"/>
      <c r="AY15" s="94" t="n"/>
      <c r="AZ15" s="94" t="n"/>
      <c r="BA15" s="94" t="n"/>
      <c r="BB15" s="94" t="n"/>
    </row>
    <row r="16" ht="15" customHeight="1">
      <c r="G16" s="5" t="n"/>
      <c r="O16" s="16" t="n"/>
      <c r="P16" s="37" t="n"/>
      <c r="Q16" s="37" t="n"/>
      <c r="R16" s="37" t="n"/>
      <c r="S16" s="37" t="n"/>
      <c r="T16" s="37" t="n"/>
      <c r="U16" s="37" t="n"/>
      <c r="V16" s="37" t="n"/>
      <c r="W16" s="37" t="n"/>
      <c r="X16" s="37" t="n"/>
      <c r="Y16" s="37" t="n"/>
      <c r="Z16" s="37" t="n"/>
      <c r="AA16" s="37" t="n"/>
      <c r="AB16" s="37" t="n"/>
      <c r="AC16" s="37" t="n"/>
      <c r="AD16" s="37" t="n"/>
      <c r="AE16" s="37" t="n"/>
      <c r="AF16" s="37" t="n"/>
      <c r="AG16" s="37" t="n"/>
      <c r="AH16" s="37" t="n"/>
      <c r="AI16" s="37" t="n"/>
      <c r="AJ16" s="37" t="n"/>
      <c r="AK16" s="37" t="n"/>
      <c r="AL16" s="37" t="n"/>
      <c r="AM16" s="37" t="n"/>
      <c r="AN16" s="37" t="n"/>
      <c r="AO16" s="37" t="n"/>
      <c r="AP16" s="37" t="n"/>
      <c r="AQ16" s="37" t="n"/>
      <c r="AR16" s="37" t="n"/>
      <c r="AS16" s="37" t="n"/>
      <c r="AT16" s="37" t="n"/>
      <c r="AU16" s="37" t="n"/>
      <c r="AV16" s="37" t="n"/>
      <c r="AW16" s="37" t="n"/>
      <c r="AX16" s="37" t="n"/>
      <c r="AY16" s="37" t="n"/>
      <c r="AZ16" s="37" t="n"/>
      <c r="BA16" s="37" t="n"/>
      <c r="BB16" s="37" t="n"/>
    </row>
    <row r="17" ht="15" customHeight="1">
      <c r="E17" s="21">
        <f>Inputs!E84</f>
        <v/>
      </c>
      <c r="G17" s="5">
        <f>Inputs!G84</f>
        <v/>
      </c>
      <c r="O17" s="33" t="n"/>
      <c r="P17" s="84">
        <f>INDEX(Inputs!$P$84:$BB$84,MATCH('Costs &amp; Revenue'!P$5,Inputs!$P$5:$BB$5,0))</f>
        <v/>
      </c>
      <c r="Q17" s="84">
        <f>INDEX(Inputs!$P$84:$BB$84,MATCH('Costs &amp; Revenue'!Q$5,Inputs!$P$5:$BB$5,0))</f>
        <v/>
      </c>
      <c r="R17" s="84">
        <f>INDEX(Inputs!$P$84:$BB$84,MATCH('Costs &amp; Revenue'!R$5,Inputs!$P$5:$BB$5,0))</f>
        <v/>
      </c>
      <c r="S17" s="84">
        <f>INDEX(Inputs!$P$84:$BB$84,MATCH('Costs &amp; Revenue'!S$5,Inputs!$P$5:$BB$5,0))</f>
        <v/>
      </c>
      <c r="T17" s="84">
        <f>INDEX(Inputs!$P$84:$BB$84,MATCH('Costs &amp; Revenue'!T$5,Inputs!$P$5:$BB$5,0))</f>
        <v/>
      </c>
      <c r="U17" s="84">
        <f>INDEX(Inputs!$P$84:$BB$84,MATCH('Costs &amp; Revenue'!U$5,Inputs!$P$5:$BB$5,0))</f>
        <v/>
      </c>
      <c r="V17" s="84">
        <f>INDEX(Inputs!$P$84:$BB$84,MATCH('Costs &amp; Revenue'!V$5,Inputs!$P$5:$BB$5,0))</f>
        <v/>
      </c>
      <c r="W17" s="84">
        <f>INDEX(Inputs!$P$84:$BB$84,MATCH('Costs &amp; Revenue'!W$5,Inputs!$P$5:$BB$5,0))</f>
        <v/>
      </c>
      <c r="X17" s="84">
        <f>INDEX(Inputs!$P$84:$BB$84,MATCH('Costs &amp; Revenue'!X$5,Inputs!$P$5:$BB$5,0))</f>
        <v/>
      </c>
      <c r="Y17" s="84">
        <f>INDEX(Inputs!$P$84:$BB$84,MATCH('Costs &amp; Revenue'!Y$5,Inputs!$P$5:$BB$5,0))</f>
        <v/>
      </c>
      <c r="Z17" s="84">
        <f>INDEX(Inputs!$P$84:$BB$84,MATCH('Costs &amp; Revenue'!Z$5,Inputs!$P$5:$BB$5,0))</f>
        <v/>
      </c>
      <c r="AA17" s="84">
        <f>INDEX(Inputs!$P$84:$BB$84,MATCH('Costs &amp; Revenue'!AA$5,Inputs!$P$5:$BB$5,0))</f>
        <v/>
      </c>
      <c r="AB17" s="84">
        <f>INDEX(Inputs!$P$84:$BB$84,MATCH('Costs &amp; Revenue'!AB$5,Inputs!$P$5:$BB$5,0))</f>
        <v/>
      </c>
      <c r="AC17" s="84">
        <f>INDEX(Inputs!$P$84:$BB$84,MATCH('Costs &amp; Revenue'!AC$5,Inputs!$P$5:$BB$5,0))</f>
        <v/>
      </c>
      <c r="AD17" s="84">
        <f>INDEX(Inputs!$P$84:$BB$84,MATCH('Costs &amp; Revenue'!AD$5,Inputs!$P$5:$BB$5,0))</f>
        <v/>
      </c>
      <c r="AE17" s="84">
        <f>INDEX(Inputs!$P$84:$BB$84,MATCH('Costs &amp; Revenue'!AE$5,Inputs!$P$5:$BB$5,0))</f>
        <v/>
      </c>
      <c r="AF17" s="84">
        <f>INDEX(Inputs!$P$84:$BB$84,MATCH('Costs &amp; Revenue'!AF$5,Inputs!$P$5:$BB$5,0))</f>
        <v/>
      </c>
      <c r="AG17" s="84">
        <f>INDEX(Inputs!$P$84:$BB$84,MATCH('Costs &amp; Revenue'!AG$5,Inputs!$P$5:$BB$5,0))</f>
        <v/>
      </c>
      <c r="AH17" s="84">
        <f>INDEX(Inputs!$P$84:$BB$84,MATCH('Costs &amp; Revenue'!AH$5,Inputs!$P$5:$BB$5,0))</f>
        <v/>
      </c>
      <c r="AI17" s="84">
        <f>INDEX(Inputs!$P$84:$BB$84,MATCH('Costs &amp; Revenue'!AI$5,Inputs!$P$5:$BB$5,0))</f>
        <v/>
      </c>
      <c r="AJ17" s="84">
        <f>INDEX(Inputs!$P$84:$BB$84,MATCH('Costs &amp; Revenue'!AJ$5,Inputs!$P$5:$BB$5,0))</f>
        <v/>
      </c>
      <c r="AK17" s="84">
        <f>INDEX(Inputs!$P$84:$BB$84,MATCH('Costs &amp; Revenue'!AK$5,Inputs!$P$5:$BB$5,0))</f>
        <v/>
      </c>
      <c r="AL17" s="84">
        <f>INDEX(Inputs!$P$84:$BB$84,MATCH('Costs &amp; Revenue'!AL$5,Inputs!$P$5:$BB$5,0))</f>
        <v/>
      </c>
      <c r="AM17" s="84">
        <f>INDEX(Inputs!$P$84:$BB$84,MATCH('Costs &amp; Revenue'!AM$5,Inputs!$P$5:$BB$5,0))</f>
        <v/>
      </c>
      <c r="AN17" s="84">
        <f>INDEX(Inputs!$P$84:$BB$84,MATCH('Costs &amp; Revenue'!AN$5,Inputs!$P$5:$BB$5,0))</f>
        <v/>
      </c>
      <c r="AO17" s="84">
        <f>INDEX(Inputs!$P$84:$BB$84,MATCH('Costs &amp; Revenue'!AO$5,Inputs!$P$5:$BB$5,0))</f>
        <v/>
      </c>
      <c r="AP17" s="84">
        <f>INDEX(Inputs!$P$84:$BB$84,MATCH('Costs &amp; Revenue'!AP$5,Inputs!$P$5:$BB$5,0))</f>
        <v/>
      </c>
      <c r="AQ17" s="84">
        <f>INDEX(Inputs!$P$84:$BB$84,MATCH('Costs &amp; Revenue'!AQ$5,Inputs!$P$5:$BB$5,0))</f>
        <v/>
      </c>
      <c r="AR17" s="84">
        <f>INDEX(Inputs!$P$84:$BB$84,MATCH('Costs &amp; Revenue'!AR$5,Inputs!$P$5:$BB$5,0))</f>
        <v/>
      </c>
      <c r="AS17" s="84">
        <f>INDEX(Inputs!$P$84:$BB$84,MATCH('Costs &amp; Revenue'!AS$5,Inputs!$P$5:$BB$5,0))</f>
        <v/>
      </c>
      <c r="AT17" s="84">
        <f>INDEX(Inputs!$P$84:$BB$84,MATCH('Costs &amp; Revenue'!AT$5,Inputs!$P$5:$BB$5,0))</f>
        <v/>
      </c>
      <c r="AU17" s="84">
        <f>INDEX(Inputs!$P$84:$BB$84,MATCH('Costs &amp; Revenue'!AU$5,Inputs!$P$5:$BB$5,0))</f>
        <v/>
      </c>
      <c r="AV17" s="84">
        <f>INDEX(Inputs!$P$84:$BB$84,MATCH('Costs &amp; Revenue'!AV$5,Inputs!$P$5:$BB$5,0))</f>
        <v/>
      </c>
      <c r="AW17" s="84">
        <f>INDEX(Inputs!$P$84:$BB$84,MATCH('Costs &amp; Revenue'!AW$5,Inputs!$P$5:$BB$5,0))</f>
        <v/>
      </c>
      <c r="AX17" s="84">
        <f>INDEX(Inputs!$P$84:$BB$84,MATCH('Costs &amp; Revenue'!AX$5,Inputs!$P$5:$BB$5,0))</f>
        <v/>
      </c>
      <c r="AY17" s="84">
        <f>INDEX(Inputs!$P$84:$BB$84,MATCH('Costs &amp; Revenue'!AY$5,Inputs!$P$5:$BB$5,0))</f>
        <v/>
      </c>
      <c r="AZ17" s="84">
        <f>INDEX(Inputs!$P$84:$BB$84,MATCH('Costs &amp; Revenue'!AZ$5,Inputs!$P$5:$BB$5,0))</f>
        <v/>
      </c>
      <c r="BA17" s="84">
        <f>INDEX(Inputs!$P$84:$BB$84,MATCH('Costs &amp; Revenue'!BA$5,Inputs!$P$5:$BB$5,0))</f>
        <v/>
      </c>
      <c r="BB17" s="84">
        <f>INDEX(Inputs!$P$84:$BB$84,MATCH('Costs &amp; Revenue'!BB$5,Inputs!$P$5:$BB$5,0))</f>
        <v/>
      </c>
    </row>
    <row r="18" ht="15" customHeight="1">
      <c r="G18" s="5" t="n"/>
      <c r="O18" s="16" t="n"/>
      <c r="P18" s="37" t="n"/>
      <c r="Q18" s="37" t="n"/>
      <c r="R18" s="37" t="n"/>
      <c r="S18" s="37" t="n"/>
      <c r="T18" s="37" t="n"/>
      <c r="U18" s="37" t="n"/>
      <c r="V18" s="37" t="n"/>
      <c r="W18" s="37" t="n"/>
      <c r="X18" s="37" t="n"/>
      <c r="Y18" s="37" t="n"/>
      <c r="Z18" s="37" t="n"/>
      <c r="AA18" s="37" t="n"/>
      <c r="AB18" s="37" t="n"/>
      <c r="AC18" s="37" t="n"/>
      <c r="AD18" s="37" t="n"/>
      <c r="AE18" s="37" t="n"/>
      <c r="AF18" s="37" t="n"/>
      <c r="AG18" s="37" t="n"/>
      <c r="AH18" s="37" t="n"/>
      <c r="AI18" s="37" t="n"/>
      <c r="AJ18" s="37" t="n"/>
      <c r="AK18" s="37" t="n"/>
      <c r="AL18" s="37" t="n"/>
      <c r="AM18" s="37" t="n"/>
      <c r="AN18" s="37" t="n"/>
      <c r="AO18" s="37" t="n"/>
      <c r="AP18" s="37" t="n"/>
      <c r="AQ18" s="37" t="n"/>
      <c r="AR18" s="37" t="n"/>
      <c r="AS18" s="37" t="n"/>
      <c r="AT18" s="37" t="n"/>
      <c r="AU18" s="37" t="n"/>
      <c r="AV18" s="37" t="n"/>
      <c r="AW18" s="37" t="n"/>
      <c r="AX18" s="37" t="n"/>
      <c r="AY18" s="37" t="n"/>
      <c r="AZ18" s="37" t="n"/>
      <c r="BA18" s="37" t="n"/>
      <c r="BB18" s="37" t="n"/>
    </row>
    <row r="19" ht="15" customFormat="1" customHeight="1" s="178">
      <c r="E19" s="78" t="inlineStr">
        <is>
          <t>Average exchange rate (XUMAERS)</t>
        </is>
      </c>
      <c r="G19" s="178" t="inlineStr">
        <is>
          <t>GBP / EUR</t>
        </is>
      </c>
      <c r="H19" s="178" t="inlineStr">
        <is>
          <t>GBPt/EURt</t>
        </is>
      </c>
      <c r="O19" s="183" t="n"/>
      <c r="P19" s="184">
        <f>INDEX(Inputs!$P$143:$BB$143,MATCH('Costs &amp; Revenue'!P$5,Inputs!$P$5:$BB$5,0))</f>
        <v/>
      </c>
      <c r="Q19" s="184">
        <f>INDEX(Inputs!$P$143:$BB$143,MATCH('Costs &amp; Revenue'!Q$5,Inputs!$P$5:$BB$5,0))</f>
        <v/>
      </c>
      <c r="R19" s="184">
        <f>INDEX(Inputs!$P$143:$BB$143,MATCH('Costs &amp; Revenue'!R$5,Inputs!$P$5:$BB$5,0))</f>
        <v/>
      </c>
      <c r="S19" s="184">
        <f>INDEX(Inputs!$P$143:$BB$143,MATCH('Costs &amp; Revenue'!S$5,Inputs!$P$5:$BB$5,0))</f>
        <v/>
      </c>
      <c r="T19" s="184">
        <f>INDEX(Inputs!$P$143:$BB$143,MATCH('Costs &amp; Revenue'!T$5,Inputs!$P$5:$BB$5,0))</f>
        <v/>
      </c>
      <c r="U19" s="184">
        <f>INDEX(Inputs!$P$143:$BB$143,MATCH('Costs &amp; Revenue'!U$5,Inputs!$P$5:$BB$5,0))</f>
        <v/>
      </c>
      <c r="V19" s="184">
        <f>INDEX(Inputs!$P$143:$BB$143,MATCH('Costs &amp; Revenue'!V$5,Inputs!$P$5:$BB$5,0))</f>
        <v/>
      </c>
      <c r="W19" s="184">
        <f>INDEX(Inputs!$P$143:$BB$143,MATCH('Costs &amp; Revenue'!W$5,Inputs!$P$5:$BB$5,0))</f>
        <v/>
      </c>
      <c r="X19" s="184">
        <f>INDEX(Inputs!$P$143:$BB$143,MATCH('Costs &amp; Revenue'!X$5,Inputs!$P$5:$BB$5,0))</f>
        <v/>
      </c>
      <c r="Y19" s="184">
        <f>INDEX(Inputs!$P$143:$BB$143,MATCH('Costs &amp; Revenue'!Y$5,Inputs!$P$5:$BB$5,0))</f>
        <v/>
      </c>
      <c r="Z19" s="184">
        <f>INDEX(Inputs!$P$143:$BB$143,MATCH('Costs &amp; Revenue'!Z$5,Inputs!$P$5:$BB$5,0))</f>
        <v/>
      </c>
      <c r="AA19" s="184">
        <f>INDEX(Inputs!$P$143:$BB$143,MATCH('Costs &amp; Revenue'!AA$5,Inputs!$P$5:$BB$5,0))</f>
        <v/>
      </c>
      <c r="AB19" s="184">
        <f>INDEX(Inputs!$P$143:$BB$143,MATCH('Costs &amp; Revenue'!AB$5,Inputs!$P$5:$BB$5,0))</f>
        <v/>
      </c>
      <c r="AC19" s="184">
        <f>INDEX(Inputs!$P$143:$BB$143,MATCH('Costs &amp; Revenue'!AC$5,Inputs!$P$5:$BB$5,0))</f>
        <v/>
      </c>
      <c r="AD19" s="184">
        <f>INDEX(Inputs!$P$143:$BB$143,MATCH('Costs &amp; Revenue'!AD$5,Inputs!$P$5:$BB$5,0))</f>
        <v/>
      </c>
      <c r="AE19" s="184">
        <f>INDEX(Inputs!$P$143:$BB$143,MATCH('Costs &amp; Revenue'!AE$5,Inputs!$P$5:$BB$5,0))</f>
        <v/>
      </c>
      <c r="AF19" s="184">
        <f>INDEX(Inputs!$P$143:$BB$143,MATCH('Costs &amp; Revenue'!AF$5,Inputs!$P$5:$BB$5,0))</f>
        <v/>
      </c>
      <c r="AG19" s="184">
        <f>INDEX(Inputs!$P$143:$BB$143,MATCH('Costs &amp; Revenue'!AG$5,Inputs!$P$5:$BB$5,0))</f>
        <v/>
      </c>
      <c r="AH19" s="184">
        <f>INDEX(Inputs!$P$143:$BB$143,MATCH('Costs &amp; Revenue'!AH$5,Inputs!$P$5:$BB$5,0))</f>
        <v/>
      </c>
      <c r="AI19" s="184">
        <f>INDEX(Inputs!$P$143:$BB$143,MATCH('Costs &amp; Revenue'!AI$5,Inputs!$P$5:$BB$5,0))</f>
        <v/>
      </c>
      <c r="AJ19" s="184">
        <f>INDEX(Inputs!$P$143:$BB$143,MATCH('Costs &amp; Revenue'!AJ$5,Inputs!$P$5:$BB$5,0))</f>
        <v/>
      </c>
      <c r="AK19" s="184">
        <f>INDEX(Inputs!$P$143:$BB$143,MATCH('Costs &amp; Revenue'!AK$5,Inputs!$P$5:$BB$5,0))</f>
        <v/>
      </c>
      <c r="AL19" s="184">
        <f>INDEX(Inputs!$P$143:$BB$143,MATCH('Costs &amp; Revenue'!AL$5,Inputs!$P$5:$BB$5,0))</f>
        <v/>
      </c>
      <c r="AM19" s="184">
        <f>INDEX(Inputs!$P$143:$BB$143,MATCH('Costs &amp; Revenue'!AM$5,Inputs!$P$5:$BB$5,0))</f>
        <v/>
      </c>
      <c r="AN19" s="184">
        <f>INDEX(Inputs!$P$143:$BB$143,MATCH('Costs &amp; Revenue'!AN$5,Inputs!$P$5:$BB$5,0))</f>
        <v/>
      </c>
      <c r="AO19" s="184">
        <f>INDEX(Inputs!$P$143:$BB$143,MATCH('Costs &amp; Revenue'!AO$5,Inputs!$P$5:$BB$5,0))</f>
        <v/>
      </c>
      <c r="AP19" s="184">
        <f>INDEX(Inputs!$P$143:$BB$143,MATCH('Costs &amp; Revenue'!AP$5,Inputs!$P$5:$BB$5,0))</f>
        <v/>
      </c>
      <c r="AQ19" s="184">
        <f>INDEX(Inputs!$P$143:$BB$143,MATCH('Costs &amp; Revenue'!AQ$5,Inputs!$P$5:$BB$5,0))</f>
        <v/>
      </c>
      <c r="AR19" s="184">
        <f>INDEX(Inputs!$P$143:$BB$143,MATCH('Costs &amp; Revenue'!AR$5,Inputs!$P$5:$BB$5,0))</f>
        <v/>
      </c>
      <c r="AS19" s="184">
        <f>INDEX(Inputs!$P$143:$BB$143,MATCH('Costs &amp; Revenue'!AS$5,Inputs!$P$5:$BB$5,0))</f>
        <v/>
      </c>
      <c r="AT19" s="184">
        <f>INDEX(Inputs!$P$143:$BB$143,MATCH('Costs &amp; Revenue'!AT$5,Inputs!$P$5:$BB$5,0))</f>
        <v/>
      </c>
      <c r="AU19" s="184">
        <f>INDEX(Inputs!$P$143:$BB$143,MATCH('Costs &amp; Revenue'!AU$5,Inputs!$P$5:$BB$5,0))</f>
        <v/>
      </c>
      <c r="AV19" s="184">
        <f>INDEX(Inputs!$P$143:$BB$143,MATCH('Costs &amp; Revenue'!AV$5,Inputs!$P$5:$BB$5,0))</f>
        <v/>
      </c>
      <c r="AW19" s="184">
        <f>INDEX(Inputs!$P$143:$BB$143,MATCH('Costs &amp; Revenue'!AW$5,Inputs!$P$5:$BB$5,0))</f>
        <v/>
      </c>
      <c r="AX19" s="184">
        <f>INDEX(Inputs!$P$143:$BB$143,MATCH('Costs &amp; Revenue'!AX$5,Inputs!$P$5:$BB$5,0))</f>
        <v/>
      </c>
      <c r="AY19" s="184">
        <f>INDEX(Inputs!$P$143:$BB$143,MATCH('Costs &amp; Revenue'!AY$5,Inputs!$P$5:$BB$5,0))</f>
        <v/>
      </c>
      <c r="AZ19" s="184">
        <f>INDEX(Inputs!$P$143:$BB$143,MATCH('Costs &amp; Revenue'!AZ$5,Inputs!$P$5:$BB$5,0))</f>
        <v/>
      </c>
      <c r="BA19" s="184">
        <f>INDEX(Inputs!$P$143:$BB$143,MATCH('Costs &amp; Revenue'!BA$5,Inputs!$P$5:$BB$5,0))</f>
        <v/>
      </c>
      <c r="BB19" s="184">
        <f>INDEX(Inputs!$P$143:$BB$143,MATCH('Costs &amp; Revenue'!BB$5,Inputs!$P$5:$BB$5,0))</f>
        <v/>
      </c>
    </row>
    <row r="20" ht="15" customHeight="1">
      <c r="G20" s="5" t="n"/>
      <c r="O20" s="16" t="n"/>
      <c r="P20" s="37" t="n"/>
      <c r="Q20" s="37" t="n"/>
      <c r="R20" s="37" t="n"/>
      <c r="S20" s="37" t="n"/>
      <c r="T20" s="37" t="n"/>
      <c r="U20" s="37" t="n"/>
      <c r="V20" s="37" t="n"/>
      <c r="W20" s="37" t="n"/>
      <c r="X20" s="37" t="n"/>
      <c r="Y20" s="37" t="n"/>
      <c r="Z20" s="37" t="n"/>
      <c r="AA20" s="37" t="n"/>
      <c r="AB20" s="37" t="n"/>
      <c r="AC20" s="37" t="n"/>
      <c r="AD20" s="37" t="n"/>
      <c r="AE20" s="37" t="n"/>
      <c r="AF20" s="37" t="n"/>
      <c r="AG20" s="37" t="n"/>
      <c r="AH20" s="37" t="n"/>
      <c r="AI20" s="37" t="n"/>
      <c r="AJ20" s="37" t="n"/>
      <c r="AK20" s="37" t="n"/>
      <c r="AL20" s="37" t="n"/>
      <c r="AM20" s="37" t="n"/>
      <c r="AN20" s="37" t="n"/>
      <c r="AO20" s="37" t="n"/>
      <c r="AP20" s="37" t="n"/>
      <c r="AQ20" s="37" t="n"/>
      <c r="AR20" s="37" t="n"/>
      <c r="AS20" s="37" t="n"/>
      <c r="AT20" s="37" t="n"/>
      <c r="AU20" s="37" t="n"/>
      <c r="AV20" s="37" t="n"/>
      <c r="AW20" s="37" t="n"/>
      <c r="AX20" s="37" t="n"/>
      <c r="AY20" s="37" t="n"/>
      <c r="AZ20" s="37" t="n"/>
      <c r="BA20" s="37" t="n"/>
      <c r="BB20" s="37" t="n"/>
    </row>
    <row r="21" ht="15" customHeight="1">
      <c r="E21" s="21">
        <f>E17</f>
        <v/>
      </c>
      <c r="G21" s="5" t="inlineStr">
        <is>
          <t>£m nominal prices</t>
        </is>
      </c>
      <c r="H21" s="21" t="inlineStr">
        <is>
          <t>ONCOCt</t>
        </is>
      </c>
      <c r="O21" s="33" t="n"/>
      <c r="P21" s="151">
        <f>IF(CF_currency="€",P17/P$19,P17)</f>
        <v/>
      </c>
      <c r="Q21" s="151">
        <f>IF(CF_currency="€",Q17/Q$19,Q17)</f>
        <v/>
      </c>
      <c r="R21" s="151">
        <f>IF(CF_currency="€",R17/R$19,R17)</f>
        <v/>
      </c>
      <c r="S21" s="151">
        <f>IF(CF_currency="€",S17/S$19,S17)</f>
        <v/>
      </c>
      <c r="T21" s="151">
        <f>IF(CF_currency="€",T17/T$19,T17)</f>
        <v/>
      </c>
      <c r="U21" s="151">
        <f>IF(CF_currency="€",U17/U$19,U17)</f>
        <v/>
      </c>
      <c r="V21" s="151">
        <f>IF(CF_currency="€",V17/V$19,V17)</f>
        <v/>
      </c>
      <c r="W21" s="151">
        <f>IF(CF_currency="€",W17/W$19,W17)</f>
        <v/>
      </c>
      <c r="X21" s="151">
        <f>IF(CF_currency="€",X17/X$19,X17)</f>
        <v/>
      </c>
      <c r="Y21" s="151">
        <f>IF(CF_currency="€",Y17/Y$19,Y17)</f>
        <v/>
      </c>
      <c r="Z21" s="151">
        <f>IF(CF_currency="€",Z17/Z$19,Z17)</f>
        <v/>
      </c>
      <c r="AA21" s="151">
        <f>IF(CF_currency="€",AA17/AA$19,AA17)</f>
        <v/>
      </c>
      <c r="AB21" s="151">
        <f>IF(CF_currency="€",AB17/AB$19,AB17)</f>
        <v/>
      </c>
      <c r="AC21" s="151">
        <f>IF(CF_currency="€",AC17/AC$19,AC17)</f>
        <v/>
      </c>
      <c r="AD21" s="151">
        <f>IF(CF_currency="€",AD17/AD$19,AD17)</f>
        <v/>
      </c>
      <c r="AE21" s="151">
        <f>IF(CF_currency="€",AE17/AE$19,AE17)</f>
        <v/>
      </c>
      <c r="AF21" s="151">
        <f>IF(CF_currency="€",AF17/AF$19,AF17)</f>
        <v/>
      </c>
      <c r="AG21" s="151">
        <f>IF(CF_currency="€",AG17/AG$19,AG17)</f>
        <v/>
      </c>
      <c r="AH21" s="151">
        <f>IF(CF_currency="€",AH17/AH$19,AH17)</f>
        <v/>
      </c>
      <c r="AI21" s="151">
        <f>IF(CF_currency="€",AI17/AI$19,AI17)</f>
        <v/>
      </c>
      <c r="AJ21" s="151">
        <f>IF(CF_currency="€",AJ17/AJ$19,AJ17)</f>
        <v/>
      </c>
      <c r="AK21" s="151">
        <f>IF(CF_currency="€",AK17/AK$19,AK17)</f>
        <v/>
      </c>
      <c r="AL21" s="151">
        <f>IF(CF_currency="€",AL17/AL$19,AL17)</f>
        <v/>
      </c>
      <c r="AM21" s="151">
        <f>IF(CF_currency="€",AM17/AM$19,AM17)</f>
        <v/>
      </c>
      <c r="AN21" s="151">
        <f>IF(CF_currency="€",AN17/AN$19,AN17)</f>
        <v/>
      </c>
      <c r="AO21" s="151">
        <f>IF(CF_currency="€",AO17/AO$19,AO17)</f>
        <v/>
      </c>
      <c r="AP21" s="151">
        <f>IF(CF_currency="€",AP17/AP$19,AP17)</f>
        <v/>
      </c>
      <c r="AQ21" s="151">
        <f>IF(CF_currency="€",AQ17/AQ$19,AQ17)</f>
        <v/>
      </c>
      <c r="AR21" s="151">
        <f>IF(CF_currency="€",AR17/AR$19,AR17)</f>
        <v/>
      </c>
      <c r="AS21" s="151">
        <f>IF(CF_currency="€",AS17/AS$19,AS17)</f>
        <v/>
      </c>
      <c r="AT21" s="151">
        <f>IF(CF_currency="€",AT17/AT$19,AT17)</f>
        <v/>
      </c>
      <c r="AU21" s="151">
        <f>IF(CF_currency="€",AU17/AU$19,AU17)</f>
        <v/>
      </c>
      <c r="AV21" s="151">
        <f>IF(CF_currency="€",AV17/AV$19,AV17)</f>
        <v/>
      </c>
      <c r="AW21" s="151">
        <f>IF(CF_currency="€",AW17/AW$19,AW17)</f>
        <v/>
      </c>
      <c r="AX21" s="151">
        <f>IF(CF_currency="€",AX17/AX$19,AX17)</f>
        <v/>
      </c>
      <c r="AY21" s="151">
        <f>IF(CF_currency="€",AY17/AY$19,AY17)</f>
        <v/>
      </c>
      <c r="AZ21" s="151">
        <f>IF(CF_currency="€",AZ17/AZ$19,AZ17)</f>
        <v/>
      </c>
      <c r="BA21" s="151">
        <f>IF(CF_currency="€",BA17/BA$19,BA17)</f>
        <v/>
      </c>
      <c r="BB21" s="151">
        <f>IF(CF_currency="€",BB17/BB$19,BB17)</f>
        <v/>
      </c>
    </row>
    <row r="22" ht="15" customHeight="1">
      <c r="G22" s="5" t="n"/>
      <c r="O22" s="16" t="n"/>
      <c r="P22" s="37" t="n"/>
      <c r="Q22" s="37" t="n"/>
      <c r="R22" s="37" t="n"/>
      <c r="S22" s="37" t="n"/>
      <c r="T22" s="37" t="n"/>
      <c r="U22" s="37" t="n"/>
      <c r="V22" s="37" t="n"/>
      <c r="W22" s="37" t="n"/>
      <c r="X22" s="37" t="n"/>
      <c r="Y22" s="37" t="n"/>
      <c r="Z22" s="37" t="n"/>
      <c r="AA22" s="37" t="n"/>
      <c r="AB22" s="37" t="n"/>
      <c r="AC22" s="37" t="n"/>
      <c r="AD22" s="37" t="n"/>
      <c r="AE22" s="37" t="n"/>
      <c r="AF22" s="37" t="n"/>
      <c r="AG22" s="37" t="n"/>
      <c r="AH22" s="37" t="n"/>
      <c r="AI22" s="37" t="n"/>
      <c r="AJ22" s="37" t="n"/>
      <c r="AK22" s="37" t="n"/>
      <c r="AL22" s="37" t="n"/>
      <c r="AM22" s="37" t="n"/>
      <c r="AN22" s="37" t="n"/>
      <c r="AO22" s="37" t="n"/>
      <c r="AP22" s="37" t="n"/>
      <c r="AQ22" s="37" t="n"/>
      <c r="AR22" s="37" t="n"/>
      <c r="AS22" s="37" t="n"/>
      <c r="AT22" s="37" t="n"/>
      <c r="AU22" s="37" t="n"/>
      <c r="AV22" s="37" t="n"/>
      <c r="AW22" s="37" t="n"/>
      <c r="AX22" s="37" t="n"/>
      <c r="AY22" s="37" t="n"/>
      <c r="AZ22" s="37" t="n"/>
      <c r="BA22" s="37" t="n"/>
      <c r="BB22" s="37" t="n"/>
    </row>
    <row r="23" ht="15" customHeight="1">
      <c r="E23" s="21">
        <f>Inputs!E85</f>
        <v/>
      </c>
      <c r="G23" s="5">
        <f>Inputs!G85</f>
        <v/>
      </c>
      <c r="O23" s="33" t="n"/>
      <c r="P23" s="84">
        <f>INDEX(Inputs!$P$85:$BB$85,MATCH('Costs &amp; Revenue'!P$5,Inputs!$P$5:$BB$5,0))</f>
        <v/>
      </c>
      <c r="Q23" s="84">
        <f>INDEX(Inputs!$P$85:$BB$85,MATCH('Costs &amp; Revenue'!Q$5,Inputs!$P$5:$BB$5,0))</f>
        <v/>
      </c>
      <c r="R23" s="84">
        <f>INDEX(Inputs!$P$85:$BB$85,MATCH('Costs &amp; Revenue'!R$5,Inputs!$P$5:$BB$5,0))</f>
        <v/>
      </c>
      <c r="S23" s="84">
        <f>INDEX(Inputs!$P$85:$BB$85,MATCH('Costs &amp; Revenue'!S$5,Inputs!$P$5:$BB$5,0))</f>
        <v/>
      </c>
      <c r="T23" s="84">
        <f>INDEX(Inputs!$P$85:$BB$85,MATCH('Costs &amp; Revenue'!T$5,Inputs!$P$5:$BB$5,0))</f>
        <v/>
      </c>
      <c r="U23" s="84">
        <f>INDEX(Inputs!$P$85:$BB$85,MATCH('Costs &amp; Revenue'!U$5,Inputs!$P$5:$BB$5,0))</f>
        <v/>
      </c>
      <c r="V23" s="84">
        <f>INDEX(Inputs!$P$85:$BB$85,MATCH('Costs &amp; Revenue'!V$5,Inputs!$P$5:$BB$5,0))</f>
        <v/>
      </c>
      <c r="W23" s="84">
        <f>INDEX(Inputs!$P$85:$BB$85,MATCH('Costs &amp; Revenue'!W$5,Inputs!$P$5:$BB$5,0))</f>
        <v/>
      </c>
      <c r="X23" s="84">
        <f>INDEX(Inputs!$P$85:$BB$85,MATCH('Costs &amp; Revenue'!X$5,Inputs!$P$5:$BB$5,0))</f>
        <v/>
      </c>
      <c r="Y23" s="84">
        <f>INDEX(Inputs!$P$85:$BB$85,MATCH('Costs &amp; Revenue'!Y$5,Inputs!$P$5:$BB$5,0))</f>
        <v/>
      </c>
      <c r="Z23" s="84">
        <f>INDEX(Inputs!$P$85:$BB$85,MATCH('Costs &amp; Revenue'!Z$5,Inputs!$P$5:$BB$5,0))</f>
        <v/>
      </c>
      <c r="AA23" s="84">
        <f>INDEX(Inputs!$P$85:$BB$85,MATCH('Costs &amp; Revenue'!AA$5,Inputs!$P$5:$BB$5,0))</f>
        <v/>
      </c>
      <c r="AB23" s="84">
        <f>INDEX(Inputs!$P$85:$BB$85,MATCH('Costs &amp; Revenue'!AB$5,Inputs!$P$5:$BB$5,0))</f>
        <v/>
      </c>
      <c r="AC23" s="84">
        <f>INDEX(Inputs!$P$85:$BB$85,MATCH('Costs &amp; Revenue'!AC$5,Inputs!$P$5:$BB$5,0))</f>
        <v/>
      </c>
      <c r="AD23" s="84">
        <f>INDEX(Inputs!$P$85:$BB$85,MATCH('Costs &amp; Revenue'!AD$5,Inputs!$P$5:$BB$5,0))</f>
        <v/>
      </c>
      <c r="AE23" s="84">
        <f>INDEX(Inputs!$P$85:$BB$85,MATCH('Costs &amp; Revenue'!AE$5,Inputs!$P$5:$BB$5,0))</f>
        <v/>
      </c>
      <c r="AF23" s="84">
        <f>INDEX(Inputs!$P$85:$BB$85,MATCH('Costs &amp; Revenue'!AF$5,Inputs!$P$5:$BB$5,0))</f>
        <v/>
      </c>
      <c r="AG23" s="84">
        <f>INDEX(Inputs!$P$85:$BB$85,MATCH('Costs &amp; Revenue'!AG$5,Inputs!$P$5:$BB$5,0))</f>
        <v/>
      </c>
      <c r="AH23" s="84">
        <f>INDEX(Inputs!$P$85:$BB$85,MATCH('Costs &amp; Revenue'!AH$5,Inputs!$P$5:$BB$5,0))</f>
        <v/>
      </c>
      <c r="AI23" s="84">
        <f>INDEX(Inputs!$P$85:$BB$85,MATCH('Costs &amp; Revenue'!AI$5,Inputs!$P$5:$BB$5,0))</f>
        <v/>
      </c>
      <c r="AJ23" s="84">
        <f>INDEX(Inputs!$P$85:$BB$85,MATCH('Costs &amp; Revenue'!AJ$5,Inputs!$P$5:$BB$5,0))</f>
        <v/>
      </c>
      <c r="AK23" s="84">
        <f>INDEX(Inputs!$P$85:$BB$85,MATCH('Costs &amp; Revenue'!AK$5,Inputs!$P$5:$BB$5,0))</f>
        <v/>
      </c>
      <c r="AL23" s="84">
        <f>INDEX(Inputs!$P$85:$BB$85,MATCH('Costs &amp; Revenue'!AL$5,Inputs!$P$5:$BB$5,0))</f>
        <v/>
      </c>
      <c r="AM23" s="84">
        <f>INDEX(Inputs!$P$85:$BB$85,MATCH('Costs &amp; Revenue'!AM$5,Inputs!$P$5:$BB$5,0))</f>
        <v/>
      </c>
      <c r="AN23" s="84">
        <f>INDEX(Inputs!$P$85:$BB$85,MATCH('Costs &amp; Revenue'!AN$5,Inputs!$P$5:$BB$5,0))</f>
        <v/>
      </c>
      <c r="AO23" s="84">
        <f>INDEX(Inputs!$P$85:$BB$85,MATCH('Costs &amp; Revenue'!AO$5,Inputs!$P$5:$BB$5,0))</f>
        <v/>
      </c>
      <c r="AP23" s="84">
        <f>INDEX(Inputs!$P$85:$BB$85,MATCH('Costs &amp; Revenue'!AP$5,Inputs!$P$5:$BB$5,0))</f>
        <v/>
      </c>
      <c r="AQ23" s="84">
        <f>INDEX(Inputs!$P$85:$BB$85,MATCH('Costs &amp; Revenue'!AQ$5,Inputs!$P$5:$BB$5,0))</f>
        <v/>
      </c>
      <c r="AR23" s="84">
        <f>INDEX(Inputs!$P$85:$BB$85,MATCH('Costs &amp; Revenue'!AR$5,Inputs!$P$5:$BB$5,0))</f>
        <v/>
      </c>
      <c r="AS23" s="84">
        <f>INDEX(Inputs!$P$85:$BB$85,MATCH('Costs &amp; Revenue'!AS$5,Inputs!$P$5:$BB$5,0))</f>
        <v/>
      </c>
      <c r="AT23" s="84">
        <f>INDEX(Inputs!$P$85:$BB$85,MATCH('Costs &amp; Revenue'!AT$5,Inputs!$P$5:$BB$5,0))</f>
        <v/>
      </c>
      <c r="AU23" s="84">
        <f>INDEX(Inputs!$P$85:$BB$85,MATCH('Costs &amp; Revenue'!AU$5,Inputs!$P$5:$BB$5,0))</f>
        <v/>
      </c>
      <c r="AV23" s="84">
        <f>INDEX(Inputs!$P$85:$BB$85,MATCH('Costs &amp; Revenue'!AV$5,Inputs!$P$5:$BB$5,0))</f>
        <v/>
      </c>
      <c r="AW23" s="84">
        <f>INDEX(Inputs!$P$85:$BB$85,MATCH('Costs &amp; Revenue'!AW$5,Inputs!$P$5:$BB$5,0))</f>
        <v/>
      </c>
      <c r="AX23" s="84">
        <f>INDEX(Inputs!$P$85:$BB$85,MATCH('Costs &amp; Revenue'!AX$5,Inputs!$P$5:$BB$5,0))</f>
        <v/>
      </c>
      <c r="AY23" s="84">
        <f>INDEX(Inputs!$P$85:$BB$85,MATCH('Costs &amp; Revenue'!AY$5,Inputs!$P$5:$BB$5,0))</f>
        <v/>
      </c>
      <c r="AZ23" s="84">
        <f>INDEX(Inputs!$P$85:$BB$85,MATCH('Costs &amp; Revenue'!AZ$5,Inputs!$P$5:$BB$5,0))</f>
        <v/>
      </c>
      <c r="BA23" s="84">
        <f>INDEX(Inputs!$P$85:$BB$85,MATCH('Costs &amp; Revenue'!BA$5,Inputs!$P$5:$BB$5,0))</f>
        <v/>
      </c>
      <c r="BB23" s="84">
        <f>INDEX(Inputs!$P$85:$BB$85,MATCH('Costs &amp; Revenue'!BB$5,Inputs!$P$5:$BB$5,0))</f>
        <v/>
      </c>
    </row>
    <row r="24" ht="15" customHeight="1">
      <c r="G24" s="5" t="n"/>
      <c r="O24" s="16" t="n"/>
      <c r="P24" s="37" t="n"/>
      <c r="Q24" s="37" t="n"/>
      <c r="R24" s="37" t="n"/>
      <c r="S24" s="37" t="n"/>
      <c r="T24" s="37" t="n"/>
      <c r="U24" s="37" t="n"/>
      <c r="V24" s="37" t="n"/>
      <c r="W24" s="37" t="n"/>
      <c r="X24" s="37" t="n"/>
      <c r="Y24" s="37" t="n"/>
      <c r="Z24" s="37" t="n"/>
      <c r="AA24" s="37" t="n"/>
      <c r="AB24" s="37" t="n"/>
      <c r="AC24" s="37" t="n"/>
      <c r="AD24" s="37" t="n"/>
      <c r="AE24" s="37" t="n"/>
      <c r="AF24" s="37" t="n"/>
      <c r="AG24" s="37" t="n"/>
      <c r="AH24" s="37" t="n"/>
      <c r="AI24" s="37" t="n"/>
      <c r="AJ24" s="37" t="n"/>
      <c r="AK24" s="37" t="n"/>
      <c r="AL24" s="37" t="n"/>
      <c r="AM24" s="37" t="n"/>
      <c r="AN24" s="37" t="n"/>
      <c r="AO24" s="37" t="n"/>
      <c r="AP24" s="37" t="n"/>
      <c r="AQ24" s="37" t="n"/>
      <c r="AR24" s="37" t="n"/>
      <c r="AS24" s="37" t="n"/>
      <c r="AT24" s="37" t="n"/>
      <c r="AU24" s="37" t="n"/>
      <c r="AV24" s="37" t="n"/>
      <c r="AW24" s="37" t="n"/>
      <c r="AX24" s="37" t="n"/>
      <c r="AY24" s="37" t="n"/>
      <c r="AZ24" s="37" t="n"/>
      <c r="BA24" s="37" t="n"/>
      <c r="BB24" s="37" t="n"/>
    </row>
    <row r="25" ht="15" customHeight="1">
      <c r="E25" s="21">
        <f>E23</f>
        <v/>
      </c>
      <c r="G25" s="5" t="inlineStr">
        <is>
          <t>£m nominal prices</t>
        </is>
      </c>
      <c r="O25" s="33" t="n"/>
      <c r="P25" s="151">
        <f>IF(CF_currency="€",P23/P$19,P23)</f>
        <v/>
      </c>
      <c r="Q25" s="151">
        <f>IF(CF_currency="€",Q23/Q$19,Q23)</f>
        <v/>
      </c>
      <c r="R25" s="151">
        <f>IF(CF_currency="€",R23/R$19,R23)</f>
        <v/>
      </c>
      <c r="S25" s="151">
        <f>IF(CF_currency="€",S23/S$19,S23)</f>
        <v/>
      </c>
      <c r="T25" s="151">
        <f>IF(CF_currency="€",T23/T$19,T23)</f>
        <v/>
      </c>
      <c r="U25" s="151">
        <f>IF(CF_currency="€",U23/U$19,U23)</f>
        <v/>
      </c>
      <c r="V25" s="151">
        <f>IF(CF_currency="€",V23/V$19,V23)</f>
        <v/>
      </c>
      <c r="W25" s="151">
        <f>IF(CF_currency="€",W23/W$19,W23)</f>
        <v/>
      </c>
      <c r="X25" s="151">
        <f>IF(CF_currency="€",X23/X$19,X23)</f>
        <v/>
      </c>
      <c r="Y25" s="151">
        <f>IF(CF_currency="€",Y23/Y$19,Y23)</f>
        <v/>
      </c>
      <c r="Z25" s="151">
        <f>IF(CF_currency="€",Z23/Z$19,Z23)</f>
        <v/>
      </c>
      <c r="AA25" s="151">
        <f>IF(CF_currency="€",AA23/AA$19,AA23)</f>
        <v/>
      </c>
      <c r="AB25" s="151">
        <f>IF(CF_currency="€",AB23/AB$19,AB23)</f>
        <v/>
      </c>
      <c r="AC25" s="151">
        <f>IF(CF_currency="€",AC23/AC$19,AC23)</f>
        <v/>
      </c>
      <c r="AD25" s="151">
        <f>IF(CF_currency="€",AD23/AD$19,AD23)</f>
        <v/>
      </c>
      <c r="AE25" s="151">
        <f>IF(CF_currency="€",AE23/AE$19,AE23)</f>
        <v/>
      </c>
      <c r="AF25" s="151">
        <f>IF(CF_currency="€",AF23/AF$19,AF23)</f>
        <v/>
      </c>
      <c r="AG25" s="151">
        <f>IF(CF_currency="€",AG23/AG$19,AG23)</f>
        <v/>
      </c>
      <c r="AH25" s="151">
        <f>IF(CF_currency="€",AH23/AH$19,AH23)</f>
        <v/>
      </c>
      <c r="AI25" s="151">
        <f>IF(CF_currency="€",AI23/AI$19,AI23)</f>
        <v/>
      </c>
      <c r="AJ25" s="151">
        <f>IF(CF_currency="€",AJ23/AJ$19,AJ23)</f>
        <v/>
      </c>
      <c r="AK25" s="151">
        <f>IF(CF_currency="€",AK23/AK$19,AK23)</f>
        <v/>
      </c>
      <c r="AL25" s="151">
        <f>IF(CF_currency="€",AL23/AL$19,AL23)</f>
        <v/>
      </c>
      <c r="AM25" s="151">
        <f>IF(CF_currency="€",AM23/AM$19,AM23)</f>
        <v/>
      </c>
      <c r="AN25" s="151">
        <f>IF(CF_currency="€",AN23/AN$19,AN23)</f>
        <v/>
      </c>
      <c r="AO25" s="151">
        <f>IF(CF_currency="€",AO23/AO$19,AO23)</f>
        <v/>
      </c>
      <c r="AP25" s="151">
        <f>IF(CF_currency="€",AP23/AP$19,AP23)</f>
        <v/>
      </c>
      <c r="AQ25" s="151">
        <f>IF(CF_currency="€",AQ23/AQ$19,AQ23)</f>
        <v/>
      </c>
      <c r="AR25" s="151">
        <f>IF(CF_currency="€",AR23/AR$19,AR23)</f>
        <v/>
      </c>
      <c r="AS25" s="151">
        <f>IF(CF_currency="€",AS23/AS$19,AS23)</f>
        <v/>
      </c>
      <c r="AT25" s="151">
        <f>IF(CF_currency="€",AT23/AT$19,AT23)</f>
        <v/>
      </c>
      <c r="AU25" s="151">
        <f>IF(CF_currency="€",AU23/AU$19,AU23)</f>
        <v/>
      </c>
      <c r="AV25" s="151">
        <f>IF(CF_currency="€",AV23/AV$19,AV23)</f>
        <v/>
      </c>
      <c r="AW25" s="151">
        <f>IF(CF_currency="€",AW23/AW$19,AW23)</f>
        <v/>
      </c>
      <c r="AX25" s="151">
        <f>IF(CF_currency="€",AX23/AX$19,AX23)</f>
        <v/>
      </c>
      <c r="AY25" s="151">
        <f>IF(CF_currency="€",AY23/AY$19,AY23)</f>
        <v/>
      </c>
      <c r="AZ25" s="151">
        <f>IF(CF_currency="€",AZ23/AZ$19,AZ23)</f>
        <v/>
      </c>
      <c r="BA25" s="151">
        <f>IF(CF_currency="€",BA23/BA$19,BA23)</f>
        <v/>
      </c>
      <c r="BB25" s="151">
        <f>IF(CF_currency="€",BB23/BB$19,BB23)</f>
        <v/>
      </c>
    </row>
    <row r="26" ht="15" customHeight="1">
      <c r="G26" s="5" t="n"/>
      <c r="O26" s="5" t="n"/>
      <c r="P26" s="151" t="n"/>
      <c r="Q26" s="151" t="n"/>
      <c r="R26" s="151" t="n"/>
      <c r="S26" s="151" t="n"/>
      <c r="T26" s="151" t="n"/>
      <c r="U26" s="151" t="n"/>
      <c r="V26" s="151" t="n"/>
      <c r="W26" s="151" t="n"/>
      <c r="X26" s="151" t="n"/>
      <c r="Y26" s="151" t="n"/>
      <c r="Z26" s="151" t="n"/>
      <c r="AA26" s="151" t="n"/>
      <c r="AB26" s="151" t="n"/>
      <c r="AC26" s="151" t="n"/>
      <c r="AD26" s="151" t="n"/>
      <c r="AE26" s="151" t="n"/>
      <c r="AF26" s="151" t="n"/>
      <c r="AG26" s="151" t="n"/>
      <c r="AH26" s="151" t="n"/>
      <c r="AI26" s="151" t="n"/>
      <c r="AJ26" s="151" t="n"/>
      <c r="AK26" s="151" t="n"/>
      <c r="AL26" s="151" t="n"/>
      <c r="AM26" s="151" t="n"/>
      <c r="AN26" s="151" t="n"/>
      <c r="AO26" s="151" t="n"/>
      <c r="AP26" s="151" t="n"/>
      <c r="AQ26" s="151" t="n"/>
      <c r="AR26" s="151" t="n"/>
      <c r="AS26" s="151" t="n"/>
      <c r="AT26" s="151" t="n"/>
      <c r="AU26" s="151" t="n"/>
      <c r="AV26" s="151" t="n"/>
      <c r="AW26" s="151" t="n"/>
      <c r="AX26" s="151" t="n"/>
      <c r="AY26" s="151" t="n"/>
      <c r="AZ26" s="151" t="n"/>
      <c r="BA26" s="151" t="n"/>
      <c r="BB26" s="151" t="n"/>
    </row>
    <row r="27" ht="15" customHeight="1">
      <c r="B27" s="8" t="inlineStr">
        <is>
          <t>Revenue</t>
        </is>
      </c>
      <c r="C27" s="8" t="n"/>
      <c r="D27" s="8" t="n"/>
      <c r="E27" s="8" t="n"/>
      <c r="F27" s="8" t="n"/>
      <c r="G27" s="8" t="n"/>
      <c r="H27" s="8" t="n"/>
      <c r="I27" s="8" t="n"/>
      <c r="J27" s="8" t="n"/>
      <c r="K27" s="8" t="n"/>
      <c r="L27" s="8" t="n"/>
      <c r="M27" s="8" t="n"/>
      <c r="N27" s="8" t="n"/>
      <c r="O27" s="8" t="n"/>
      <c r="P27" s="8" t="n"/>
      <c r="Q27" s="8" t="n"/>
      <c r="R27" s="8" t="n"/>
      <c r="S27" s="8" t="n"/>
      <c r="T27" s="8" t="n"/>
      <c r="U27" s="8" t="n"/>
      <c r="V27" s="8" t="n"/>
      <c r="W27" s="8" t="n"/>
      <c r="X27" s="8" t="n"/>
      <c r="Y27" s="8" t="n"/>
      <c r="Z27" s="8" t="n"/>
      <c r="AA27" s="8" t="n"/>
      <c r="AB27" s="8" t="n"/>
      <c r="AC27" s="8" t="n"/>
      <c r="AD27" s="8" t="n"/>
      <c r="AE27" s="8" t="n"/>
      <c r="AF27" s="8" t="n"/>
      <c r="AG27" s="8" t="n"/>
      <c r="AH27" s="8" t="n"/>
      <c r="AI27" s="8" t="n"/>
      <c r="AJ27" s="8" t="n"/>
      <c r="AK27" s="8" t="n"/>
      <c r="AL27" s="8" t="n"/>
      <c r="AM27" s="8" t="n"/>
      <c r="AN27" s="8" t="n"/>
      <c r="AO27" s="8" t="n"/>
      <c r="AP27" s="8" t="n"/>
      <c r="AQ27" s="8" t="n"/>
      <c r="AR27" s="8" t="n"/>
      <c r="AS27" s="8" t="n"/>
      <c r="AT27" s="8" t="n"/>
      <c r="AU27" s="8" t="n"/>
      <c r="AV27" s="8" t="n"/>
      <c r="AW27" s="8" t="n"/>
      <c r="AX27" s="8" t="n"/>
      <c r="AY27" s="8" t="n"/>
      <c r="AZ27" s="8" t="n"/>
      <c r="BA27" s="8" t="n"/>
      <c r="BB27" s="8" t="n"/>
    </row>
    <row r="28" ht="15" customHeight="1">
      <c r="B28" s="4" t="n"/>
      <c r="C28" s="4" t="n"/>
      <c r="D28" s="4" t="n"/>
      <c r="E28" s="4" t="n"/>
      <c r="F28" s="4" t="n"/>
      <c r="G28" s="4" t="n"/>
      <c r="H28" s="4" t="n"/>
      <c r="I28" s="4" t="n"/>
      <c r="J28" s="4" t="n"/>
      <c r="K28" s="4" t="n"/>
      <c r="L28" s="4" t="n"/>
      <c r="M28" s="4" t="n"/>
      <c r="N28" s="4" t="n"/>
      <c r="O28" s="16" t="n"/>
      <c r="P28" s="95" t="n"/>
      <c r="Q28" s="95" t="n"/>
      <c r="R28" s="95" t="n"/>
      <c r="S28" s="95" t="n"/>
      <c r="T28" s="95" t="n"/>
      <c r="U28" s="95" t="n"/>
      <c r="V28" s="95" t="n"/>
      <c r="W28" s="95" t="n"/>
      <c r="X28" s="95" t="n"/>
      <c r="Y28" s="95" t="n"/>
      <c r="Z28" s="95" t="n"/>
      <c r="AA28" s="95" t="n"/>
      <c r="AB28" s="95" t="n"/>
      <c r="AC28" s="95" t="n"/>
      <c r="AD28" s="95" t="n"/>
      <c r="AE28" s="95" t="n"/>
      <c r="AF28" s="95" t="n"/>
      <c r="AG28" s="95" t="n"/>
      <c r="AH28" s="95" t="n"/>
      <c r="AI28" s="95" t="n"/>
      <c r="AJ28" s="95" t="n"/>
      <c r="AK28" s="95" t="n"/>
      <c r="AL28" s="95" t="n"/>
      <c r="AM28" s="95" t="n"/>
      <c r="AN28" s="95" t="n"/>
      <c r="AO28" s="95" t="n"/>
      <c r="AP28" s="95" t="n"/>
      <c r="AQ28" s="95" t="n"/>
      <c r="AR28" s="95" t="n"/>
      <c r="AS28" s="95" t="n"/>
      <c r="AT28" s="95" t="n"/>
      <c r="AU28" s="95" t="n"/>
      <c r="AV28" s="95" t="n"/>
      <c r="AW28" s="95" t="n"/>
      <c r="AX28" s="95" t="n"/>
      <c r="AY28" s="95" t="n"/>
      <c r="AZ28" s="95" t="n"/>
      <c r="BA28" s="95" t="n"/>
      <c r="BB28" s="95" t="n"/>
    </row>
    <row r="29" ht="15" customHeight="1">
      <c r="B29" s="4" t="n"/>
      <c r="C29" s="4" t="n"/>
      <c r="D29" s="4" t="n"/>
      <c r="E29" s="43">
        <f>Inputs!E108</f>
        <v/>
      </c>
      <c r="F29" s="4" t="n"/>
      <c r="G29" s="43">
        <f>Inputs!G108</f>
        <v/>
      </c>
      <c r="H29" s="43">
        <f>Inputs!H108</f>
        <v/>
      </c>
      <c r="I29" s="4" t="n"/>
      <c r="J29" s="4" t="n"/>
      <c r="K29" s="4" t="n"/>
      <c r="L29" s="4" t="n"/>
      <c r="M29" s="4" t="n"/>
      <c r="N29" s="4" t="n"/>
      <c r="O29" s="33" t="n"/>
      <c r="P29" s="84">
        <f>INDEX(Inputs!$P$108:$BB$108,MATCH('Costs &amp; Revenue'!P$5,Inputs!$P$5:$BB$5,0))</f>
        <v/>
      </c>
      <c r="Q29" s="84">
        <f>INDEX(Inputs!$P$108:$BB$108,MATCH('Costs &amp; Revenue'!Q$5,Inputs!$P$5:$BB$5,0))</f>
        <v/>
      </c>
      <c r="R29" s="84">
        <f>INDEX(Inputs!$P$108:$BB$108,MATCH('Costs &amp; Revenue'!R$5,Inputs!$P$5:$BB$5,0))</f>
        <v/>
      </c>
      <c r="S29" s="84">
        <f>INDEX(Inputs!$P$108:$BB$108,MATCH('Costs &amp; Revenue'!S$5,Inputs!$P$5:$BB$5,0))</f>
        <v/>
      </c>
      <c r="T29" s="84">
        <f>INDEX(Inputs!$P$108:$BB$108,MATCH('Costs &amp; Revenue'!T$5,Inputs!$P$5:$BB$5,0))</f>
        <v/>
      </c>
      <c r="U29" s="84">
        <f>INDEX(Inputs!$P$108:$BB$108,MATCH('Costs &amp; Revenue'!U$5,Inputs!$P$5:$BB$5,0))</f>
        <v/>
      </c>
      <c r="V29" s="84">
        <f>INDEX(Inputs!$P$108:$BB$108,MATCH('Costs &amp; Revenue'!V$5,Inputs!$P$5:$BB$5,0))</f>
        <v/>
      </c>
      <c r="W29" s="84">
        <f>INDEX(Inputs!$P$108:$BB$108,MATCH('Costs &amp; Revenue'!W$5,Inputs!$P$5:$BB$5,0))</f>
        <v/>
      </c>
      <c r="X29" s="84">
        <f>INDEX(Inputs!$P$108:$BB$108,MATCH('Costs &amp; Revenue'!X$5,Inputs!$P$5:$BB$5,0))</f>
        <v/>
      </c>
      <c r="Y29" s="84">
        <f>INDEX(Inputs!$P$108:$BB$108,MATCH('Costs &amp; Revenue'!Y$5,Inputs!$P$5:$BB$5,0))</f>
        <v/>
      </c>
      <c r="Z29" s="84">
        <f>INDEX(Inputs!$P$108:$BB$108,MATCH('Costs &amp; Revenue'!Z$5,Inputs!$P$5:$BB$5,0))</f>
        <v/>
      </c>
      <c r="AA29" s="84">
        <f>INDEX(Inputs!$P$108:$BB$108,MATCH('Costs &amp; Revenue'!AA$5,Inputs!$P$5:$BB$5,0))</f>
        <v/>
      </c>
      <c r="AB29" s="84">
        <f>INDEX(Inputs!$P$108:$BB$108,MATCH('Costs &amp; Revenue'!AB$5,Inputs!$P$5:$BB$5,0))</f>
        <v/>
      </c>
      <c r="AC29" s="84">
        <f>INDEX(Inputs!$P$108:$BB$108,MATCH('Costs &amp; Revenue'!AC$5,Inputs!$P$5:$BB$5,0))</f>
        <v/>
      </c>
      <c r="AD29" s="84">
        <f>INDEX(Inputs!$P$108:$BB$108,MATCH('Costs &amp; Revenue'!AD$5,Inputs!$P$5:$BB$5,0))</f>
        <v/>
      </c>
      <c r="AE29" s="84">
        <f>INDEX(Inputs!$P$108:$BB$108,MATCH('Costs &amp; Revenue'!AE$5,Inputs!$P$5:$BB$5,0))</f>
        <v/>
      </c>
      <c r="AF29" s="84">
        <f>INDEX(Inputs!$P$108:$BB$108,MATCH('Costs &amp; Revenue'!AF$5,Inputs!$P$5:$BB$5,0))</f>
        <v/>
      </c>
      <c r="AG29" s="84">
        <f>INDEX(Inputs!$P$108:$BB$108,MATCH('Costs &amp; Revenue'!AG$5,Inputs!$P$5:$BB$5,0))</f>
        <v/>
      </c>
      <c r="AH29" s="84">
        <f>INDEX(Inputs!$P$108:$BB$108,MATCH('Costs &amp; Revenue'!AH$5,Inputs!$P$5:$BB$5,0))</f>
        <v/>
      </c>
      <c r="AI29" s="84">
        <f>INDEX(Inputs!$P$108:$BB$108,MATCH('Costs &amp; Revenue'!AI$5,Inputs!$P$5:$BB$5,0))</f>
        <v/>
      </c>
      <c r="AJ29" s="84">
        <f>INDEX(Inputs!$P$108:$BB$108,MATCH('Costs &amp; Revenue'!AJ$5,Inputs!$P$5:$BB$5,0))</f>
        <v/>
      </c>
      <c r="AK29" s="84">
        <f>INDEX(Inputs!$P$108:$BB$108,MATCH('Costs &amp; Revenue'!AK$5,Inputs!$P$5:$BB$5,0))</f>
        <v/>
      </c>
      <c r="AL29" s="84">
        <f>INDEX(Inputs!$P$108:$BB$108,MATCH('Costs &amp; Revenue'!AL$5,Inputs!$P$5:$BB$5,0))</f>
        <v/>
      </c>
      <c r="AM29" s="84">
        <f>INDEX(Inputs!$P$108:$BB$108,MATCH('Costs &amp; Revenue'!AM$5,Inputs!$P$5:$BB$5,0))</f>
        <v/>
      </c>
      <c r="AN29" s="84">
        <f>INDEX(Inputs!$P$108:$BB$108,MATCH('Costs &amp; Revenue'!AN$5,Inputs!$P$5:$BB$5,0))</f>
        <v/>
      </c>
      <c r="AO29" s="84">
        <f>INDEX(Inputs!$P$108:$BB$108,MATCH('Costs &amp; Revenue'!AO$5,Inputs!$P$5:$BB$5,0))</f>
        <v/>
      </c>
      <c r="AP29" s="84">
        <f>INDEX(Inputs!$P$108:$BB$108,MATCH('Costs &amp; Revenue'!AP$5,Inputs!$P$5:$BB$5,0))</f>
        <v/>
      </c>
      <c r="AQ29" s="84">
        <f>INDEX(Inputs!$P$108:$BB$108,MATCH('Costs &amp; Revenue'!AQ$5,Inputs!$P$5:$BB$5,0))</f>
        <v/>
      </c>
      <c r="AR29" s="84">
        <f>INDEX(Inputs!$P$108:$BB$108,MATCH('Costs &amp; Revenue'!AR$5,Inputs!$P$5:$BB$5,0))</f>
        <v/>
      </c>
      <c r="AS29" s="84">
        <f>INDEX(Inputs!$P$108:$BB$108,MATCH('Costs &amp; Revenue'!AS$5,Inputs!$P$5:$BB$5,0))</f>
        <v/>
      </c>
      <c r="AT29" s="84">
        <f>INDEX(Inputs!$P$108:$BB$108,MATCH('Costs &amp; Revenue'!AT$5,Inputs!$P$5:$BB$5,0))</f>
        <v/>
      </c>
      <c r="AU29" s="84">
        <f>INDEX(Inputs!$P$108:$BB$108,MATCH('Costs &amp; Revenue'!AU$5,Inputs!$P$5:$BB$5,0))</f>
        <v/>
      </c>
      <c r="AV29" s="84">
        <f>INDEX(Inputs!$P$108:$BB$108,MATCH('Costs &amp; Revenue'!AV$5,Inputs!$P$5:$BB$5,0))</f>
        <v/>
      </c>
      <c r="AW29" s="84">
        <f>INDEX(Inputs!$P$108:$BB$108,MATCH('Costs &amp; Revenue'!AW$5,Inputs!$P$5:$BB$5,0))</f>
        <v/>
      </c>
      <c r="AX29" s="84">
        <f>INDEX(Inputs!$P$108:$BB$108,MATCH('Costs &amp; Revenue'!AX$5,Inputs!$P$5:$BB$5,0))</f>
        <v/>
      </c>
      <c r="AY29" s="84">
        <f>INDEX(Inputs!$P$108:$BB$108,MATCH('Costs &amp; Revenue'!AY$5,Inputs!$P$5:$BB$5,0))</f>
        <v/>
      </c>
      <c r="AZ29" s="84">
        <f>INDEX(Inputs!$P$108:$BB$108,MATCH('Costs &amp; Revenue'!AZ$5,Inputs!$P$5:$BB$5,0))</f>
        <v/>
      </c>
      <c r="BA29" s="84">
        <f>INDEX(Inputs!$P$108:$BB$108,MATCH('Costs &amp; Revenue'!BA$5,Inputs!$P$5:$BB$5,0))</f>
        <v/>
      </c>
      <c r="BB29" s="84">
        <f>INDEX(Inputs!$P$108:$BB$108,MATCH('Costs &amp; Revenue'!BB$5,Inputs!$P$5:$BB$5,0))</f>
        <v/>
      </c>
    </row>
    <row r="30" ht="15" customHeight="1">
      <c r="B30" s="4" t="n"/>
      <c r="C30" s="4" t="n"/>
      <c r="D30" s="4" t="n"/>
      <c r="E30" s="4" t="n"/>
      <c r="F30" s="4" t="n"/>
      <c r="G30" s="4" t="n"/>
      <c r="H30" s="4" t="n"/>
      <c r="I30" s="4" t="n"/>
      <c r="J30" s="4" t="n"/>
      <c r="K30" s="4" t="n"/>
      <c r="L30" s="4" t="n"/>
      <c r="M30" s="4" t="n"/>
      <c r="N30" s="4" t="n"/>
      <c r="O30" s="16" t="n"/>
      <c r="P30" s="37" t="n"/>
      <c r="Q30" s="37" t="n"/>
      <c r="R30" s="37" t="n"/>
      <c r="S30" s="37" t="n"/>
      <c r="T30" s="37" t="n"/>
      <c r="U30" s="37" t="n"/>
      <c r="V30" s="37" t="n"/>
      <c r="W30" s="37" t="n"/>
      <c r="X30" s="37" t="n"/>
      <c r="Y30" s="37" t="n"/>
      <c r="Z30" s="37" t="n"/>
      <c r="AA30" s="37" t="n"/>
      <c r="AB30" s="37" t="n"/>
      <c r="AC30" s="37" t="n"/>
      <c r="AD30" s="37" t="n"/>
      <c r="AE30" s="37" t="n"/>
      <c r="AF30" s="37" t="n"/>
      <c r="AG30" s="37" t="n"/>
      <c r="AH30" s="37" t="n"/>
      <c r="AI30" s="37" t="n"/>
      <c r="AJ30" s="37" t="n"/>
      <c r="AK30" s="37" t="n"/>
      <c r="AL30" s="37" t="n"/>
      <c r="AM30" s="37" t="n"/>
      <c r="AN30" s="37" t="n"/>
      <c r="AO30" s="37" t="n"/>
      <c r="AP30" s="37" t="n"/>
      <c r="AQ30" s="37" t="n"/>
      <c r="AR30" s="37" t="n"/>
      <c r="AS30" s="37" t="n"/>
      <c r="AT30" s="37" t="n"/>
      <c r="AU30" s="37" t="n"/>
      <c r="AV30" s="37" t="n"/>
      <c r="AW30" s="37" t="n"/>
      <c r="AX30" s="37" t="n"/>
      <c r="AY30" s="37" t="n"/>
      <c r="AZ30" s="37" t="n"/>
      <c r="BA30" s="37" t="n"/>
      <c r="BB30" s="37" t="n"/>
    </row>
    <row r="31" ht="15" customHeight="1">
      <c r="B31" s="4" t="n"/>
      <c r="C31" s="4" t="n"/>
      <c r="D31" s="4" t="n"/>
      <c r="E31" s="43">
        <f>E29</f>
        <v/>
      </c>
      <c r="F31" s="4" t="n"/>
      <c r="G31" s="5" t="inlineStr">
        <is>
          <t>£m nominal prices</t>
        </is>
      </c>
      <c r="H31" s="4" t="inlineStr">
        <is>
          <t>ARt</t>
        </is>
      </c>
      <c r="I31" s="4" t="n"/>
      <c r="J31" s="4" t="n"/>
      <c r="K31" s="4" t="n"/>
      <c r="L31" s="4" t="n"/>
      <c r="M31" s="4" t="n"/>
      <c r="N31" s="4" t="n"/>
      <c r="O31" s="33" t="n"/>
      <c r="P31" s="151">
        <f>IF(CF_currency="€",P29/P19,P29)</f>
        <v/>
      </c>
      <c r="Q31" s="151">
        <f>IF(CF_currency="€",Q29/Q19,Q29)</f>
        <v/>
      </c>
      <c r="R31" s="151">
        <f>IF(CF_currency="€",R29/R19,R29)</f>
        <v/>
      </c>
      <c r="S31" s="151">
        <f>IF(CF_currency="€",S29/S19,S29)</f>
        <v/>
      </c>
      <c r="T31" s="151">
        <f>IF(CF_currency="€",T29/T19,T29)</f>
        <v/>
      </c>
      <c r="U31" s="151">
        <f>IF(CF_currency="€",U29/U19,U29)</f>
        <v/>
      </c>
      <c r="V31" s="151">
        <f>IF(CF_currency="€",V29/V19,V29)</f>
        <v/>
      </c>
      <c r="W31" s="151">
        <f>IF(CF_currency="€",W29/W19,W29)</f>
        <v/>
      </c>
      <c r="X31" s="151">
        <f>IF(CF_currency="€",X29/X19,X29)</f>
        <v/>
      </c>
      <c r="Y31" s="151">
        <f>IF(CF_currency="€",Y29/Y19,Y29)</f>
        <v/>
      </c>
      <c r="Z31" s="151">
        <f>IF(CF_currency="€",Z29/Z19,Z29)</f>
        <v/>
      </c>
      <c r="AA31" s="151">
        <f>IF(CF_currency="€",AA29/AA19,AA29)</f>
        <v/>
      </c>
      <c r="AB31" s="151">
        <f>IF(CF_currency="€",AB29/AB19,AB29)</f>
        <v/>
      </c>
      <c r="AC31" s="151">
        <f>IF(CF_currency="€",AC29/AC19,AC29)</f>
        <v/>
      </c>
      <c r="AD31" s="151">
        <f>IF(CF_currency="€",AD29/AD19,AD29)</f>
        <v/>
      </c>
      <c r="AE31" s="151">
        <f>IF(CF_currency="€",AE29/AE19,AE29)</f>
        <v/>
      </c>
      <c r="AF31" s="151">
        <f>IF(CF_currency="€",AF29/AF19,AF29)</f>
        <v/>
      </c>
      <c r="AG31" s="151">
        <f>IF(CF_currency="€",AG29/AG19,AG29)</f>
        <v/>
      </c>
      <c r="AH31" s="151">
        <f>IF(CF_currency="€",AH29/AH19,AH29)</f>
        <v/>
      </c>
      <c r="AI31" s="151">
        <f>IF(CF_currency="€",AI29/AI19,AI29)</f>
        <v/>
      </c>
      <c r="AJ31" s="151">
        <f>IF(CF_currency="€",AJ29/AJ19,AJ29)</f>
        <v/>
      </c>
      <c r="AK31" s="151">
        <f>IF(CF_currency="€",AK29/AK19,AK29)</f>
        <v/>
      </c>
      <c r="AL31" s="151">
        <f>IF(CF_currency="€",AL29/AL19,AL29)</f>
        <v/>
      </c>
      <c r="AM31" s="151">
        <f>IF(CF_currency="€",AM29/AM19,AM29)</f>
        <v/>
      </c>
      <c r="AN31" s="151">
        <f>IF(CF_currency="€",AN29/AN19,AN29)</f>
        <v/>
      </c>
      <c r="AO31" s="151">
        <f>IF(CF_currency="€",AO29/AO19,AO29)</f>
        <v/>
      </c>
      <c r="AP31" s="151">
        <f>IF(CF_currency="€",AP29/AP19,AP29)</f>
        <v/>
      </c>
      <c r="AQ31" s="151">
        <f>IF(CF_currency="€",AQ29/AQ19,AQ29)</f>
        <v/>
      </c>
      <c r="AR31" s="151">
        <f>IF(CF_currency="€",AR29/AR19,AR29)</f>
        <v/>
      </c>
      <c r="AS31" s="151">
        <f>IF(CF_currency="€",AS29/AS19,AS29)</f>
        <v/>
      </c>
      <c r="AT31" s="151">
        <f>IF(CF_currency="€",AT29/AT19,AT29)</f>
        <v/>
      </c>
      <c r="AU31" s="151">
        <f>IF(CF_currency="€",AU29/AU19,AU29)</f>
        <v/>
      </c>
      <c r="AV31" s="151">
        <f>IF(CF_currency="€",AV29/AV19,AV29)</f>
        <v/>
      </c>
      <c r="AW31" s="151">
        <f>IF(CF_currency="€",AW29/AW19,AW29)</f>
        <v/>
      </c>
      <c r="AX31" s="151">
        <f>IF(CF_currency="€",AX29/AX19,AX29)</f>
        <v/>
      </c>
      <c r="AY31" s="151">
        <f>IF(CF_currency="€",AY29/AY19,AY29)</f>
        <v/>
      </c>
      <c r="AZ31" s="151">
        <f>IF(CF_currency="€",AZ29/AZ19,AZ29)</f>
        <v/>
      </c>
      <c r="BA31" s="151">
        <f>IF(CF_currency="€",BA29/BA19,BA29)</f>
        <v/>
      </c>
      <c r="BB31" s="151">
        <f>IF(CF_currency="€",BB29/BB19,BB29)</f>
        <v/>
      </c>
    </row>
    <row r="32" ht="15" customHeight="1">
      <c r="G32" s="5" t="n"/>
      <c r="O32" s="16" t="n"/>
      <c r="P32" s="16" t="n"/>
      <c r="Q32" s="16" t="n"/>
      <c r="R32" s="16" t="n"/>
      <c r="S32" s="16" t="n"/>
      <c r="T32" s="16" t="n"/>
      <c r="U32" s="16" t="n"/>
      <c r="V32" s="16" t="n"/>
      <c r="W32" s="16" t="n"/>
      <c r="X32" s="16" t="n"/>
      <c r="Y32" s="16" t="n"/>
      <c r="Z32" s="16" t="n"/>
      <c r="AA32" s="16" t="n"/>
      <c r="AB32" s="16" t="n"/>
      <c r="AC32" s="16" t="n"/>
      <c r="AD32" s="16" t="n"/>
      <c r="AE32" s="16" t="n"/>
      <c r="AF32" s="16" t="n"/>
      <c r="AG32" s="16" t="n"/>
      <c r="AH32" s="16" t="n"/>
      <c r="AI32" s="16" t="n"/>
      <c r="AJ32" s="16" t="n"/>
      <c r="AK32" s="16" t="n"/>
      <c r="AL32" s="16" t="n"/>
      <c r="AM32" s="16" t="n"/>
      <c r="AN32" s="16" t="n"/>
      <c r="AO32" s="16" t="n"/>
      <c r="AP32" s="16" t="n"/>
      <c r="AQ32" s="16" t="n"/>
      <c r="AR32" s="16" t="n"/>
      <c r="AS32" s="16" t="n"/>
      <c r="AT32" s="16" t="n"/>
      <c r="AU32" s="16" t="n"/>
      <c r="AV32" s="16" t="n"/>
      <c r="AW32" s="16" t="n"/>
      <c r="AX32" s="16" t="n"/>
      <c r="AY32" s="16" t="n"/>
      <c r="AZ32" s="16" t="n"/>
      <c r="BA32" s="16" t="n"/>
      <c r="BB32" s="16" t="n"/>
    </row>
    <row r="33" ht="15" customHeight="1">
      <c r="B33" s="75" t="inlineStr">
        <is>
          <t>End of sheet</t>
        </is>
      </c>
      <c r="C33" s="75" t="n"/>
      <c r="D33" s="75" t="n"/>
      <c r="E33" s="75" t="n"/>
      <c r="F33" s="75" t="n"/>
      <c r="G33" s="75" t="n"/>
      <c r="H33" s="75" t="n"/>
      <c r="I33" s="75" t="n"/>
      <c r="J33" s="75" t="n"/>
      <c r="K33" s="75" t="n"/>
      <c r="L33" s="75" t="n"/>
      <c r="M33" s="75" t="n"/>
      <c r="N33" s="75" t="n"/>
      <c r="O33" s="75" t="n"/>
      <c r="P33" s="75" t="n"/>
      <c r="Q33" s="75" t="n"/>
      <c r="R33" s="75" t="n"/>
      <c r="S33" s="75" t="n"/>
      <c r="T33" s="75" t="n"/>
      <c r="U33" s="75" t="n"/>
      <c r="V33" s="75" t="n"/>
      <c r="W33" s="75" t="n"/>
      <c r="X33" s="75" t="n"/>
      <c r="Y33" s="75" t="n"/>
      <c r="Z33" s="75" t="n"/>
      <c r="AA33" s="75" t="n"/>
      <c r="AB33" s="75" t="n"/>
      <c r="AC33" s="75" t="n"/>
      <c r="AD33" s="75" t="n"/>
      <c r="AE33" s="75" t="n"/>
      <c r="AF33" s="75" t="n"/>
      <c r="AG33" s="75" t="n"/>
      <c r="AH33" s="75" t="n"/>
      <c r="AI33" s="75" t="n"/>
      <c r="AJ33" s="75" t="n"/>
      <c r="AK33" s="75" t="n"/>
      <c r="AL33" s="75" t="n"/>
      <c r="AM33" s="75" t="n"/>
      <c r="AN33" s="75" t="n"/>
      <c r="AO33" s="75" t="n"/>
      <c r="AP33" s="75" t="n"/>
      <c r="AQ33" s="75" t="n"/>
      <c r="AR33" s="75" t="n"/>
      <c r="AS33" s="75" t="n"/>
      <c r="AT33" s="75" t="n"/>
      <c r="AU33" s="75" t="n"/>
      <c r="AV33" s="75" t="n"/>
      <c r="AW33" s="75" t="n"/>
      <c r="AX33" s="75" t="n"/>
      <c r="AY33" s="75" t="n"/>
      <c r="AZ33" s="75" t="n"/>
      <c r="BA33" s="75" t="n"/>
      <c r="BB33" s="75" t="n"/>
    </row>
    <row r="34" ht="15" customHeight="1"/>
  </sheetData>
  <pageMargins left="0.2362204724409449" right="0.2362204724409449" top="0.7480314960629921" bottom="0.7480314960629921" header="0.3149606299212598" footer="0.3149606299212598"/>
  <pageSetup orientation="landscape" paperSize="8" scale="43" fitToHeight="0"/>
</worksheet>
</file>

<file path=xl/worksheets/sheet6.xml><?xml version="1.0" encoding="utf-8"?>
<worksheet xmlns="http://schemas.openxmlformats.org/spreadsheetml/2006/main">
  <sheetPr codeName="Sheet14">
    <tabColor theme="7" tint="0.5999938962981048"/>
    <outlinePr summaryBelow="1" summaryRight="1"/>
    <pageSetUpPr fitToPage="1"/>
  </sheetPr>
  <dimension ref="A1:BC39"/>
  <sheetViews>
    <sheetView zoomScaleNormal="100" workbookViewId="0">
      <pane xSplit="10" ySplit="5" topLeftCell="K9" activePane="bottomRight" state="frozen"/>
      <selection pane="topRight" activeCell="A1" sqref="A1"/>
      <selection pane="bottomLeft" activeCell="A1" sqref="A1"/>
      <selection pane="bottomRight" activeCell="I27" sqref="I27"/>
    </sheetView>
  </sheetViews>
  <sheetFormatPr baseColWidth="10" defaultColWidth="0" defaultRowHeight="15" customHeight="1" zeroHeight="1"/>
  <cols>
    <col width="2.59765625" customWidth="1" style="21" min="1" max="4"/>
    <col width="50.59765625" customWidth="1" style="21" min="5" max="5"/>
    <col width="1.59765625" customWidth="1" style="21" min="6" max="6"/>
    <col width="15.59765625" customWidth="1" style="21" min="7" max="7"/>
    <col width="12" customWidth="1" style="21" min="8" max="8"/>
    <col width="13.59765625" customWidth="1" style="21" min="9" max="9"/>
    <col width="1.59765625" customWidth="1" style="21" min="10" max="14"/>
    <col width="10.59765625" customWidth="1" style="21" min="15" max="54"/>
    <col width="2.59765625" customWidth="1" style="21" min="55" max="55"/>
    <col hidden="1" width="13" customWidth="1" style="21" min="56" max="57"/>
    <col hidden="1" width="9" customWidth="1" style="21" min="58" max="58"/>
    <col hidden="1" width="9" customWidth="1" style="21" min="59" max="16384"/>
  </cols>
  <sheetData>
    <row r="1" ht="14.5" customFormat="1" customHeight="1" s="10">
      <c r="A1" s="126" t="inlineStr">
        <is>
          <t>ORA Adjustment</t>
        </is>
      </c>
      <c r="H1" s="9" t="inlineStr">
        <is>
          <t>Licence</t>
        </is>
      </c>
      <c r="J1" s="61" t="n"/>
      <c r="K1" s="61" t="n"/>
      <c r="L1" s="61" t="n"/>
      <c r="M1" s="61" t="n"/>
      <c r="N1" s="61" t="n"/>
      <c r="O1" s="61" t="n"/>
      <c r="P1" s="61" t="n"/>
      <c r="Q1" s="61" t="n"/>
      <c r="R1" s="61" t="n"/>
      <c r="S1" s="61" t="n"/>
      <c r="T1" s="61" t="n"/>
      <c r="U1" s="61" t="n"/>
      <c r="V1" s="61" t="n"/>
      <c r="W1" s="61" t="n"/>
      <c r="X1" s="61" t="n"/>
      <c r="Y1" s="61" t="n"/>
      <c r="Z1" s="61" t="n"/>
      <c r="AA1" s="61" t="n"/>
      <c r="AB1" s="61" t="n"/>
      <c r="AC1" s="61" t="n"/>
      <c r="AD1" s="61" t="n"/>
      <c r="AE1" s="61" t="n"/>
      <c r="AF1" s="61" t="n"/>
      <c r="AG1" s="61" t="n"/>
      <c r="AH1" s="61" t="n"/>
      <c r="AI1" s="61" t="n"/>
      <c r="AJ1" s="61" t="n"/>
    </row>
    <row r="2" ht="15" customFormat="1" customHeight="1" s="10">
      <c r="E2" s="9" t="inlineStr">
        <is>
          <t>Parameter</t>
        </is>
      </c>
      <c r="F2" s="9" t="n"/>
      <c r="G2" s="9" t="inlineStr">
        <is>
          <t>Units</t>
        </is>
      </c>
      <c r="H2" s="9" t="inlineStr">
        <is>
          <t>Terminology</t>
        </is>
      </c>
      <c r="I2" s="13" t="inlineStr">
        <is>
          <t>Constant</t>
        </is>
      </c>
      <c r="O2" s="9" t="inlineStr">
        <is>
          <t>Annual values</t>
        </is>
      </c>
    </row>
    <row r="3" ht="15" customFormat="1" customHeight="1" s="10">
      <c r="E3" s="52" t="inlineStr">
        <is>
          <t>Year commencing</t>
        </is>
      </c>
      <c r="F3" s="9" t="n"/>
      <c r="G3" s="9" t="n"/>
      <c r="H3" s="9" t="n"/>
      <c r="I3" s="9" t="n"/>
      <c r="O3" s="62">
        <f>INDEX(Inputs!$O3:$BB3,MATCH('Costs &amp; Revenue'!O$5,Inputs!$O$5:$BB$5,0))</f>
        <v/>
      </c>
      <c r="P3" s="62">
        <f>INDEX(Inputs!$O3:$BB3,MATCH('Costs &amp; Revenue'!P$5,Inputs!$O$5:$BB$5,0))</f>
        <v/>
      </c>
      <c r="Q3" s="62">
        <f>INDEX(Inputs!$O3:$BB3,MATCH('Costs &amp; Revenue'!Q$5,Inputs!$O$5:$BB$5,0))</f>
        <v/>
      </c>
      <c r="R3" s="62">
        <f>INDEX(Inputs!$O3:$BB3,MATCH('Costs &amp; Revenue'!R$5,Inputs!$O$5:$BB$5,0))</f>
        <v/>
      </c>
      <c r="S3" s="62">
        <f>INDEX(Inputs!$O3:$BB3,MATCH('Costs &amp; Revenue'!S$5,Inputs!$O$5:$BB$5,0))</f>
        <v/>
      </c>
      <c r="T3" s="62">
        <f>INDEX(Inputs!$O3:$BB3,MATCH('Costs &amp; Revenue'!T$5,Inputs!$O$5:$BB$5,0))</f>
        <v/>
      </c>
      <c r="U3" s="62">
        <f>INDEX(Inputs!$O3:$BB3,MATCH('Costs &amp; Revenue'!U$5,Inputs!$O$5:$BB$5,0))</f>
        <v/>
      </c>
      <c r="V3" s="62">
        <f>INDEX(Inputs!$O3:$BB3,MATCH('Costs &amp; Revenue'!V$5,Inputs!$O$5:$BB$5,0))</f>
        <v/>
      </c>
      <c r="W3" s="62">
        <f>INDEX(Inputs!$O3:$BB3,MATCH('Costs &amp; Revenue'!W$5,Inputs!$O$5:$BB$5,0))</f>
        <v/>
      </c>
      <c r="X3" s="62">
        <f>INDEX(Inputs!$O3:$BB3,MATCH('Costs &amp; Revenue'!X$5,Inputs!$O$5:$BB$5,0))</f>
        <v/>
      </c>
      <c r="Y3" s="62">
        <f>INDEX(Inputs!$O3:$BB3,MATCH('Costs &amp; Revenue'!Y$5,Inputs!$O$5:$BB$5,0))</f>
        <v/>
      </c>
      <c r="Z3" s="62">
        <f>INDEX(Inputs!$O3:$BB3,MATCH('Costs &amp; Revenue'!Z$5,Inputs!$O$5:$BB$5,0))</f>
        <v/>
      </c>
      <c r="AA3" s="62">
        <f>INDEX(Inputs!$O3:$BB3,MATCH('Costs &amp; Revenue'!AA$5,Inputs!$O$5:$BB$5,0))</f>
        <v/>
      </c>
      <c r="AB3" s="62">
        <f>INDEX(Inputs!$O3:$BB3,MATCH('Costs &amp; Revenue'!AB$5,Inputs!$O$5:$BB$5,0))</f>
        <v/>
      </c>
      <c r="AC3" s="62">
        <f>INDEX(Inputs!$O3:$BB3,MATCH('Costs &amp; Revenue'!AC$5,Inputs!$O$5:$BB$5,0))</f>
        <v/>
      </c>
      <c r="AD3" s="62">
        <f>INDEX(Inputs!$O3:$BB3,MATCH('Costs &amp; Revenue'!AD$5,Inputs!$O$5:$BB$5,0))</f>
        <v/>
      </c>
      <c r="AE3" s="62">
        <f>INDEX(Inputs!$O3:$BB3,MATCH('Costs &amp; Revenue'!AE$5,Inputs!$O$5:$BB$5,0))</f>
        <v/>
      </c>
      <c r="AF3" s="62">
        <f>INDEX(Inputs!$O3:$BB3,MATCH('Costs &amp; Revenue'!AF$5,Inputs!$O$5:$BB$5,0))</f>
        <v/>
      </c>
      <c r="AG3" s="62">
        <f>INDEX(Inputs!$O3:$BB3,MATCH('Costs &amp; Revenue'!AG$5,Inputs!$O$5:$BB$5,0))</f>
        <v/>
      </c>
      <c r="AH3" s="62">
        <f>INDEX(Inputs!$O3:$BB3,MATCH('Costs &amp; Revenue'!AH$5,Inputs!$O$5:$BB$5,0))</f>
        <v/>
      </c>
      <c r="AI3" s="62">
        <f>INDEX(Inputs!$O3:$BB3,MATCH('Costs &amp; Revenue'!AI$5,Inputs!$O$5:$BB$5,0))</f>
        <v/>
      </c>
      <c r="AJ3" s="62">
        <f>INDEX(Inputs!$O3:$BB3,MATCH('Costs &amp; Revenue'!AJ$5,Inputs!$O$5:$BB$5,0))</f>
        <v/>
      </c>
      <c r="AK3" s="62">
        <f>INDEX(Inputs!$O3:$BB3,MATCH('Costs &amp; Revenue'!AK$5,Inputs!$O$5:$BB$5,0))</f>
        <v/>
      </c>
      <c r="AL3" s="62">
        <f>INDEX(Inputs!$O3:$BB3,MATCH('Costs &amp; Revenue'!AL$5,Inputs!$O$5:$BB$5,0))</f>
        <v/>
      </c>
      <c r="AM3" s="62">
        <f>INDEX(Inputs!$O3:$BB3,MATCH('Costs &amp; Revenue'!AM$5,Inputs!$O$5:$BB$5,0))</f>
        <v/>
      </c>
      <c r="AN3" s="62">
        <f>INDEX(Inputs!$O3:$BB3,MATCH('Costs &amp; Revenue'!AN$5,Inputs!$O$5:$BB$5,0))</f>
        <v/>
      </c>
      <c r="AO3" s="62">
        <f>INDEX(Inputs!$O3:$BB3,MATCH('Costs &amp; Revenue'!AO$5,Inputs!$O$5:$BB$5,0))</f>
        <v/>
      </c>
      <c r="AP3" s="62">
        <f>INDEX(Inputs!$O3:$BB3,MATCH('Costs &amp; Revenue'!AP$5,Inputs!$O$5:$BB$5,0))</f>
        <v/>
      </c>
      <c r="AQ3" s="62">
        <f>INDEX(Inputs!$O3:$BB3,MATCH('Costs &amp; Revenue'!AQ$5,Inputs!$O$5:$BB$5,0))</f>
        <v/>
      </c>
      <c r="AR3" s="62">
        <f>INDEX(Inputs!$O3:$BB3,MATCH('Costs &amp; Revenue'!AR$5,Inputs!$O$5:$BB$5,0))</f>
        <v/>
      </c>
      <c r="AS3" s="62">
        <f>INDEX(Inputs!$O3:$BB3,MATCH('Costs &amp; Revenue'!AS$5,Inputs!$O$5:$BB$5,0))</f>
        <v/>
      </c>
      <c r="AT3" s="62">
        <f>INDEX(Inputs!$O3:$BB3,MATCH('Costs &amp; Revenue'!AT$5,Inputs!$O$5:$BB$5,0))</f>
        <v/>
      </c>
      <c r="AU3" s="62">
        <f>INDEX(Inputs!$O3:$BB3,MATCH('Costs &amp; Revenue'!AU$5,Inputs!$O$5:$BB$5,0))</f>
        <v/>
      </c>
      <c r="AV3" s="62">
        <f>INDEX(Inputs!$O3:$BB3,MATCH('Costs &amp; Revenue'!AV$5,Inputs!$O$5:$BB$5,0))</f>
        <v/>
      </c>
      <c r="AW3" s="62">
        <f>INDEX(Inputs!$O3:$BB3,MATCH('Costs &amp; Revenue'!AW$5,Inputs!$O$5:$BB$5,0))</f>
        <v/>
      </c>
      <c r="AX3" s="62">
        <f>INDEX(Inputs!$O3:$BB3,MATCH('Costs &amp; Revenue'!AX$5,Inputs!$O$5:$BB$5,0))</f>
        <v/>
      </c>
      <c r="AY3" s="62">
        <f>INDEX(Inputs!$O3:$BB3,MATCH('Costs &amp; Revenue'!AY$5,Inputs!$O$5:$BB$5,0))</f>
        <v/>
      </c>
      <c r="AZ3" s="62">
        <f>INDEX(Inputs!$O3:$BB3,MATCH('Costs &amp; Revenue'!AZ$5,Inputs!$O$5:$BB$5,0))</f>
        <v/>
      </c>
      <c r="BA3" s="62">
        <f>INDEX(Inputs!$O3:$BB3,MATCH('Costs &amp; Revenue'!BA$5,Inputs!$O$5:$BB$5,0))</f>
        <v/>
      </c>
      <c r="BB3" s="62">
        <f>INDEX(Inputs!$O3:$BB3,MATCH('Costs &amp; Revenue'!BB$5,Inputs!$O$5:$BB$5,0))</f>
        <v/>
      </c>
    </row>
    <row r="4" ht="15" customFormat="1" customHeight="1" s="52">
      <c r="E4" s="52" t="inlineStr">
        <is>
          <t>Year ending</t>
        </is>
      </c>
      <c r="O4" s="62">
        <f>INDEX(Inputs!$O4:$BB4,MATCH('Costs &amp; Revenue'!O$5,Inputs!$O$5:$BB$5,0))</f>
        <v/>
      </c>
      <c r="P4" s="62">
        <f>INDEX(Inputs!$O4:$BB4,MATCH('Costs &amp; Revenue'!P$5,Inputs!$O$5:$BB$5,0))</f>
        <v/>
      </c>
      <c r="Q4" s="62">
        <f>INDEX(Inputs!$O4:$BB4,MATCH('Costs &amp; Revenue'!Q$5,Inputs!$O$5:$BB$5,0))</f>
        <v/>
      </c>
      <c r="R4" s="62">
        <f>INDEX(Inputs!$O4:$BB4,MATCH('Costs &amp; Revenue'!R$5,Inputs!$O$5:$BB$5,0))</f>
        <v/>
      </c>
      <c r="S4" s="62">
        <f>INDEX(Inputs!$O4:$BB4,MATCH('Costs &amp; Revenue'!S$5,Inputs!$O$5:$BB$5,0))</f>
        <v/>
      </c>
      <c r="T4" s="62">
        <f>INDEX(Inputs!$O4:$BB4,MATCH('Costs &amp; Revenue'!T$5,Inputs!$O$5:$BB$5,0))</f>
        <v/>
      </c>
      <c r="U4" s="62">
        <f>INDEX(Inputs!$O4:$BB4,MATCH('Costs &amp; Revenue'!U$5,Inputs!$O$5:$BB$5,0))</f>
        <v/>
      </c>
      <c r="V4" s="62">
        <f>INDEX(Inputs!$O4:$BB4,MATCH('Costs &amp; Revenue'!V$5,Inputs!$O$5:$BB$5,0))</f>
        <v/>
      </c>
      <c r="W4" s="62">
        <f>INDEX(Inputs!$O4:$BB4,MATCH('Costs &amp; Revenue'!W$5,Inputs!$O$5:$BB$5,0))</f>
        <v/>
      </c>
      <c r="X4" s="62">
        <f>INDEX(Inputs!$O4:$BB4,MATCH('Costs &amp; Revenue'!X$5,Inputs!$O$5:$BB$5,0))</f>
        <v/>
      </c>
      <c r="Y4" s="62">
        <f>INDEX(Inputs!$O4:$BB4,MATCH('Costs &amp; Revenue'!Y$5,Inputs!$O$5:$BB$5,0))</f>
        <v/>
      </c>
      <c r="Z4" s="62">
        <f>INDEX(Inputs!$O4:$BB4,MATCH('Costs &amp; Revenue'!Z$5,Inputs!$O$5:$BB$5,0))</f>
        <v/>
      </c>
      <c r="AA4" s="62">
        <f>INDEX(Inputs!$O4:$BB4,MATCH('Costs &amp; Revenue'!AA$5,Inputs!$O$5:$BB$5,0))</f>
        <v/>
      </c>
      <c r="AB4" s="62">
        <f>INDEX(Inputs!$O4:$BB4,MATCH('Costs &amp; Revenue'!AB$5,Inputs!$O$5:$BB$5,0))</f>
        <v/>
      </c>
      <c r="AC4" s="62">
        <f>INDEX(Inputs!$O4:$BB4,MATCH('Costs &amp; Revenue'!AC$5,Inputs!$O$5:$BB$5,0))</f>
        <v/>
      </c>
      <c r="AD4" s="62">
        <f>INDEX(Inputs!$O4:$BB4,MATCH('Costs &amp; Revenue'!AD$5,Inputs!$O$5:$BB$5,0))</f>
        <v/>
      </c>
      <c r="AE4" s="62">
        <f>INDEX(Inputs!$O4:$BB4,MATCH('Costs &amp; Revenue'!AE$5,Inputs!$O$5:$BB$5,0))</f>
        <v/>
      </c>
      <c r="AF4" s="62">
        <f>INDEX(Inputs!$O4:$BB4,MATCH('Costs &amp; Revenue'!AF$5,Inputs!$O$5:$BB$5,0))</f>
        <v/>
      </c>
      <c r="AG4" s="62">
        <f>INDEX(Inputs!$O4:$BB4,MATCH('Costs &amp; Revenue'!AG$5,Inputs!$O$5:$BB$5,0))</f>
        <v/>
      </c>
      <c r="AH4" s="62">
        <f>INDEX(Inputs!$O4:$BB4,MATCH('Costs &amp; Revenue'!AH$5,Inputs!$O$5:$BB$5,0))</f>
        <v/>
      </c>
      <c r="AI4" s="62">
        <f>INDEX(Inputs!$O4:$BB4,MATCH('Costs &amp; Revenue'!AI$5,Inputs!$O$5:$BB$5,0))</f>
        <v/>
      </c>
      <c r="AJ4" s="62">
        <f>INDEX(Inputs!$O4:$BB4,MATCH('Costs &amp; Revenue'!AJ$5,Inputs!$O$5:$BB$5,0))</f>
        <v/>
      </c>
      <c r="AK4" s="62">
        <f>INDEX(Inputs!$O4:$BB4,MATCH('Costs &amp; Revenue'!AK$5,Inputs!$O$5:$BB$5,0))</f>
        <v/>
      </c>
      <c r="AL4" s="62">
        <f>INDEX(Inputs!$O4:$BB4,MATCH('Costs &amp; Revenue'!AL$5,Inputs!$O$5:$BB$5,0))</f>
        <v/>
      </c>
      <c r="AM4" s="62">
        <f>INDEX(Inputs!$O4:$BB4,MATCH('Costs &amp; Revenue'!AM$5,Inputs!$O$5:$BB$5,0))</f>
        <v/>
      </c>
      <c r="AN4" s="62">
        <f>INDEX(Inputs!$O4:$BB4,MATCH('Costs &amp; Revenue'!AN$5,Inputs!$O$5:$BB$5,0))</f>
        <v/>
      </c>
      <c r="AO4" s="62">
        <f>INDEX(Inputs!$O4:$BB4,MATCH('Costs &amp; Revenue'!AO$5,Inputs!$O$5:$BB$5,0))</f>
        <v/>
      </c>
      <c r="AP4" s="62">
        <f>INDEX(Inputs!$O4:$BB4,MATCH('Costs &amp; Revenue'!AP$5,Inputs!$O$5:$BB$5,0))</f>
        <v/>
      </c>
      <c r="AQ4" s="62">
        <f>INDEX(Inputs!$O4:$BB4,MATCH('Costs &amp; Revenue'!AQ$5,Inputs!$O$5:$BB$5,0))</f>
        <v/>
      </c>
      <c r="AR4" s="62">
        <f>INDEX(Inputs!$O4:$BB4,MATCH('Costs &amp; Revenue'!AR$5,Inputs!$O$5:$BB$5,0))</f>
        <v/>
      </c>
      <c r="AS4" s="62">
        <f>INDEX(Inputs!$O4:$BB4,MATCH('Costs &amp; Revenue'!AS$5,Inputs!$O$5:$BB$5,0))</f>
        <v/>
      </c>
      <c r="AT4" s="62">
        <f>INDEX(Inputs!$O4:$BB4,MATCH('Costs &amp; Revenue'!AT$5,Inputs!$O$5:$BB$5,0))</f>
        <v/>
      </c>
      <c r="AU4" s="62">
        <f>INDEX(Inputs!$O4:$BB4,MATCH('Costs &amp; Revenue'!AU$5,Inputs!$O$5:$BB$5,0))</f>
        <v/>
      </c>
      <c r="AV4" s="62">
        <f>INDEX(Inputs!$O4:$BB4,MATCH('Costs &amp; Revenue'!AV$5,Inputs!$O$5:$BB$5,0))</f>
        <v/>
      </c>
      <c r="AW4" s="62">
        <f>INDEX(Inputs!$O4:$BB4,MATCH('Costs &amp; Revenue'!AW$5,Inputs!$O$5:$BB$5,0))</f>
        <v/>
      </c>
      <c r="AX4" s="62">
        <f>INDEX(Inputs!$O4:$BB4,MATCH('Costs &amp; Revenue'!AX$5,Inputs!$O$5:$BB$5,0))</f>
        <v/>
      </c>
      <c r="AY4" s="62">
        <f>INDEX(Inputs!$O4:$BB4,MATCH('Costs &amp; Revenue'!AY$5,Inputs!$O$5:$BB$5,0))</f>
        <v/>
      </c>
      <c r="AZ4" s="62">
        <f>INDEX(Inputs!$O4:$BB4,MATCH('Costs &amp; Revenue'!AZ$5,Inputs!$O$5:$BB$5,0))</f>
        <v/>
      </c>
      <c r="BA4" s="62">
        <f>INDEX(Inputs!$O4:$BB4,MATCH('Costs &amp; Revenue'!BA$5,Inputs!$O$5:$BB$5,0))</f>
        <v/>
      </c>
      <c r="BB4" s="62">
        <f>INDEX(Inputs!$O4:$BB4,MATCH('Costs &amp; Revenue'!BB$5,Inputs!$O$5:$BB$5,0))</f>
        <v/>
      </c>
      <c r="BC4" s="62" t="n"/>
    </row>
    <row r="5" ht="15" customFormat="1" customHeight="1" s="52">
      <c r="E5" s="52" t="inlineStr">
        <is>
          <t>Operational year</t>
        </is>
      </c>
      <c r="O5" s="11">
        <f>Inputs!O5</f>
        <v/>
      </c>
      <c r="P5" s="11">
        <f>Inputs!P5</f>
        <v/>
      </c>
      <c r="Q5" s="11">
        <f>Inputs!Q5</f>
        <v/>
      </c>
      <c r="R5" s="11">
        <f>Inputs!R5</f>
        <v/>
      </c>
      <c r="S5" s="11">
        <f>Inputs!S5</f>
        <v/>
      </c>
      <c r="T5" s="11">
        <f>Inputs!T5</f>
        <v/>
      </c>
      <c r="U5" s="11">
        <f>Inputs!U5</f>
        <v/>
      </c>
      <c r="V5" s="11">
        <f>Inputs!V5</f>
        <v/>
      </c>
      <c r="W5" s="11">
        <f>Inputs!W5</f>
        <v/>
      </c>
      <c r="X5" s="11">
        <f>Inputs!X5</f>
        <v/>
      </c>
      <c r="Y5" s="11">
        <f>Inputs!Y5</f>
        <v/>
      </c>
      <c r="Z5" s="11">
        <f>Inputs!Z5</f>
        <v/>
      </c>
      <c r="AA5" s="11">
        <f>Inputs!AA5</f>
        <v/>
      </c>
      <c r="AB5" s="11">
        <f>Inputs!AB5</f>
        <v/>
      </c>
      <c r="AC5" s="11">
        <f>Inputs!AC5</f>
        <v/>
      </c>
      <c r="AD5" s="11">
        <f>Inputs!AD5</f>
        <v/>
      </c>
      <c r="AE5" s="11">
        <f>Inputs!AE5</f>
        <v/>
      </c>
      <c r="AF5" s="11">
        <f>Inputs!AF5</f>
        <v/>
      </c>
      <c r="AG5" s="11">
        <f>Inputs!AG5</f>
        <v/>
      </c>
      <c r="AH5" s="11">
        <f>Inputs!AH5</f>
        <v/>
      </c>
      <c r="AI5" s="11">
        <f>Inputs!AI5</f>
        <v/>
      </c>
      <c r="AJ5" s="11">
        <f>Inputs!AJ5</f>
        <v/>
      </c>
      <c r="AK5" s="11">
        <f>Inputs!AK5</f>
        <v/>
      </c>
      <c r="AL5" s="11">
        <f>Inputs!AL5</f>
        <v/>
      </c>
      <c r="AM5" s="11">
        <f>Inputs!AM5</f>
        <v/>
      </c>
      <c r="AN5" s="11">
        <f>Inputs!AN5</f>
        <v/>
      </c>
      <c r="AO5" s="11">
        <f>Inputs!AO5</f>
        <v/>
      </c>
      <c r="AP5" s="11">
        <f>Inputs!AP5</f>
        <v/>
      </c>
      <c r="AQ5" s="11">
        <f>Inputs!AQ5</f>
        <v/>
      </c>
      <c r="AR5" s="11">
        <f>Inputs!AR5</f>
        <v/>
      </c>
      <c r="AS5" s="11">
        <f>Inputs!AS5</f>
        <v/>
      </c>
      <c r="AT5" s="11">
        <f>Inputs!AT5</f>
        <v/>
      </c>
      <c r="AU5" s="11">
        <f>Inputs!AU5</f>
        <v/>
      </c>
      <c r="AV5" s="11">
        <f>Inputs!AV5</f>
        <v/>
      </c>
      <c r="AW5" s="11">
        <f>Inputs!AW5</f>
        <v/>
      </c>
      <c r="AX5" s="11">
        <f>Inputs!AX5</f>
        <v/>
      </c>
      <c r="AY5" s="11">
        <f>Inputs!AY5</f>
        <v/>
      </c>
      <c r="AZ5" s="11">
        <f>Inputs!AZ5</f>
        <v/>
      </c>
      <c r="BA5" s="11">
        <f>Inputs!BA5</f>
        <v/>
      </c>
      <c r="BB5" s="11">
        <f>Inputs!BB5</f>
        <v/>
      </c>
      <c r="BC5" s="62" t="n"/>
    </row>
    <row r="6" ht="15" customHeight="1"/>
    <row r="7" ht="15" customFormat="1" customHeight="1" s="4">
      <c r="B7" s="8" t="inlineStr">
        <is>
          <t>Controllable Opex</t>
        </is>
      </c>
      <c r="C7" s="8" t="n"/>
      <c r="D7" s="8" t="n"/>
      <c r="E7" s="8" t="n"/>
      <c r="F7" s="8" t="n"/>
      <c r="G7" s="8" t="n"/>
      <c r="H7" s="8" t="n"/>
      <c r="I7" s="8" t="n"/>
      <c r="J7" s="8" t="n"/>
      <c r="K7" s="8" t="n"/>
      <c r="L7" s="8" t="n"/>
      <c r="M7" s="8" t="n"/>
      <c r="N7" s="8" t="n"/>
      <c r="O7" s="8" t="n"/>
      <c r="P7" s="8" t="n"/>
      <c r="Q7" s="8" t="n"/>
      <c r="R7" s="8" t="n"/>
      <c r="S7" s="8" t="n"/>
      <c r="T7" s="8" t="n"/>
      <c r="U7" s="8" t="n"/>
      <c r="V7" s="8" t="n"/>
      <c r="W7" s="8" t="n"/>
      <c r="X7" s="8" t="n"/>
      <c r="Y7" s="8" t="n"/>
      <c r="Z7" s="8" t="n"/>
      <c r="AA7" s="8" t="n"/>
      <c r="AB7" s="8" t="n"/>
      <c r="AC7" s="8" t="n"/>
      <c r="AD7" s="8" t="n"/>
      <c r="AE7" s="8" t="n"/>
      <c r="AF7" s="8" t="n"/>
      <c r="AG7" s="8" t="n"/>
      <c r="AH7" s="8" t="n"/>
      <c r="AI7" s="8" t="n"/>
      <c r="AJ7" s="8" t="n"/>
      <c r="AK7" s="8" t="n"/>
      <c r="AL7" s="8" t="n"/>
      <c r="AM7" s="8" t="n"/>
      <c r="AN7" s="8" t="n"/>
      <c r="AO7" s="8" t="n"/>
      <c r="AP7" s="8" t="n"/>
      <c r="AQ7" s="8" t="n"/>
      <c r="AR7" s="8" t="n"/>
      <c r="AS7" s="8" t="n"/>
      <c r="AT7" s="8" t="n"/>
      <c r="AU7" s="8" t="n"/>
      <c r="AV7" s="8" t="n"/>
      <c r="AW7" s="8" t="n"/>
      <c r="AX7" s="8" t="n"/>
      <c r="AY7" s="8" t="n"/>
      <c r="AZ7" s="8" t="n"/>
      <c r="BA7" s="8" t="n"/>
      <c r="BB7" s="8" t="n"/>
    </row>
    <row r="8" ht="15" customHeight="1"/>
    <row r="9" ht="15" customFormat="1" customHeight="1" s="63">
      <c r="C9" s="40" t="inlineStr">
        <is>
          <t>Original controllable Opex allowance from PCR stage</t>
        </is>
      </c>
      <c r="D9" s="40" t="n"/>
      <c r="E9" s="40" t="n"/>
      <c r="F9" s="40" t="n"/>
      <c r="G9" s="40" t="n"/>
      <c r="H9" s="40" t="n"/>
      <c r="I9" s="40" t="n"/>
      <c r="J9" s="40" t="n"/>
      <c r="K9" s="40" t="n"/>
      <c r="L9" s="40" t="n"/>
      <c r="M9" s="40" t="n"/>
      <c r="N9" s="40" t="n"/>
      <c r="O9" s="40" t="n"/>
      <c r="P9" s="40" t="n"/>
      <c r="Q9" s="40" t="n"/>
      <c r="R9" s="40" t="n"/>
      <c r="S9" s="40" t="n"/>
      <c r="T9" s="40" t="n"/>
      <c r="U9" s="40" t="n"/>
      <c r="V9" s="40" t="n"/>
      <c r="W9" s="40" t="n"/>
      <c r="X9" s="40" t="n"/>
      <c r="Y9" s="40" t="n"/>
      <c r="Z9" s="40" t="n"/>
      <c r="AA9" s="40" t="n"/>
      <c r="AB9" s="40" t="n"/>
      <c r="AC9" s="40" t="n"/>
      <c r="AD9" s="40" t="n"/>
      <c r="AE9" s="40" t="n"/>
      <c r="AF9" s="40" t="n"/>
      <c r="AG9" s="40" t="n"/>
      <c r="AH9" s="40" t="n"/>
      <c r="AI9" s="40" t="n"/>
      <c r="AJ9" s="40" t="n"/>
      <c r="AK9" s="40" t="n"/>
      <c r="AL9" s="40" t="n"/>
      <c r="AM9" s="40" t="n"/>
      <c r="AN9" s="40" t="n"/>
      <c r="AO9" s="40" t="n"/>
      <c r="AP9" s="40" t="n"/>
      <c r="AQ9" s="40" t="n"/>
      <c r="AR9" s="40" t="n"/>
      <c r="AS9" s="40" t="n"/>
      <c r="AT9" s="40" t="n"/>
      <c r="AU9" s="40" t="n"/>
      <c r="AV9" s="40" t="n"/>
      <c r="AW9" s="40" t="n"/>
      <c r="AX9" s="40" t="n"/>
      <c r="AY9" s="40" t="n"/>
      <c r="AZ9" s="40" t="n"/>
      <c r="BA9" s="40" t="n"/>
      <c r="BB9" s="40" t="n"/>
    </row>
    <row r="10" ht="15" customHeight="1">
      <c r="O10" s="16" t="n"/>
      <c r="P10" s="16" t="n"/>
      <c r="Q10" s="16" t="n"/>
      <c r="R10" s="16" t="n"/>
      <c r="S10" s="16" t="n"/>
      <c r="T10" s="16" t="n"/>
      <c r="U10" s="16" t="n"/>
      <c r="V10" s="16" t="n"/>
      <c r="W10" s="16" t="n"/>
      <c r="X10" s="16" t="n"/>
      <c r="Y10" s="16" t="n"/>
      <c r="Z10" s="16" t="n"/>
      <c r="AA10" s="16" t="n"/>
      <c r="AB10" s="16" t="n"/>
      <c r="AC10" s="16" t="n"/>
      <c r="AD10" s="16" t="n"/>
      <c r="AE10" s="16" t="n"/>
      <c r="AF10" s="16" t="n"/>
      <c r="AG10" s="16" t="n"/>
      <c r="AH10" s="16" t="n"/>
      <c r="AI10" s="16" t="n"/>
      <c r="AJ10" s="16" t="n"/>
      <c r="AK10" s="16" t="n"/>
      <c r="AL10" s="16" t="n"/>
      <c r="AM10" s="16" t="n"/>
      <c r="AN10" s="16" t="n"/>
      <c r="AO10" s="16" t="n"/>
      <c r="AP10" s="16" t="n"/>
      <c r="AQ10" s="16" t="n"/>
      <c r="AR10" s="16" t="n"/>
      <c r="AS10" s="16" t="n"/>
      <c r="AT10" s="16" t="n"/>
      <c r="AU10" s="16" t="n"/>
      <c r="AV10" s="16" t="n"/>
      <c r="AW10" s="16" t="n"/>
      <c r="AX10" s="16" t="n"/>
      <c r="AY10" s="16" t="n"/>
      <c r="AZ10" s="16" t="n"/>
      <c r="BA10" s="16" t="n"/>
      <c r="BB10" s="16" t="n"/>
    </row>
    <row r="11" ht="15" customHeight="1">
      <c r="E11" s="21" t="inlineStr">
        <is>
          <t>Controllable Opex (baseline)</t>
        </is>
      </c>
      <c r="G11" s="5">
        <f>base_year</f>
        <v/>
      </c>
      <c r="O11" s="93" t="n"/>
      <c r="P11" s="84">
        <f>INDEX(Inputs!$P$35:$BB$35,MATCH('Costs &amp; Revenue'!P$5,Inputs!$P$5:$BB$5,0))</f>
        <v/>
      </c>
      <c r="Q11" s="84">
        <f>INDEX(Inputs!$P$35:$BB$35,MATCH('Costs &amp; Revenue'!Q$5,Inputs!$P$5:$BB$5,0))</f>
        <v/>
      </c>
      <c r="R11" s="84">
        <f>INDEX(Inputs!$P$35:$BB$35,MATCH('Costs &amp; Revenue'!R$5,Inputs!$P$5:$BB$5,0))</f>
        <v/>
      </c>
      <c r="S11" s="84">
        <f>INDEX(Inputs!$P$35:$BB$35,MATCH('Costs &amp; Revenue'!S$5,Inputs!$P$5:$BB$5,0))</f>
        <v/>
      </c>
      <c r="T11" s="84">
        <f>INDEX(Inputs!$P$35:$BB$35,MATCH('Costs &amp; Revenue'!T$5,Inputs!$P$5:$BB$5,0))</f>
        <v/>
      </c>
      <c r="U11" s="84">
        <f>INDEX(Inputs!$P$35:$BB$35,MATCH('Costs &amp; Revenue'!U$5,Inputs!$P$5:$BB$5,0))</f>
        <v/>
      </c>
      <c r="V11" s="84">
        <f>INDEX(Inputs!$P$35:$BB$35,MATCH('Costs &amp; Revenue'!V$5,Inputs!$P$5:$BB$5,0))</f>
        <v/>
      </c>
      <c r="W11" s="84">
        <f>INDEX(Inputs!$P$35:$BB$35,MATCH('Costs &amp; Revenue'!W$5,Inputs!$P$5:$BB$5,0))</f>
        <v/>
      </c>
      <c r="X11" s="84">
        <f>INDEX(Inputs!$P$35:$BB$35,MATCH('Costs &amp; Revenue'!X$5,Inputs!$P$5:$BB$5,0))</f>
        <v/>
      </c>
      <c r="Y11" s="84">
        <f>INDEX(Inputs!$P$35:$BB$35,MATCH('Costs &amp; Revenue'!Y$5,Inputs!$P$5:$BB$5,0))</f>
        <v/>
      </c>
      <c r="Z11" s="84">
        <f>INDEX(Inputs!$P$35:$BB$35,MATCH('Costs &amp; Revenue'!Z$5,Inputs!$P$5:$BB$5,0))</f>
        <v/>
      </c>
      <c r="AA11" s="84">
        <f>INDEX(Inputs!$P$35:$BB$35,MATCH('Costs &amp; Revenue'!AA$5,Inputs!$P$5:$BB$5,0))</f>
        <v/>
      </c>
      <c r="AB11" s="84">
        <f>INDEX(Inputs!$P$35:$BB$35,MATCH('Costs &amp; Revenue'!AB$5,Inputs!$P$5:$BB$5,0))</f>
        <v/>
      </c>
      <c r="AC11" s="84">
        <f>INDEX(Inputs!$P$35:$BB$35,MATCH('Costs &amp; Revenue'!AC$5,Inputs!$P$5:$BB$5,0))</f>
        <v/>
      </c>
      <c r="AD11" s="84">
        <f>INDEX(Inputs!$P$35:$BB$35,MATCH('Costs &amp; Revenue'!AD$5,Inputs!$P$5:$BB$5,0))</f>
        <v/>
      </c>
      <c r="AE11" s="84">
        <f>INDEX(Inputs!$P$35:$BB$35,MATCH('Costs &amp; Revenue'!AE$5,Inputs!$P$5:$BB$5,0))</f>
        <v/>
      </c>
      <c r="AF11" s="84">
        <f>INDEX(Inputs!$P$35:$BB$35,MATCH('Costs &amp; Revenue'!AF$5,Inputs!$P$5:$BB$5,0))</f>
        <v/>
      </c>
      <c r="AG11" s="84">
        <f>INDEX(Inputs!$P$35:$BB$35,MATCH('Costs &amp; Revenue'!AG$5,Inputs!$P$5:$BB$5,0))</f>
        <v/>
      </c>
      <c r="AH11" s="84">
        <f>INDEX(Inputs!$P$35:$BB$35,MATCH('Costs &amp; Revenue'!AH$5,Inputs!$P$5:$BB$5,0))</f>
        <v/>
      </c>
      <c r="AI11" s="84">
        <f>INDEX(Inputs!$P$35:$BB$35,MATCH('Costs &amp; Revenue'!AI$5,Inputs!$P$5:$BB$5,0))</f>
        <v/>
      </c>
      <c r="AJ11" s="84">
        <f>INDEX(Inputs!$P$35:$BB$35,MATCH('Costs &amp; Revenue'!AJ$5,Inputs!$P$5:$BB$5,0))</f>
        <v/>
      </c>
      <c r="AK11" s="84">
        <f>INDEX(Inputs!$P$35:$BB$35,MATCH('Costs &amp; Revenue'!AK$5,Inputs!$P$5:$BB$5,0))</f>
        <v/>
      </c>
      <c r="AL11" s="84">
        <f>INDEX(Inputs!$P$35:$BB$35,MATCH('Costs &amp; Revenue'!AL$5,Inputs!$P$5:$BB$5,0))</f>
        <v/>
      </c>
      <c r="AM11" s="84">
        <f>INDEX(Inputs!$P$35:$BB$35,MATCH('Costs &amp; Revenue'!AM$5,Inputs!$P$5:$BB$5,0))</f>
        <v/>
      </c>
      <c r="AN11" s="84">
        <f>INDEX(Inputs!$P$35:$BB$35,MATCH('Costs &amp; Revenue'!AN$5,Inputs!$P$5:$BB$5,0))</f>
        <v/>
      </c>
      <c r="AO11" s="84">
        <f>INDEX(Inputs!$P$35:$BB$35,MATCH('Costs &amp; Revenue'!AO$5,Inputs!$P$5:$BB$5,0))</f>
        <v/>
      </c>
      <c r="AP11" s="84">
        <f>INDEX(Inputs!$P$35:$BB$35,MATCH('Costs &amp; Revenue'!AP$5,Inputs!$P$5:$BB$5,0))</f>
        <v/>
      </c>
      <c r="AQ11" s="84">
        <f>INDEX(Inputs!$P$35:$BB$35,MATCH('Costs &amp; Revenue'!AQ$5,Inputs!$P$5:$BB$5,0))</f>
        <v/>
      </c>
      <c r="AR11" s="84">
        <f>INDEX(Inputs!$P$35:$BB$35,MATCH('Costs &amp; Revenue'!AR$5,Inputs!$P$5:$BB$5,0))</f>
        <v/>
      </c>
      <c r="AS11" s="84">
        <f>INDEX(Inputs!$P$35:$BB$35,MATCH('Costs &amp; Revenue'!AS$5,Inputs!$P$5:$BB$5,0))</f>
        <v/>
      </c>
      <c r="AT11" s="84">
        <f>INDEX(Inputs!$P$35:$BB$35,MATCH('Costs &amp; Revenue'!AT$5,Inputs!$P$5:$BB$5,0))</f>
        <v/>
      </c>
      <c r="AU11" s="84">
        <f>INDEX(Inputs!$P$35:$BB$35,MATCH('Costs &amp; Revenue'!AU$5,Inputs!$P$5:$BB$5,0))</f>
        <v/>
      </c>
      <c r="AV11" s="84">
        <f>INDEX(Inputs!$P$35:$BB$35,MATCH('Costs &amp; Revenue'!AV$5,Inputs!$P$5:$BB$5,0))</f>
        <v/>
      </c>
      <c r="AW11" s="84">
        <f>INDEX(Inputs!$P$35:$BB$35,MATCH('Costs &amp; Revenue'!AW$5,Inputs!$P$5:$BB$5,0))</f>
        <v/>
      </c>
      <c r="AX11" s="84">
        <f>INDEX(Inputs!$P$35:$BB$35,MATCH('Costs &amp; Revenue'!AX$5,Inputs!$P$5:$BB$5,0))</f>
        <v/>
      </c>
      <c r="AY11" s="84">
        <f>INDEX(Inputs!$P$35:$BB$35,MATCH('Costs &amp; Revenue'!AY$5,Inputs!$P$5:$BB$5,0))</f>
        <v/>
      </c>
      <c r="AZ11" s="84">
        <f>INDEX(Inputs!$P$35:$BB$35,MATCH('Costs &amp; Revenue'!AZ$5,Inputs!$P$5:$BB$5,0))</f>
        <v/>
      </c>
      <c r="BA11" s="84">
        <f>INDEX(Inputs!$P$35:$BB$35,MATCH('Costs &amp; Revenue'!BA$5,Inputs!$P$5:$BB$5,0))</f>
        <v/>
      </c>
      <c r="BB11" s="84">
        <f>INDEX(Inputs!$P$35:$BB$35,MATCH('Costs &amp; Revenue'!BB$5,Inputs!$P$5:$BB$5,0))</f>
        <v/>
      </c>
    </row>
    <row r="12" ht="15" customHeight="1">
      <c r="O12" s="37" t="n"/>
      <c r="P12" s="37" t="n"/>
      <c r="Q12" s="37" t="n"/>
      <c r="R12" s="37" t="n"/>
      <c r="S12" s="37" t="n"/>
      <c r="T12" s="37" t="n"/>
      <c r="U12" s="37" t="n"/>
      <c r="V12" s="37" t="n"/>
      <c r="W12" s="37" t="n"/>
      <c r="X12" s="37" t="n"/>
      <c r="Y12" s="37" t="n"/>
      <c r="Z12" s="37" t="n"/>
      <c r="AA12" s="37" t="n"/>
      <c r="AB12" s="37" t="n"/>
      <c r="AC12" s="37" t="n"/>
      <c r="AD12" s="37" t="n"/>
      <c r="AE12" s="37" t="n"/>
      <c r="AF12" s="37" t="n"/>
      <c r="AG12" s="37" t="n"/>
      <c r="AH12" s="37" t="n"/>
      <c r="AI12" s="37" t="n"/>
      <c r="AJ12" s="37" t="n"/>
      <c r="AK12" s="37" t="n"/>
      <c r="AL12" s="37" t="n"/>
      <c r="AM12" s="37" t="n"/>
      <c r="AN12" s="37" t="n"/>
      <c r="AO12" s="37" t="n"/>
      <c r="AP12" s="37" t="n"/>
      <c r="AQ12" s="37" t="n"/>
      <c r="AR12" s="37" t="n"/>
      <c r="AS12" s="37" t="n"/>
      <c r="AT12" s="37" t="n"/>
      <c r="AU12" s="37" t="n"/>
      <c r="AV12" s="37" t="n"/>
      <c r="AW12" s="37" t="n"/>
      <c r="AX12" s="37" t="n"/>
      <c r="AY12" s="37" t="n"/>
      <c r="AZ12" s="37" t="n"/>
      <c r="BA12" s="37" t="n"/>
      <c r="BB12" s="37" t="n"/>
    </row>
    <row r="13" ht="15" customFormat="1" customHeight="1" s="63">
      <c r="C13" s="40" t="inlineStr">
        <is>
          <t>Revised controllable Opex allowance from ORA submission</t>
        </is>
      </c>
      <c r="D13" s="40" t="n"/>
      <c r="E13" s="40" t="n"/>
      <c r="F13" s="40" t="n"/>
      <c r="G13" s="40" t="n"/>
      <c r="H13" s="40" t="n"/>
      <c r="I13" s="40" t="n"/>
      <c r="J13" s="40" t="n"/>
      <c r="K13" s="40" t="n"/>
      <c r="L13" s="40" t="n"/>
      <c r="M13" s="40" t="n"/>
      <c r="N13" s="40" t="n"/>
      <c r="O13" s="94" t="n"/>
      <c r="P13" s="94" t="n"/>
      <c r="Q13" s="94" t="n"/>
      <c r="R13" s="94" t="n"/>
      <c r="S13" s="94" t="n"/>
      <c r="T13" s="94" t="n"/>
      <c r="U13" s="94" t="n"/>
      <c r="V13" s="94" t="n"/>
      <c r="W13" s="94" t="n"/>
      <c r="X13" s="94" t="n"/>
      <c r="Y13" s="94" t="n"/>
      <c r="Z13" s="94" t="n"/>
      <c r="AA13" s="94" t="n"/>
      <c r="AB13" s="94" t="n"/>
      <c r="AC13" s="94" t="n"/>
      <c r="AD13" s="94" t="n"/>
      <c r="AE13" s="94" t="n"/>
      <c r="AF13" s="94" t="n"/>
      <c r="AG13" s="94" t="n"/>
      <c r="AH13" s="94" t="n"/>
      <c r="AI13" s="94" t="n"/>
      <c r="AJ13" s="94" t="n"/>
      <c r="AK13" s="94" t="n"/>
      <c r="AL13" s="94" t="n"/>
      <c r="AM13" s="94" t="n"/>
      <c r="AN13" s="94" t="n"/>
      <c r="AO13" s="94" t="n"/>
      <c r="AP13" s="94" t="n"/>
      <c r="AQ13" s="94" t="n"/>
      <c r="AR13" s="94" t="n"/>
      <c r="AS13" s="94" t="n"/>
      <c r="AT13" s="94" t="n"/>
      <c r="AU13" s="94" t="n"/>
      <c r="AV13" s="94" t="n"/>
      <c r="AW13" s="94" t="n"/>
      <c r="AX13" s="94" t="n"/>
      <c r="AY13" s="94" t="n"/>
      <c r="AZ13" s="94" t="n"/>
      <c r="BA13" s="94" t="n"/>
      <c r="BB13" s="94" t="n"/>
    </row>
    <row r="14" ht="15" customHeight="1">
      <c r="O14" s="37" t="n"/>
      <c r="P14" s="37" t="n"/>
      <c r="Q14" s="37" t="n"/>
      <c r="R14" s="37" t="n"/>
      <c r="S14" s="37" t="n"/>
      <c r="T14" s="37" t="n"/>
      <c r="U14" s="37" t="n"/>
      <c r="V14" s="37" t="n"/>
      <c r="W14" s="37" t="n"/>
      <c r="X14" s="37" t="n"/>
      <c r="Y14" s="37" t="n"/>
      <c r="Z14" s="37" t="n"/>
      <c r="AA14" s="37" t="n"/>
      <c r="AB14" s="37" t="n"/>
      <c r="AC14" s="37" t="n"/>
      <c r="AD14" s="37" t="n"/>
      <c r="AE14" s="37" t="n"/>
      <c r="AF14" s="37" t="n"/>
      <c r="AG14" s="37" t="n"/>
      <c r="AH14" s="37" t="n"/>
      <c r="AI14" s="37" t="n"/>
      <c r="AJ14" s="37" t="n"/>
      <c r="AK14" s="37" t="n"/>
      <c r="AL14" s="37" t="n"/>
      <c r="AM14" s="37" t="n"/>
      <c r="AN14" s="37" t="n"/>
      <c r="AO14" s="37" t="n"/>
      <c r="AP14" s="37" t="n"/>
      <c r="AQ14" s="37" t="n"/>
      <c r="AR14" s="37" t="n"/>
      <c r="AS14" s="37" t="n"/>
      <c r="AT14" s="37" t="n"/>
      <c r="AU14" s="37" t="n"/>
      <c r="AV14" s="37" t="n"/>
      <c r="AW14" s="37" t="n"/>
      <c r="AX14" s="37" t="n"/>
      <c r="AY14" s="37" t="n"/>
      <c r="AZ14" s="37" t="n"/>
      <c r="BA14" s="37" t="n"/>
      <c r="BB14" s="37" t="n"/>
    </row>
    <row r="15" ht="15" customHeight="1">
      <c r="E15" s="21" t="inlineStr">
        <is>
          <t>Controllable Opex (ORA submission)</t>
        </is>
      </c>
      <c r="G15" s="5">
        <f>base_year</f>
        <v/>
      </c>
      <c r="O15" s="93" t="n"/>
      <c r="P15" s="84">
        <f>INDEX(Inputs!$P$164:$BB$164,MATCH('Costs &amp; Revenue'!P$5,Inputs!$P$5:$BB$5,0))</f>
        <v/>
      </c>
      <c r="Q15" s="84">
        <f>INDEX(Inputs!$P$164:$BB$164,MATCH('Costs &amp; Revenue'!Q$5,Inputs!$P$5:$BB$5,0))</f>
        <v/>
      </c>
      <c r="R15" s="84">
        <f>INDEX(Inputs!$P$164:$BB$164,MATCH('Costs &amp; Revenue'!R$5,Inputs!$P$5:$BB$5,0))</f>
        <v/>
      </c>
      <c r="S15" s="84">
        <f>INDEX(Inputs!$P$164:$BB$164,MATCH('Costs &amp; Revenue'!S$5,Inputs!$P$5:$BB$5,0))</f>
        <v/>
      </c>
      <c r="T15" s="84">
        <f>INDEX(Inputs!$P$164:$BB$164,MATCH('Costs &amp; Revenue'!T$5,Inputs!$P$5:$BB$5,0))</f>
        <v/>
      </c>
      <c r="U15" s="84">
        <f>INDEX(Inputs!$P$164:$BB$164,MATCH('Costs &amp; Revenue'!U$5,Inputs!$P$5:$BB$5,0))</f>
        <v/>
      </c>
      <c r="V15" s="84">
        <f>INDEX(Inputs!$P$164:$BB$164,MATCH('Costs &amp; Revenue'!V$5,Inputs!$P$5:$BB$5,0))</f>
        <v/>
      </c>
      <c r="W15" s="84">
        <f>INDEX(Inputs!$P$164:$BB$164,MATCH('Costs &amp; Revenue'!W$5,Inputs!$P$5:$BB$5,0))</f>
        <v/>
      </c>
      <c r="X15" s="84">
        <f>INDEX(Inputs!$P$164:$BB$164,MATCH('Costs &amp; Revenue'!X$5,Inputs!$P$5:$BB$5,0))</f>
        <v/>
      </c>
      <c r="Y15" s="84">
        <f>INDEX(Inputs!$P$164:$BB$164,MATCH('Costs &amp; Revenue'!Y$5,Inputs!$P$5:$BB$5,0))</f>
        <v/>
      </c>
      <c r="Z15" s="84">
        <f>INDEX(Inputs!$P$164:$BB$164,MATCH('Costs &amp; Revenue'!Z$5,Inputs!$P$5:$BB$5,0))</f>
        <v/>
      </c>
      <c r="AA15" s="84">
        <f>INDEX(Inputs!$P$164:$BB$164,MATCH('Costs &amp; Revenue'!AA$5,Inputs!$P$5:$BB$5,0))</f>
        <v/>
      </c>
      <c r="AB15" s="84">
        <f>INDEX(Inputs!$P$164:$BB$164,MATCH('Costs &amp; Revenue'!AB$5,Inputs!$P$5:$BB$5,0))</f>
        <v/>
      </c>
      <c r="AC15" s="84">
        <f>INDEX(Inputs!$P$164:$BB$164,MATCH('Costs &amp; Revenue'!AC$5,Inputs!$P$5:$BB$5,0))</f>
        <v/>
      </c>
      <c r="AD15" s="84">
        <f>INDEX(Inputs!$P$164:$BB$164,MATCH('Costs &amp; Revenue'!AD$5,Inputs!$P$5:$BB$5,0))</f>
        <v/>
      </c>
      <c r="AE15" s="84">
        <f>INDEX(Inputs!$P$164:$BB$164,MATCH('Costs &amp; Revenue'!AE$5,Inputs!$P$5:$BB$5,0))</f>
        <v/>
      </c>
      <c r="AF15" s="84">
        <f>INDEX(Inputs!$P$164:$BB$164,MATCH('Costs &amp; Revenue'!AF$5,Inputs!$P$5:$BB$5,0))</f>
        <v/>
      </c>
      <c r="AG15" s="84">
        <f>INDEX(Inputs!$P$164:$BB$164,MATCH('Costs &amp; Revenue'!AG$5,Inputs!$P$5:$BB$5,0))</f>
        <v/>
      </c>
      <c r="AH15" s="84">
        <f>INDEX(Inputs!$P$164:$BB$164,MATCH('Costs &amp; Revenue'!AH$5,Inputs!$P$5:$BB$5,0))</f>
        <v/>
      </c>
      <c r="AI15" s="84">
        <f>INDEX(Inputs!$P$164:$BB$164,MATCH('Costs &amp; Revenue'!AI$5,Inputs!$P$5:$BB$5,0))</f>
        <v/>
      </c>
      <c r="AJ15" s="84">
        <f>INDEX(Inputs!$P$164:$BB$164,MATCH('Costs &amp; Revenue'!AJ$5,Inputs!$P$5:$BB$5,0))</f>
        <v/>
      </c>
      <c r="AK15" s="84">
        <f>INDEX(Inputs!$P$164:$BB$164,MATCH('Costs &amp; Revenue'!AK$5,Inputs!$P$5:$BB$5,0))</f>
        <v/>
      </c>
      <c r="AL15" s="84">
        <f>INDEX(Inputs!$P$164:$BB$164,MATCH('Costs &amp; Revenue'!AL$5,Inputs!$P$5:$BB$5,0))</f>
        <v/>
      </c>
      <c r="AM15" s="84">
        <f>INDEX(Inputs!$P$164:$BB$164,MATCH('Costs &amp; Revenue'!AM$5,Inputs!$P$5:$BB$5,0))</f>
        <v/>
      </c>
      <c r="AN15" s="84">
        <f>INDEX(Inputs!$P$164:$BB$164,MATCH('Costs &amp; Revenue'!AN$5,Inputs!$P$5:$BB$5,0))</f>
        <v/>
      </c>
      <c r="AO15" s="84">
        <f>INDEX(Inputs!$P$164:$BB$164,MATCH('Costs &amp; Revenue'!AO$5,Inputs!$P$5:$BB$5,0))</f>
        <v/>
      </c>
      <c r="AP15" s="84">
        <f>INDEX(Inputs!$P$164:$BB$164,MATCH('Costs &amp; Revenue'!AP$5,Inputs!$P$5:$BB$5,0))</f>
        <v/>
      </c>
      <c r="AQ15" s="84">
        <f>INDEX(Inputs!$P$164:$BB$164,MATCH('Costs &amp; Revenue'!AQ$5,Inputs!$P$5:$BB$5,0))</f>
        <v/>
      </c>
      <c r="AR15" s="84">
        <f>INDEX(Inputs!$P$164:$BB$164,MATCH('Costs &amp; Revenue'!AR$5,Inputs!$P$5:$BB$5,0))</f>
        <v/>
      </c>
      <c r="AS15" s="84">
        <f>INDEX(Inputs!$P$164:$BB$164,MATCH('Costs &amp; Revenue'!AS$5,Inputs!$P$5:$BB$5,0))</f>
        <v/>
      </c>
      <c r="AT15" s="84">
        <f>INDEX(Inputs!$P$164:$BB$164,MATCH('Costs &amp; Revenue'!AT$5,Inputs!$P$5:$BB$5,0))</f>
        <v/>
      </c>
      <c r="AU15" s="84">
        <f>INDEX(Inputs!$P$164:$BB$164,MATCH('Costs &amp; Revenue'!AU$5,Inputs!$P$5:$BB$5,0))</f>
        <v/>
      </c>
      <c r="AV15" s="84">
        <f>INDEX(Inputs!$P$164:$BB$164,MATCH('Costs &amp; Revenue'!AV$5,Inputs!$P$5:$BB$5,0))</f>
        <v/>
      </c>
      <c r="AW15" s="84">
        <f>INDEX(Inputs!$P$164:$BB$164,MATCH('Costs &amp; Revenue'!AW$5,Inputs!$P$5:$BB$5,0))</f>
        <v/>
      </c>
      <c r="AX15" s="84">
        <f>INDEX(Inputs!$P$164:$BB$164,MATCH('Costs &amp; Revenue'!AX$5,Inputs!$P$5:$BB$5,0))</f>
        <v/>
      </c>
      <c r="AY15" s="84">
        <f>INDEX(Inputs!$P$164:$BB$164,MATCH('Costs &amp; Revenue'!AY$5,Inputs!$P$5:$BB$5,0))</f>
        <v/>
      </c>
      <c r="AZ15" s="84">
        <f>INDEX(Inputs!$P$164:$BB$164,MATCH('Costs &amp; Revenue'!AZ$5,Inputs!$P$5:$BB$5,0))</f>
        <v/>
      </c>
      <c r="BA15" s="84">
        <f>INDEX(Inputs!$P$164:$BB$164,MATCH('Costs &amp; Revenue'!BA$5,Inputs!$P$5:$BB$5,0))</f>
        <v/>
      </c>
      <c r="BB15" s="84">
        <f>INDEX(Inputs!$P$164:$BB$164,MATCH('Costs &amp; Revenue'!BB$5,Inputs!$P$5:$BB$5,0))</f>
        <v/>
      </c>
    </row>
    <row r="16" ht="15" customHeight="1">
      <c r="O16" s="37" t="n"/>
      <c r="P16" s="37" t="n"/>
      <c r="Q16" s="37" t="n"/>
      <c r="R16" s="37" t="n"/>
      <c r="S16" s="37" t="n"/>
      <c r="T16" s="37" t="n"/>
      <c r="U16" s="37" t="n"/>
      <c r="V16" s="37" t="n"/>
      <c r="W16" s="37" t="n"/>
      <c r="X16" s="37" t="n"/>
      <c r="Y16" s="37" t="n"/>
      <c r="Z16" s="37" t="n"/>
      <c r="AA16" s="37" t="n"/>
      <c r="AB16" s="37" t="n"/>
      <c r="AC16" s="37" t="n"/>
      <c r="AD16" s="37" t="n"/>
      <c r="AE16" s="37" t="n"/>
      <c r="AF16" s="37" t="n"/>
      <c r="AG16" s="37" t="n"/>
      <c r="AH16" s="37" t="n"/>
      <c r="AI16" s="37" t="n"/>
      <c r="AJ16" s="37" t="n"/>
      <c r="AK16" s="37" t="n"/>
      <c r="AL16" s="37" t="n"/>
      <c r="AM16" s="37" t="n"/>
      <c r="AN16" s="37" t="n"/>
      <c r="AO16" s="37" t="n"/>
      <c r="AP16" s="37" t="n"/>
      <c r="AQ16" s="37" t="n"/>
      <c r="AR16" s="37" t="n"/>
      <c r="AS16" s="37" t="n"/>
      <c r="AT16" s="37" t="n"/>
      <c r="AU16" s="37" t="n"/>
      <c r="AV16" s="37" t="n"/>
      <c r="AW16" s="37" t="n"/>
      <c r="AX16" s="37" t="n"/>
      <c r="AY16" s="37" t="n"/>
      <c r="AZ16" s="37" t="n"/>
      <c r="BA16" s="37" t="n"/>
      <c r="BB16" s="37" t="n"/>
    </row>
    <row r="17" ht="15" customFormat="1" customHeight="1" s="63">
      <c r="C17" s="40" t="inlineStr">
        <is>
          <t>NPV comparisons</t>
        </is>
      </c>
      <c r="D17" s="40" t="n"/>
      <c r="E17" s="40" t="n"/>
      <c r="F17" s="40" t="n"/>
      <c r="G17" s="40" t="n"/>
      <c r="H17" s="40" t="n"/>
      <c r="I17" s="40" t="n"/>
      <c r="J17" s="40" t="n"/>
      <c r="K17" s="40" t="n"/>
      <c r="L17" s="40" t="n"/>
      <c r="M17" s="40" t="n"/>
      <c r="N17" s="40" t="n"/>
      <c r="O17" s="94" t="n"/>
      <c r="P17" s="94" t="n"/>
      <c r="Q17" s="94" t="n"/>
      <c r="R17" s="94" t="n"/>
      <c r="S17" s="94" t="n"/>
      <c r="T17" s="94" t="n"/>
      <c r="U17" s="94" t="n"/>
      <c r="V17" s="94" t="n"/>
      <c r="W17" s="94" t="n"/>
      <c r="X17" s="94" t="n"/>
      <c r="Y17" s="94" t="n"/>
      <c r="Z17" s="94" t="n"/>
      <c r="AA17" s="94" t="n"/>
      <c r="AB17" s="94" t="n"/>
      <c r="AC17" s="94" t="n"/>
      <c r="AD17" s="94" t="n"/>
      <c r="AE17" s="94" t="n"/>
      <c r="AF17" s="94" t="n"/>
      <c r="AG17" s="94" t="n"/>
      <c r="AH17" s="94" t="n"/>
      <c r="AI17" s="94" t="n"/>
      <c r="AJ17" s="94" t="n"/>
      <c r="AK17" s="94" t="n"/>
      <c r="AL17" s="94" t="n"/>
      <c r="AM17" s="94" t="n"/>
      <c r="AN17" s="94" t="n"/>
      <c r="AO17" s="94" t="n"/>
      <c r="AP17" s="94" t="n"/>
      <c r="AQ17" s="94" t="n"/>
      <c r="AR17" s="94" t="n"/>
      <c r="AS17" s="94" t="n"/>
      <c r="AT17" s="94" t="n"/>
      <c r="AU17" s="94" t="n"/>
      <c r="AV17" s="94" t="n"/>
      <c r="AW17" s="94" t="n"/>
      <c r="AX17" s="94" t="n"/>
      <c r="AY17" s="94" t="n"/>
      <c r="AZ17" s="94" t="n"/>
      <c r="BA17" s="94" t="n"/>
      <c r="BB17" s="94" t="n"/>
    </row>
    <row r="18" ht="15" customHeight="1">
      <c r="O18" s="37" t="n"/>
      <c r="P18" s="37" t="n"/>
      <c r="Q18" s="37" t="n"/>
      <c r="R18" s="37" t="n"/>
      <c r="S18" s="37" t="n"/>
      <c r="T18" s="37" t="n"/>
      <c r="U18" s="37" t="n"/>
      <c r="V18" s="37" t="n"/>
      <c r="W18" s="37" t="n"/>
      <c r="X18" s="37" t="n"/>
      <c r="Y18" s="37" t="n"/>
      <c r="Z18" s="37" t="n"/>
      <c r="AA18" s="37" t="n"/>
      <c r="AB18" s="37" t="n"/>
      <c r="AC18" s="37" t="n"/>
      <c r="AD18" s="37" t="n"/>
      <c r="AE18" s="37" t="n"/>
      <c r="AF18" s="37" t="n"/>
      <c r="AG18" s="37" t="n"/>
      <c r="AH18" s="37" t="n"/>
      <c r="AI18" s="37" t="n"/>
      <c r="AJ18" s="37" t="n"/>
      <c r="AK18" s="37" t="n"/>
      <c r="AL18" s="37" t="n"/>
      <c r="AM18" s="37" t="n"/>
      <c r="AN18" s="37" t="n"/>
      <c r="AO18" s="37" t="n"/>
      <c r="AP18" s="37" t="n"/>
      <c r="AQ18" s="37" t="n"/>
      <c r="AR18" s="37" t="n"/>
      <c r="AS18" s="37" t="n"/>
      <c r="AT18" s="37" t="n"/>
      <c r="AU18" s="37" t="n"/>
      <c r="AV18" s="37" t="n"/>
      <c r="AW18" s="37" t="n"/>
      <c r="AX18" s="37" t="n"/>
      <c r="AY18" s="37" t="n"/>
      <c r="AZ18" s="37" t="n"/>
      <c r="BA18" s="37" t="n"/>
      <c r="BB18" s="37" t="n"/>
    </row>
    <row r="19" ht="15" customHeight="1">
      <c r="E19" s="21">
        <f>Inputs!E161</f>
        <v/>
      </c>
      <c r="G19" s="21" t="inlineStr">
        <is>
          <t>flag</t>
        </is>
      </c>
      <c r="O19" s="93" t="n"/>
      <c r="P19" s="84">
        <f>INDEX(Inputs!$P$161:$BB$161,MATCH('Costs &amp; Revenue'!P$5,Inputs!$P$5:$BB$5,0))</f>
        <v/>
      </c>
      <c r="Q19" s="84">
        <f>INDEX(Inputs!$P$161:$BB$161,MATCH('Costs &amp; Revenue'!Q$5,Inputs!$P$5:$BB$5,0))</f>
        <v/>
      </c>
      <c r="R19" s="84">
        <f>INDEX(Inputs!$P$161:$BB$161,MATCH('Costs &amp; Revenue'!R$5,Inputs!$P$5:$BB$5,0))</f>
        <v/>
      </c>
      <c r="S19" s="84">
        <f>INDEX(Inputs!$P$161:$BB$161,MATCH('Costs &amp; Revenue'!S$5,Inputs!$P$5:$BB$5,0))</f>
        <v/>
      </c>
      <c r="T19" s="84">
        <f>INDEX(Inputs!$P$161:$BB$161,MATCH('Costs &amp; Revenue'!T$5,Inputs!$P$5:$BB$5,0))</f>
        <v/>
      </c>
      <c r="U19" s="84">
        <f>INDEX(Inputs!$P$161:$BB$161,MATCH('Costs &amp; Revenue'!U$5,Inputs!$P$5:$BB$5,0))</f>
        <v/>
      </c>
      <c r="V19" s="84">
        <f>INDEX(Inputs!$P$161:$BB$161,MATCH('Costs &amp; Revenue'!V$5,Inputs!$P$5:$BB$5,0))</f>
        <v/>
      </c>
      <c r="W19" s="84">
        <f>INDEX(Inputs!$P$161:$BB$161,MATCH('Costs &amp; Revenue'!W$5,Inputs!$P$5:$BB$5,0))</f>
        <v/>
      </c>
      <c r="X19" s="84">
        <f>INDEX(Inputs!$P$161:$BB$161,MATCH('Costs &amp; Revenue'!X$5,Inputs!$P$5:$BB$5,0))</f>
        <v/>
      </c>
      <c r="Y19" s="84">
        <f>INDEX(Inputs!$P$161:$BB$161,MATCH('Costs &amp; Revenue'!Y$5,Inputs!$P$5:$BB$5,0))</f>
        <v/>
      </c>
      <c r="Z19" s="84">
        <f>INDEX(Inputs!$P$161:$BB$161,MATCH('Costs &amp; Revenue'!Z$5,Inputs!$P$5:$BB$5,0))</f>
        <v/>
      </c>
      <c r="AA19" s="84">
        <f>INDEX(Inputs!$P$161:$BB$161,MATCH('Costs &amp; Revenue'!AA$5,Inputs!$P$5:$BB$5,0))</f>
        <v/>
      </c>
      <c r="AB19" s="84">
        <f>INDEX(Inputs!$P$161:$BB$161,MATCH('Costs &amp; Revenue'!AB$5,Inputs!$P$5:$BB$5,0))</f>
        <v/>
      </c>
      <c r="AC19" s="84">
        <f>INDEX(Inputs!$P$161:$BB$161,MATCH('Costs &amp; Revenue'!AC$5,Inputs!$P$5:$BB$5,0))</f>
        <v/>
      </c>
      <c r="AD19" s="84">
        <f>INDEX(Inputs!$P$161:$BB$161,MATCH('Costs &amp; Revenue'!AD$5,Inputs!$P$5:$BB$5,0))</f>
        <v/>
      </c>
      <c r="AE19" s="84">
        <f>INDEX(Inputs!$P$161:$BB$161,MATCH('Costs &amp; Revenue'!AE$5,Inputs!$P$5:$BB$5,0))</f>
        <v/>
      </c>
      <c r="AF19" s="84">
        <f>INDEX(Inputs!$P$161:$BB$161,MATCH('Costs &amp; Revenue'!AF$5,Inputs!$P$5:$BB$5,0))</f>
        <v/>
      </c>
      <c r="AG19" s="84">
        <f>INDEX(Inputs!$P$161:$BB$161,MATCH('Costs &amp; Revenue'!AG$5,Inputs!$P$5:$BB$5,0))</f>
        <v/>
      </c>
      <c r="AH19" s="84">
        <f>INDEX(Inputs!$P$161:$BB$161,MATCH('Costs &amp; Revenue'!AH$5,Inputs!$P$5:$BB$5,0))</f>
        <v/>
      </c>
      <c r="AI19" s="84">
        <f>INDEX(Inputs!$P$161:$BB$161,MATCH('Costs &amp; Revenue'!AI$5,Inputs!$P$5:$BB$5,0))</f>
        <v/>
      </c>
      <c r="AJ19" s="84">
        <f>INDEX(Inputs!$P$161:$BB$161,MATCH('Costs &amp; Revenue'!AJ$5,Inputs!$P$5:$BB$5,0))</f>
        <v/>
      </c>
      <c r="AK19" s="84">
        <f>INDEX(Inputs!$P$161:$BB$161,MATCH('Costs &amp; Revenue'!AK$5,Inputs!$P$5:$BB$5,0))</f>
        <v/>
      </c>
      <c r="AL19" s="84">
        <f>INDEX(Inputs!$P$161:$BB$161,MATCH('Costs &amp; Revenue'!AL$5,Inputs!$P$5:$BB$5,0))</f>
        <v/>
      </c>
      <c r="AM19" s="84">
        <f>INDEX(Inputs!$P$161:$BB$161,MATCH('Costs &amp; Revenue'!AM$5,Inputs!$P$5:$BB$5,0))</f>
        <v/>
      </c>
      <c r="AN19" s="84">
        <f>INDEX(Inputs!$P$161:$BB$161,MATCH('Costs &amp; Revenue'!AN$5,Inputs!$P$5:$BB$5,0))</f>
        <v/>
      </c>
      <c r="AO19" s="84">
        <f>INDEX(Inputs!$P$161:$BB$161,MATCH('Costs &amp; Revenue'!AO$5,Inputs!$P$5:$BB$5,0))</f>
        <v/>
      </c>
      <c r="AP19" s="84">
        <f>INDEX(Inputs!$P$161:$BB$161,MATCH('Costs &amp; Revenue'!AP$5,Inputs!$P$5:$BB$5,0))</f>
        <v/>
      </c>
      <c r="AQ19" s="84">
        <f>INDEX(Inputs!$P$161:$BB$161,MATCH('Costs &amp; Revenue'!AQ$5,Inputs!$P$5:$BB$5,0))</f>
        <v/>
      </c>
      <c r="AR19" s="84">
        <f>INDEX(Inputs!$P$161:$BB$161,MATCH('Costs &amp; Revenue'!AR$5,Inputs!$P$5:$BB$5,0))</f>
        <v/>
      </c>
      <c r="AS19" s="84">
        <f>INDEX(Inputs!$P$161:$BB$161,MATCH('Costs &amp; Revenue'!AS$5,Inputs!$P$5:$BB$5,0))</f>
        <v/>
      </c>
      <c r="AT19" s="84">
        <f>INDEX(Inputs!$P$161:$BB$161,MATCH('Costs &amp; Revenue'!AT$5,Inputs!$P$5:$BB$5,0))</f>
        <v/>
      </c>
      <c r="AU19" s="84">
        <f>INDEX(Inputs!$P$161:$BB$161,MATCH('Costs &amp; Revenue'!AU$5,Inputs!$P$5:$BB$5,0))</f>
        <v/>
      </c>
      <c r="AV19" s="84">
        <f>INDEX(Inputs!$P$161:$BB$161,MATCH('Costs &amp; Revenue'!AV$5,Inputs!$P$5:$BB$5,0))</f>
        <v/>
      </c>
      <c r="AW19" s="84">
        <f>INDEX(Inputs!$P$161:$BB$161,MATCH('Costs &amp; Revenue'!AW$5,Inputs!$P$5:$BB$5,0))</f>
        <v/>
      </c>
      <c r="AX19" s="84">
        <f>INDEX(Inputs!$P$161:$BB$161,MATCH('Costs &amp; Revenue'!AX$5,Inputs!$P$5:$BB$5,0))</f>
        <v/>
      </c>
      <c r="AY19" s="84">
        <f>INDEX(Inputs!$P$161:$BB$161,MATCH('Costs &amp; Revenue'!AY$5,Inputs!$P$5:$BB$5,0))</f>
        <v/>
      </c>
      <c r="AZ19" s="84">
        <f>INDEX(Inputs!$P$161:$BB$161,MATCH('Costs &amp; Revenue'!AZ$5,Inputs!$P$5:$BB$5,0))</f>
        <v/>
      </c>
      <c r="BA19" s="84">
        <f>INDEX(Inputs!$P$161:$BB$161,MATCH('Costs &amp; Revenue'!BA$5,Inputs!$P$5:$BB$5,0))</f>
        <v/>
      </c>
      <c r="BB19" s="84">
        <f>INDEX(Inputs!$P$161:$BB$161,MATCH('Costs &amp; Revenue'!BB$5,Inputs!$P$5:$BB$5,0))</f>
        <v/>
      </c>
    </row>
    <row r="20" ht="15" customHeight="1">
      <c r="E20" s="21" t="inlineStr">
        <is>
          <t>Cap return rate</t>
        </is>
      </c>
      <c r="I20" s="87">
        <f>Inputs!I40</f>
        <v/>
      </c>
      <c r="O20" s="37" t="n"/>
      <c r="P20" s="37" t="n"/>
      <c r="Q20" s="37" t="n"/>
      <c r="R20" s="37" t="n"/>
      <c r="S20" s="37" t="n"/>
      <c r="T20" s="37" t="n"/>
      <c r="U20" s="37" t="n"/>
      <c r="V20" s="37" t="n"/>
      <c r="W20" s="37" t="n"/>
      <c r="X20" s="37" t="n"/>
      <c r="Y20" s="37" t="n"/>
      <c r="Z20" s="37" t="n"/>
      <c r="AA20" s="37" t="n"/>
      <c r="AB20" s="37" t="n"/>
      <c r="AC20" s="37" t="n"/>
      <c r="AD20" s="37" t="n"/>
      <c r="AE20" s="37" t="n"/>
      <c r="AF20" s="37" t="n"/>
      <c r="AG20" s="37" t="n"/>
      <c r="AH20" s="37" t="n"/>
      <c r="AI20" s="37" t="n"/>
      <c r="AJ20" s="37" t="n"/>
      <c r="AK20" s="37" t="n"/>
      <c r="AL20" s="37" t="n"/>
      <c r="AM20" s="37" t="n"/>
      <c r="AN20" s="37" t="n"/>
      <c r="AO20" s="37" t="n"/>
      <c r="AP20" s="37" t="n"/>
      <c r="AQ20" s="37" t="n"/>
      <c r="AR20" s="37" t="n"/>
      <c r="AS20" s="37" t="n"/>
      <c r="AT20" s="37" t="n"/>
      <c r="AU20" s="37" t="n"/>
      <c r="AV20" s="37" t="n"/>
      <c r="AW20" s="37" t="n"/>
      <c r="AX20" s="37" t="n"/>
      <c r="AY20" s="37" t="n"/>
      <c r="AZ20" s="37" t="n"/>
      <c r="BA20" s="37" t="n"/>
      <c r="BB20" s="37" t="n"/>
    </row>
    <row r="21" ht="15" customHeight="1">
      <c r="E21" s="21" t="inlineStr">
        <is>
          <t>Discount factor to start of operational period (cap)</t>
        </is>
      </c>
      <c r="G21" s="21" t="inlineStr">
        <is>
          <t>scalar</t>
        </is>
      </c>
      <c r="O21" s="37">
        <f>IF(O5&lt;=Inputs!$I$21,(1+$I20)^-O$5,0)</f>
        <v/>
      </c>
      <c r="P21" s="37">
        <f>IF(P5&lt;=Inputs!$I$21,(1+$I20)^-P$5,0)</f>
        <v/>
      </c>
      <c r="Q21" s="37">
        <f>IF(Q5&lt;=Inputs!$I$21,(1+$I20)^-Q$5,0)</f>
        <v/>
      </c>
      <c r="R21" s="37">
        <f>IF(R5&lt;=Inputs!$I$21,(1+$I20)^-R$5,0)</f>
        <v/>
      </c>
      <c r="S21" s="37">
        <f>IF(S5&lt;=Inputs!$I$21,(1+$I20)^-S$5,0)</f>
        <v/>
      </c>
      <c r="T21" s="37">
        <f>IF(T5&lt;=Inputs!$I$21,(1+$I20)^-T$5,0)</f>
        <v/>
      </c>
      <c r="U21" s="37">
        <f>IF(U5&lt;=Inputs!$I$21,(1+$I20)^-U$5,0)</f>
        <v/>
      </c>
      <c r="V21" s="37">
        <f>IF(V5&lt;=Inputs!$I$21,(1+$I20)^-V$5,0)</f>
        <v/>
      </c>
      <c r="W21" s="37">
        <f>IF(W5&lt;=Inputs!$I$21,(1+$I20)^-W$5,0)</f>
        <v/>
      </c>
      <c r="X21" s="37">
        <f>IF(X5&lt;=Inputs!$I$21,(1+$I20)^-X$5,0)</f>
        <v/>
      </c>
      <c r="Y21" s="37">
        <f>IF(Y5&lt;=Inputs!$I$21,(1+$I20)^-Y$5,0)</f>
        <v/>
      </c>
      <c r="Z21" s="37">
        <f>IF(Z5&lt;=Inputs!$I$21,(1+$I20)^-Z$5,0)</f>
        <v/>
      </c>
      <c r="AA21" s="37">
        <f>IF(AA5&lt;=Inputs!$I$21,(1+$I20)^-AA$5,0)</f>
        <v/>
      </c>
      <c r="AB21" s="37">
        <f>IF(AB5&lt;=Inputs!$I$21,(1+$I20)^-AB$5,0)</f>
        <v/>
      </c>
      <c r="AC21" s="37">
        <f>IF(AC5&lt;=Inputs!$I$21,(1+$I20)^-AC$5,0)</f>
        <v/>
      </c>
      <c r="AD21" s="37">
        <f>IF(AD5&lt;=Inputs!$I$21,(1+$I20)^-AD$5,0)</f>
        <v/>
      </c>
      <c r="AE21" s="37">
        <f>IF(AE5&lt;=Inputs!$I$21,(1+$I20)^-AE$5,0)</f>
        <v/>
      </c>
      <c r="AF21" s="37">
        <f>IF(AF5&lt;=Inputs!$I$21,(1+$I20)^-AF$5,0)</f>
        <v/>
      </c>
      <c r="AG21" s="37">
        <f>IF(AG5&lt;=Inputs!$I$21,(1+$I20)^-AG$5,0)</f>
        <v/>
      </c>
      <c r="AH21" s="37">
        <f>IF(AH5&lt;=Inputs!$I$21,(1+$I20)^-AH$5,0)</f>
        <v/>
      </c>
      <c r="AI21" s="37">
        <f>IF(AI5&lt;=Inputs!$I$21,(1+$I20)^-AI$5,0)</f>
        <v/>
      </c>
      <c r="AJ21" s="37">
        <f>IF(AJ5&lt;=Inputs!$I$21,(1+$I20)^-AJ$5,0)</f>
        <v/>
      </c>
      <c r="AK21" s="37">
        <f>IF(AK5&lt;=Inputs!$I$21,(1+$I20)^-AK$5,0)</f>
        <v/>
      </c>
      <c r="AL21" s="37">
        <f>IF(AL5&lt;=Inputs!$I$21,(1+$I20)^-AL$5,0)</f>
        <v/>
      </c>
      <c r="AM21" s="37">
        <f>IF(AM5&lt;=Inputs!$I$21,(1+$I20)^-AM$5,0)</f>
        <v/>
      </c>
      <c r="AN21" s="37">
        <f>IF(AN5&lt;=Inputs!$I$21,(1+$I20)^-AN$5,0)</f>
        <v/>
      </c>
      <c r="AO21" s="37">
        <f>IF(AO5&lt;=Inputs!$I$21,(1+$I20)^-AO$5,0)</f>
        <v/>
      </c>
      <c r="AP21" s="37">
        <f>IF(AP5&lt;=Inputs!$I$21,(1+$I20)^-AP$5,0)</f>
        <v/>
      </c>
      <c r="AQ21" s="37">
        <f>IF(AQ5&lt;=Inputs!$I$21,(1+$I20)^-AQ$5,0)</f>
        <v/>
      </c>
      <c r="AR21" s="37">
        <f>IF(AR5&lt;=Inputs!$I$21,(1+$I20)^-AR$5,0)</f>
        <v/>
      </c>
      <c r="AS21" s="37">
        <f>IF(AS5&lt;=Inputs!$I$21,(1+$I20)^-AS$5,0)</f>
        <v/>
      </c>
      <c r="AT21" s="37">
        <f>IF(AT5&lt;=Inputs!$I$21,(1+$I20)^-AT$5,0)</f>
        <v/>
      </c>
      <c r="AU21" s="37">
        <f>IF(AU5&lt;=Inputs!$I$21,(1+$I20)^-AU$5,0)</f>
        <v/>
      </c>
      <c r="AV21" s="37">
        <f>IF(AV5&lt;=Inputs!$I$21,(1+$I20)^-AV$5,0)</f>
        <v/>
      </c>
      <c r="AW21" s="37">
        <f>IF(AW5&lt;=Inputs!$I$21,(1+$I20)^-AW$5,0)</f>
        <v/>
      </c>
      <c r="AX21" s="37">
        <f>IF(AX5&lt;=Inputs!$I$21,(1+$I20)^-AX$5,0)</f>
        <v/>
      </c>
      <c r="AY21" s="37">
        <f>IF(AY5&lt;=Inputs!$I$21,(1+$I20)^-AY$5,0)</f>
        <v/>
      </c>
      <c r="AZ21" s="37">
        <f>IF(AZ5&lt;=Inputs!$I$21,(1+$I20)^-AZ$5,0)</f>
        <v/>
      </c>
      <c r="BA21" s="37">
        <f>IF(BA5&lt;=Inputs!$I$21,(1+$I20)^-BA$5,0)</f>
        <v/>
      </c>
      <c r="BB21" s="37">
        <f>IF(BB5&lt;=Inputs!$I$21,(1+$I20)^-BB$5,0)</f>
        <v/>
      </c>
    </row>
    <row r="22" ht="15" customHeight="1">
      <c r="O22" s="37" t="n"/>
      <c r="P22" s="37" t="n"/>
      <c r="Q22" s="37" t="n"/>
      <c r="R22" s="37" t="n"/>
      <c r="S22" s="37" t="n"/>
      <c r="T22" s="37" t="n"/>
      <c r="U22" s="37" t="n"/>
      <c r="V22" s="37" t="n"/>
      <c r="W22" s="37" t="n"/>
      <c r="X22" s="37" t="n"/>
      <c r="Y22" s="37" t="n"/>
      <c r="Z22" s="37" t="n"/>
      <c r="AA22" s="37" t="n"/>
      <c r="AB22" s="37" t="n"/>
      <c r="AC22" s="37" t="n"/>
      <c r="AD22" s="37" t="n"/>
      <c r="AE22" s="37" t="n"/>
      <c r="AF22" s="37" t="n"/>
      <c r="AG22" s="37" t="n"/>
      <c r="AH22" s="37" t="n"/>
      <c r="AI22" s="37" t="n"/>
      <c r="AJ22" s="37" t="n"/>
      <c r="AK22" s="37" t="n"/>
      <c r="AL22" s="37" t="n"/>
      <c r="AM22" s="37" t="n"/>
      <c r="AN22" s="37" t="n"/>
      <c r="AO22" s="37" t="n"/>
      <c r="AP22" s="37" t="n"/>
      <c r="AQ22" s="37" t="n"/>
      <c r="AR22" s="37" t="n"/>
      <c r="AS22" s="37" t="n"/>
      <c r="AT22" s="37" t="n"/>
      <c r="AU22" s="37" t="n"/>
      <c r="AV22" s="37" t="n"/>
      <c r="AW22" s="37" t="n"/>
      <c r="AX22" s="37" t="n"/>
      <c r="AY22" s="37" t="n"/>
      <c r="AZ22" s="37" t="n"/>
      <c r="BA22" s="37" t="n"/>
      <c r="BB22" s="37" t="n"/>
    </row>
    <row r="23" ht="15" customHeight="1">
      <c r="E23" s="21" t="inlineStr">
        <is>
          <t>NPV of original allowance</t>
        </is>
      </c>
      <c r="G23" s="5">
        <f>base_year</f>
        <v/>
      </c>
      <c r="I23" s="55">
        <f>SUMPRODUCT($O$21:$BB$21,O11:BB11,$O$19:$BB$19)</f>
        <v/>
      </c>
      <c r="O23" s="37" t="n"/>
      <c r="P23" s="37" t="n"/>
      <c r="Q23" s="37" t="n"/>
      <c r="R23" s="37" t="n"/>
      <c r="S23" s="37" t="n"/>
      <c r="T23" s="37" t="n"/>
      <c r="U23" s="37" t="n"/>
      <c r="V23" s="37" t="n"/>
      <c r="W23" s="37" t="n"/>
      <c r="X23" s="37" t="n"/>
      <c r="Y23" s="37" t="n"/>
      <c r="Z23" s="37" t="n"/>
      <c r="AA23" s="37" t="n"/>
      <c r="AB23" s="37" t="n"/>
      <c r="AC23" s="37" t="n"/>
      <c r="AD23" s="37" t="n"/>
      <c r="AE23" s="37" t="n"/>
      <c r="AF23" s="37" t="n"/>
      <c r="AG23" s="37" t="n"/>
      <c r="AH23" s="37" t="n"/>
      <c r="AI23" s="37" t="n"/>
      <c r="AJ23" s="37" t="n"/>
      <c r="AK23" s="37" t="n"/>
      <c r="AL23" s="37" t="n"/>
      <c r="AM23" s="37" t="n"/>
      <c r="AN23" s="37" t="n"/>
      <c r="AO23" s="37" t="n"/>
      <c r="AP23" s="37" t="n"/>
      <c r="AQ23" s="37" t="n"/>
      <c r="AR23" s="37" t="n"/>
      <c r="AS23" s="37" t="n"/>
      <c r="AT23" s="37" t="n"/>
      <c r="AU23" s="37" t="n"/>
      <c r="AV23" s="37" t="n"/>
      <c r="AW23" s="37" t="n"/>
      <c r="AX23" s="37" t="n"/>
      <c r="AY23" s="37" t="n"/>
      <c r="AZ23" s="37" t="n"/>
      <c r="BA23" s="37" t="n"/>
      <c r="BB23" s="37" t="n"/>
    </row>
    <row r="24" ht="15" customHeight="1">
      <c r="E24" s="21" t="inlineStr">
        <is>
          <t>NPV of revised allowance</t>
        </is>
      </c>
      <c r="G24" s="5">
        <f>base_year</f>
        <v/>
      </c>
      <c r="I24" s="55">
        <f>SUMPRODUCT($O$21:$BB$21,O15:BB15,$O$19:$BB$19)</f>
        <v/>
      </c>
      <c r="O24" s="37" t="n"/>
      <c r="P24" s="37" t="n"/>
      <c r="Q24" s="37" t="n"/>
      <c r="R24" s="37" t="n"/>
      <c r="S24" s="37" t="n"/>
      <c r="T24" s="37" t="n"/>
      <c r="U24" s="37" t="n"/>
      <c r="V24" s="37" t="n"/>
      <c r="W24" s="37" t="n"/>
      <c r="X24" s="37" t="n"/>
      <c r="Y24" s="37" t="n"/>
      <c r="Z24" s="37" t="n"/>
      <c r="AA24" s="37" t="n"/>
      <c r="AB24" s="37" t="n"/>
      <c r="AC24" s="37" t="n"/>
      <c r="AD24" s="37" t="n"/>
      <c r="AE24" s="37" t="n"/>
      <c r="AF24" s="37" t="n"/>
      <c r="AG24" s="37" t="n"/>
      <c r="AH24" s="37" t="n"/>
      <c r="AI24" s="37" t="n"/>
      <c r="AJ24" s="37" t="n"/>
      <c r="AK24" s="37" t="n"/>
      <c r="AL24" s="37" t="n"/>
      <c r="AM24" s="37" t="n"/>
      <c r="AN24" s="37" t="n"/>
      <c r="AO24" s="37" t="n"/>
      <c r="AP24" s="37" t="n"/>
      <c r="AQ24" s="37" t="n"/>
      <c r="AR24" s="37" t="n"/>
      <c r="AS24" s="37" t="n"/>
      <c r="AT24" s="37" t="n"/>
      <c r="AU24" s="37" t="n"/>
      <c r="AV24" s="37" t="n"/>
      <c r="AW24" s="37" t="n"/>
      <c r="AX24" s="37" t="n"/>
      <c r="AY24" s="37" t="n"/>
      <c r="AZ24" s="37" t="n"/>
      <c r="BA24" s="37" t="n"/>
      <c r="BB24" s="37" t="n"/>
    </row>
    <row r="25" ht="15" customHeight="1">
      <c r="E25" s="21" t="inlineStr">
        <is>
          <t>Difference in NPV</t>
        </is>
      </c>
      <c r="G25" s="5">
        <f>base_year</f>
        <v/>
      </c>
      <c r="I25" s="55">
        <f>I24-I23</f>
        <v/>
      </c>
      <c r="O25" s="37" t="n"/>
      <c r="P25" s="37" t="n"/>
      <c r="Q25" s="37" t="n"/>
      <c r="R25" s="37" t="n"/>
      <c r="S25" s="37" t="n"/>
      <c r="T25" s="37" t="n"/>
      <c r="U25" s="37" t="n"/>
      <c r="V25" s="37" t="n"/>
      <c r="W25" s="37" t="n"/>
      <c r="X25" s="37" t="n"/>
      <c r="Y25" s="37" t="n"/>
      <c r="Z25" s="37" t="n"/>
      <c r="AA25" s="37" t="n"/>
      <c r="AB25" s="37" t="n"/>
      <c r="AC25" s="37" t="n"/>
      <c r="AD25" s="37" t="n"/>
      <c r="AE25" s="37" t="n"/>
      <c r="AF25" s="37" t="n"/>
      <c r="AG25" s="37" t="n"/>
      <c r="AH25" s="37" t="n"/>
      <c r="AI25" s="37" t="n"/>
      <c r="AJ25" s="37" t="n"/>
      <c r="AK25" s="37" t="n"/>
      <c r="AL25" s="37" t="n"/>
      <c r="AM25" s="37" t="n"/>
      <c r="AN25" s="37" t="n"/>
      <c r="AO25" s="37" t="n"/>
      <c r="AP25" s="37" t="n"/>
      <c r="AQ25" s="37" t="n"/>
      <c r="AR25" s="37" t="n"/>
      <c r="AS25" s="37" t="n"/>
      <c r="AT25" s="37" t="n"/>
      <c r="AU25" s="37" t="n"/>
      <c r="AV25" s="37" t="n"/>
      <c r="AW25" s="37" t="n"/>
      <c r="AX25" s="37" t="n"/>
      <c r="AY25" s="37" t="n"/>
      <c r="AZ25" s="37" t="n"/>
      <c r="BA25" s="37" t="n"/>
      <c r="BB25" s="37" t="n"/>
    </row>
    <row r="26" ht="15" customHeight="1">
      <c r="I26" s="64" t="n"/>
      <c r="O26" s="37" t="n"/>
      <c r="P26" s="37" t="n"/>
      <c r="Q26" s="37" t="n"/>
      <c r="R26" s="37" t="n"/>
      <c r="S26" s="37" t="n"/>
      <c r="T26" s="37" t="n"/>
      <c r="U26" s="37" t="n"/>
      <c r="V26" s="37" t="n"/>
      <c r="W26" s="37" t="n"/>
      <c r="X26" s="37" t="n"/>
      <c r="Y26" s="37" t="n"/>
      <c r="Z26" s="37" t="n"/>
      <c r="AA26" s="37" t="n"/>
      <c r="AB26" s="37" t="n"/>
      <c r="AC26" s="37" t="n"/>
      <c r="AD26" s="37" t="n"/>
      <c r="AE26" s="37" t="n"/>
      <c r="AF26" s="37" t="n"/>
      <c r="AG26" s="37" t="n"/>
      <c r="AH26" s="37" t="n"/>
      <c r="AI26" s="37" t="n"/>
      <c r="AJ26" s="37" t="n"/>
      <c r="AK26" s="37" t="n"/>
      <c r="AL26" s="37" t="n"/>
      <c r="AM26" s="37" t="n"/>
      <c r="AN26" s="37" t="n"/>
      <c r="AO26" s="37" t="n"/>
      <c r="AP26" s="37" t="n"/>
      <c r="AQ26" s="37" t="n"/>
      <c r="AR26" s="37" t="n"/>
      <c r="AS26" s="37" t="n"/>
      <c r="AT26" s="37" t="n"/>
      <c r="AU26" s="37" t="n"/>
      <c r="AV26" s="37" t="n"/>
      <c r="AW26" s="37" t="n"/>
      <c r="AX26" s="37" t="n"/>
      <c r="AY26" s="37" t="n"/>
      <c r="AZ26" s="37" t="n"/>
      <c r="BA26" s="37" t="n"/>
      <c r="BB26" s="37" t="n"/>
    </row>
    <row r="27" ht="15" customHeight="1">
      <c r="E27" s="21" t="inlineStr">
        <is>
          <t>Amendment to Cap rate</t>
        </is>
      </c>
      <c r="G27" s="5">
        <f>base_year</f>
        <v/>
      </c>
      <c r="H27" s="21" t="inlineStr">
        <is>
          <t>ORAC</t>
        </is>
      </c>
      <c r="I27" s="145">
        <f>I25/SUMPRODUCT($O$19:$BB$19,$O$21:$BB$21)</f>
        <v/>
      </c>
      <c r="O27" s="37" t="n"/>
      <c r="P27" s="37" t="n"/>
      <c r="Q27" s="37" t="n"/>
      <c r="R27" s="37" t="n"/>
      <c r="S27" s="37" t="n"/>
      <c r="T27" s="37" t="n"/>
      <c r="U27" s="37" t="n"/>
      <c r="V27" s="37" t="n"/>
      <c r="W27" s="37" t="n"/>
      <c r="X27" s="37" t="n"/>
      <c r="Y27" s="37" t="n"/>
      <c r="Z27" s="37" t="n"/>
      <c r="AA27" s="37" t="n"/>
      <c r="AB27" s="37" t="n"/>
      <c r="AC27" s="37" t="n"/>
      <c r="AD27" s="37" t="n"/>
      <c r="AE27" s="37" t="n"/>
      <c r="AF27" s="37" t="n"/>
      <c r="AG27" s="37" t="n"/>
      <c r="AH27" s="37" t="n"/>
      <c r="AI27" s="37" t="n"/>
      <c r="AJ27" s="37" t="n"/>
      <c r="AK27" s="37" t="n"/>
      <c r="AL27" s="37" t="n"/>
      <c r="AM27" s="37" t="n"/>
      <c r="AN27" s="37" t="n"/>
      <c r="AO27" s="37" t="n"/>
      <c r="AP27" s="37" t="n"/>
      <c r="AQ27" s="37" t="n"/>
      <c r="AR27" s="37" t="n"/>
      <c r="AS27" s="37" t="n"/>
      <c r="AT27" s="37" t="n"/>
      <c r="AU27" s="37" t="n"/>
      <c r="AV27" s="37" t="n"/>
      <c r="AW27" s="37" t="n"/>
      <c r="AX27" s="37" t="n"/>
      <c r="AY27" s="37" t="n"/>
      <c r="AZ27" s="37" t="n"/>
      <c r="BA27" s="37" t="n"/>
      <c r="BB27" s="37" t="n"/>
    </row>
    <row r="28" ht="15" customHeight="1">
      <c r="O28" s="37" t="n"/>
      <c r="P28" s="37" t="n"/>
      <c r="Q28" s="37" t="n"/>
      <c r="R28" s="37" t="n"/>
      <c r="S28" s="37" t="n"/>
      <c r="T28" s="37" t="n"/>
      <c r="U28" s="37" t="n"/>
      <c r="V28" s="37" t="n"/>
      <c r="W28" s="37" t="n"/>
      <c r="X28" s="37" t="n"/>
      <c r="Y28" s="37" t="n"/>
      <c r="Z28" s="37" t="n"/>
      <c r="AA28" s="37" t="n"/>
      <c r="AB28" s="37" t="n"/>
      <c r="AC28" s="37" t="n"/>
      <c r="AD28" s="37" t="n"/>
      <c r="AE28" s="37" t="n"/>
      <c r="AF28" s="37" t="n"/>
      <c r="AG28" s="37" t="n"/>
      <c r="AH28" s="37" t="n"/>
      <c r="AI28" s="37" t="n"/>
      <c r="AJ28" s="37" t="n"/>
      <c r="AK28" s="37" t="n"/>
      <c r="AL28" s="37" t="n"/>
      <c r="AM28" s="37" t="n"/>
      <c r="AN28" s="37" t="n"/>
      <c r="AO28" s="37" t="n"/>
      <c r="AP28" s="37" t="n"/>
      <c r="AQ28" s="37" t="n"/>
      <c r="AR28" s="37" t="n"/>
      <c r="AS28" s="37" t="n"/>
      <c r="AT28" s="37" t="n"/>
      <c r="AU28" s="37" t="n"/>
      <c r="AV28" s="37" t="n"/>
      <c r="AW28" s="37" t="n"/>
      <c r="AX28" s="37" t="n"/>
      <c r="AY28" s="37" t="n"/>
      <c r="AZ28" s="37" t="n"/>
      <c r="BA28" s="37" t="n"/>
      <c r="BB28" s="37" t="n"/>
    </row>
    <row r="29" ht="15" customHeight="1">
      <c r="E29" s="21">
        <f>Inputs!E162</f>
        <v/>
      </c>
      <c r="G29" s="21" t="inlineStr">
        <is>
          <t>flag</t>
        </is>
      </c>
      <c r="O29" s="93" t="n"/>
      <c r="P29" s="84">
        <f>Inputs!P162</f>
        <v/>
      </c>
      <c r="Q29" s="84">
        <f>Inputs!Q162</f>
        <v/>
      </c>
      <c r="R29" s="84">
        <f>Inputs!R162</f>
        <v/>
      </c>
      <c r="S29" s="84">
        <f>Inputs!S162</f>
        <v/>
      </c>
      <c r="T29" s="84">
        <f>Inputs!T162</f>
        <v/>
      </c>
      <c r="U29" s="84">
        <f>Inputs!U162</f>
        <v/>
      </c>
      <c r="V29" s="84">
        <f>Inputs!V162</f>
        <v/>
      </c>
      <c r="W29" s="84">
        <f>Inputs!W162</f>
        <v/>
      </c>
      <c r="X29" s="84">
        <f>Inputs!X162</f>
        <v/>
      </c>
      <c r="Y29" s="84">
        <f>Inputs!Y162</f>
        <v/>
      </c>
      <c r="Z29" s="84">
        <f>Inputs!Z162</f>
        <v/>
      </c>
      <c r="AA29" s="84">
        <f>Inputs!AA162</f>
        <v/>
      </c>
      <c r="AB29" s="84">
        <f>Inputs!AB162</f>
        <v/>
      </c>
      <c r="AC29" s="84">
        <f>Inputs!AC162</f>
        <v/>
      </c>
      <c r="AD29" s="84">
        <f>Inputs!AD162</f>
        <v/>
      </c>
      <c r="AE29" s="84">
        <f>Inputs!AE162</f>
        <v/>
      </c>
      <c r="AF29" s="84">
        <f>Inputs!AF162</f>
        <v/>
      </c>
      <c r="AG29" s="84">
        <f>Inputs!AG162</f>
        <v/>
      </c>
      <c r="AH29" s="84">
        <f>Inputs!AH162</f>
        <v/>
      </c>
      <c r="AI29" s="84">
        <f>Inputs!AI162</f>
        <v/>
      </c>
      <c r="AJ29" s="84">
        <f>Inputs!AJ162</f>
        <v/>
      </c>
      <c r="AK29" s="84">
        <f>Inputs!AK162</f>
        <v/>
      </c>
      <c r="AL29" s="84">
        <f>Inputs!AL162</f>
        <v/>
      </c>
      <c r="AM29" s="84">
        <f>Inputs!AM162</f>
        <v/>
      </c>
      <c r="AN29" s="84">
        <f>Inputs!AN162</f>
        <v/>
      </c>
      <c r="AO29" s="84">
        <f>Inputs!AO162</f>
        <v/>
      </c>
      <c r="AP29" s="84">
        <f>Inputs!AP162</f>
        <v/>
      </c>
      <c r="AQ29" s="84">
        <f>Inputs!AQ162</f>
        <v/>
      </c>
      <c r="AR29" s="84">
        <f>Inputs!AR162</f>
        <v/>
      </c>
      <c r="AS29" s="84">
        <f>Inputs!AS162</f>
        <v/>
      </c>
      <c r="AT29" s="84">
        <f>Inputs!AT162</f>
        <v/>
      </c>
      <c r="AU29" s="84">
        <f>Inputs!AU162</f>
        <v/>
      </c>
      <c r="AV29" s="84">
        <f>Inputs!AV162</f>
        <v/>
      </c>
      <c r="AW29" s="84">
        <f>Inputs!AW162</f>
        <v/>
      </c>
      <c r="AX29" s="84">
        <f>Inputs!AX162</f>
        <v/>
      </c>
      <c r="AY29" s="84">
        <f>Inputs!AY162</f>
        <v/>
      </c>
      <c r="AZ29" s="84">
        <f>Inputs!AZ162</f>
        <v/>
      </c>
      <c r="BA29" s="84">
        <f>Inputs!BA162</f>
        <v/>
      </c>
      <c r="BB29" s="84">
        <f>Inputs!BB162</f>
        <v/>
      </c>
    </row>
    <row r="30" ht="15" customHeight="1">
      <c r="E30" s="21" t="inlineStr">
        <is>
          <t>Floor return rate</t>
        </is>
      </c>
      <c r="I30" s="87">
        <f>Inputs!I41</f>
        <v/>
      </c>
      <c r="O30" s="37" t="n"/>
      <c r="P30" s="37" t="n"/>
      <c r="Q30" s="37" t="n"/>
      <c r="R30" s="37" t="n"/>
      <c r="S30" s="37" t="n"/>
      <c r="T30" s="37" t="n"/>
      <c r="U30" s="37" t="n"/>
      <c r="V30" s="37" t="n"/>
      <c r="W30" s="37" t="n"/>
      <c r="X30" s="37" t="n"/>
      <c r="Y30" s="37" t="n"/>
      <c r="Z30" s="37" t="n"/>
      <c r="AA30" s="37" t="n"/>
      <c r="AB30" s="37" t="n"/>
      <c r="AC30" s="37" t="n"/>
      <c r="AD30" s="37" t="n"/>
      <c r="AE30" s="37" t="n"/>
      <c r="AF30" s="37" t="n"/>
      <c r="AG30" s="37" t="n"/>
      <c r="AH30" s="37" t="n"/>
      <c r="AI30" s="37" t="n"/>
      <c r="AJ30" s="37" t="n"/>
      <c r="AK30" s="37" t="n"/>
      <c r="AL30" s="37" t="n"/>
      <c r="AM30" s="37" t="n"/>
      <c r="AN30" s="37" t="n"/>
      <c r="AO30" s="37" t="n"/>
      <c r="AP30" s="37" t="n"/>
      <c r="AQ30" s="37" t="n"/>
      <c r="AR30" s="37" t="n"/>
      <c r="AS30" s="37" t="n"/>
      <c r="AT30" s="37" t="n"/>
      <c r="AU30" s="37" t="n"/>
      <c r="AV30" s="37" t="n"/>
      <c r="AW30" s="37" t="n"/>
      <c r="AX30" s="37" t="n"/>
      <c r="AY30" s="37" t="n"/>
      <c r="AZ30" s="37" t="n"/>
      <c r="BA30" s="37" t="n"/>
      <c r="BB30" s="37" t="n"/>
    </row>
    <row r="31" ht="15" customHeight="1">
      <c r="E31" s="21" t="inlineStr">
        <is>
          <t>Discount factor to start of operational period (floor)</t>
        </is>
      </c>
      <c r="G31" s="21" t="inlineStr">
        <is>
          <t>scalar</t>
        </is>
      </c>
      <c r="O31" s="37">
        <f>IF(O5&lt;=Inputs!$I$21,(1+$I30)^-O$5,0)</f>
        <v/>
      </c>
      <c r="P31" s="37">
        <f>IF(P5&lt;=Inputs!$I$21,(1+$I30)^-P$5,0)</f>
        <v/>
      </c>
      <c r="Q31" s="37">
        <f>IF(Q5&lt;=Inputs!$I$21,(1+$I30)^-Q$5,0)</f>
        <v/>
      </c>
      <c r="R31" s="37">
        <f>IF(R5&lt;=Inputs!$I$21,(1+$I30)^-R$5,0)</f>
        <v/>
      </c>
      <c r="S31" s="37">
        <f>IF(S5&lt;=Inputs!$I$21,(1+$I30)^-S$5,0)</f>
        <v/>
      </c>
      <c r="T31" s="37">
        <f>IF(T5&lt;=Inputs!$I$21,(1+$I30)^-T$5,0)</f>
        <v/>
      </c>
      <c r="U31" s="37">
        <f>IF(U5&lt;=Inputs!$I$21,(1+$I30)^-U$5,0)</f>
        <v/>
      </c>
      <c r="V31" s="37">
        <f>IF(V5&lt;=Inputs!$I$21,(1+$I30)^-V$5,0)</f>
        <v/>
      </c>
      <c r="W31" s="37">
        <f>IF(W5&lt;=Inputs!$I$21,(1+$I30)^-W$5,0)</f>
        <v/>
      </c>
      <c r="X31" s="37">
        <f>IF(X5&lt;=Inputs!$I$21,(1+$I30)^-X$5,0)</f>
        <v/>
      </c>
      <c r="Y31" s="37">
        <f>IF(Y5&lt;=Inputs!$I$21,(1+$I30)^-Y$5,0)</f>
        <v/>
      </c>
      <c r="Z31" s="37">
        <f>IF(Z5&lt;=Inputs!$I$21,(1+$I30)^-Z$5,0)</f>
        <v/>
      </c>
      <c r="AA31" s="37">
        <f>IF(AA5&lt;=Inputs!$I$21,(1+$I30)^-AA$5,0)</f>
        <v/>
      </c>
      <c r="AB31" s="37">
        <f>IF(AB5&lt;=Inputs!$I$21,(1+$I30)^-AB$5,0)</f>
        <v/>
      </c>
      <c r="AC31" s="37">
        <f>IF(AC5&lt;=Inputs!$I$21,(1+$I30)^-AC$5,0)</f>
        <v/>
      </c>
      <c r="AD31" s="37">
        <f>IF(AD5&lt;=Inputs!$I$21,(1+$I30)^-AD$5,0)</f>
        <v/>
      </c>
      <c r="AE31" s="37">
        <f>IF(AE5&lt;=Inputs!$I$21,(1+$I30)^-AE$5,0)</f>
        <v/>
      </c>
      <c r="AF31" s="37">
        <f>IF(AF5&lt;=Inputs!$I$21,(1+$I30)^-AF$5,0)</f>
        <v/>
      </c>
      <c r="AG31" s="37">
        <f>IF(AG5&lt;=Inputs!$I$21,(1+$I30)^-AG$5,0)</f>
        <v/>
      </c>
      <c r="AH31" s="37">
        <f>IF(AH5&lt;=Inputs!$I$21,(1+$I30)^-AH$5,0)</f>
        <v/>
      </c>
      <c r="AI31" s="37">
        <f>IF(AI5&lt;=Inputs!$I$21,(1+$I30)^-AI$5,0)</f>
        <v/>
      </c>
      <c r="AJ31" s="37">
        <f>IF(AJ5&lt;=Inputs!$I$21,(1+$I30)^-AJ$5,0)</f>
        <v/>
      </c>
      <c r="AK31" s="37">
        <f>IF(AK5&lt;=Inputs!$I$21,(1+$I30)^-AK$5,0)</f>
        <v/>
      </c>
      <c r="AL31" s="37">
        <f>IF(AL5&lt;=Inputs!$I$21,(1+$I30)^-AL$5,0)</f>
        <v/>
      </c>
      <c r="AM31" s="37">
        <f>IF(AM5&lt;=Inputs!$I$21,(1+$I30)^-AM$5,0)</f>
        <v/>
      </c>
      <c r="AN31" s="37">
        <f>IF(AN5&lt;=Inputs!$I$21,(1+$I30)^-AN$5,0)</f>
        <v/>
      </c>
      <c r="AO31" s="37">
        <f>IF(AO5&lt;=Inputs!$I$21,(1+$I30)^-AO$5,0)</f>
        <v/>
      </c>
      <c r="AP31" s="37">
        <f>IF(AP5&lt;=Inputs!$I$21,(1+$I30)^-AP$5,0)</f>
        <v/>
      </c>
      <c r="AQ31" s="37">
        <f>IF(AQ5&lt;=Inputs!$I$21,(1+$I30)^-AQ$5,0)</f>
        <v/>
      </c>
      <c r="AR31" s="37">
        <f>IF(AR5&lt;=Inputs!$I$21,(1+$I30)^-AR$5,0)</f>
        <v/>
      </c>
      <c r="AS31" s="37">
        <f>IF(AS5&lt;=Inputs!$I$21,(1+$I30)^-AS$5,0)</f>
        <v/>
      </c>
      <c r="AT31" s="37">
        <f>IF(AT5&lt;=Inputs!$I$21,(1+$I30)^-AT$5,0)</f>
        <v/>
      </c>
      <c r="AU31" s="37">
        <f>IF(AU5&lt;=Inputs!$I$21,(1+$I30)^-AU$5,0)</f>
        <v/>
      </c>
      <c r="AV31" s="37">
        <f>IF(AV5&lt;=Inputs!$I$21,(1+$I30)^-AV$5,0)</f>
        <v/>
      </c>
      <c r="AW31" s="37">
        <f>IF(AW5&lt;=Inputs!$I$21,(1+$I30)^-AW$5,0)</f>
        <v/>
      </c>
      <c r="AX31" s="37">
        <f>IF(AX5&lt;=Inputs!$I$21,(1+$I30)^-AX$5,0)</f>
        <v/>
      </c>
      <c r="AY31" s="37">
        <f>IF(AY5&lt;=Inputs!$I$21,(1+$I30)^-AY$5,0)</f>
        <v/>
      </c>
      <c r="AZ31" s="37">
        <f>IF(AZ5&lt;=Inputs!$I$21,(1+$I30)^-AZ$5,0)</f>
        <v/>
      </c>
      <c r="BA31" s="37">
        <f>IF(BA5&lt;=Inputs!$I$21,(1+$I30)^-BA$5,0)</f>
        <v/>
      </c>
      <c r="BB31" s="37">
        <f>IF(BB5&lt;=Inputs!$I$21,(1+$I30)^-BB$5,0)</f>
        <v/>
      </c>
    </row>
    <row r="32" ht="15" customHeight="1"/>
    <row r="33" ht="15" customHeight="1">
      <c r="E33" s="21" t="inlineStr">
        <is>
          <t>NPV of original allowance</t>
        </is>
      </c>
      <c r="G33" s="5">
        <f>base_year</f>
        <v/>
      </c>
      <c r="I33" s="55">
        <f>SUMPRODUCT($O$31:$BB$31,O11:BB11,$O$29:$BB$29)</f>
        <v/>
      </c>
    </row>
    <row r="34" ht="15" customHeight="1">
      <c r="E34" s="21" t="inlineStr">
        <is>
          <t>NPV of revised allowance</t>
        </is>
      </c>
      <c r="G34" s="5">
        <f>base_year</f>
        <v/>
      </c>
      <c r="I34" s="55">
        <f>SUMPRODUCT($O$31:$BB$31,O15:BB15,$O$29:$BB$29)</f>
        <v/>
      </c>
    </row>
    <row r="35" ht="15" customHeight="1">
      <c r="E35" s="21" t="inlineStr">
        <is>
          <t>Difference in NPV</t>
        </is>
      </c>
      <c r="G35" s="5">
        <f>base_year</f>
        <v/>
      </c>
      <c r="I35" s="55">
        <f>I34-I33</f>
        <v/>
      </c>
    </row>
    <row r="36" ht="15" customHeight="1">
      <c r="I36" s="64" t="n"/>
    </row>
    <row r="37" ht="15" customHeight="1">
      <c r="E37" s="21" t="inlineStr">
        <is>
          <t>Amendment to Floor rate</t>
        </is>
      </c>
      <c r="G37" s="5">
        <f>base_year</f>
        <v/>
      </c>
      <c r="H37" s="21" t="inlineStr">
        <is>
          <t>ORAF</t>
        </is>
      </c>
      <c r="I37" s="145">
        <f>I35/SUMPRODUCT($O$29:$BB$29,$O$31:$BB$31)</f>
        <v/>
      </c>
    </row>
    <row r="38" ht="15" customHeight="1"/>
    <row r="39" ht="15" customFormat="1" customHeight="1" s="4">
      <c r="B39" s="8" t="inlineStr">
        <is>
          <t>End of sheet</t>
        </is>
      </c>
      <c r="C39" s="8" t="n"/>
      <c r="D39" s="8" t="n"/>
      <c r="E39" s="8" t="n"/>
      <c r="F39" s="8" t="n"/>
      <c r="G39" s="8" t="n"/>
      <c r="H39" s="8" t="n"/>
      <c r="I39" s="8" t="n"/>
      <c r="J39" s="8" t="n"/>
      <c r="K39" s="8" t="n"/>
      <c r="L39" s="8" t="n"/>
      <c r="M39" s="8" t="n"/>
      <c r="N39" s="8" t="n"/>
      <c r="O39" s="8" t="n"/>
      <c r="P39" s="8" t="n"/>
      <c r="Q39" s="8" t="n"/>
      <c r="R39" s="8" t="n"/>
      <c r="S39" s="8" t="n"/>
      <c r="T39" s="8" t="n"/>
      <c r="U39" s="8" t="n"/>
      <c r="V39" s="8" t="n"/>
      <c r="W39" s="8" t="n"/>
      <c r="X39" s="8" t="n"/>
      <c r="Y39" s="8" t="n"/>
      <c r="Z39" s="8" t="n"/>
      <c r="AA39" s="8" t="n"/>
      <c r="AB39" s="8" t="n"/>
      <c r="AC39" s="8" t="n"/>
      <c r="AD39" s="8" t="n"/>
      <c r="AE39" s="8" t="n"/>
      <c r="AF39" s="8" t="n"/>
      <c r="AG39" s="8" t="n"/>
      <c r="AH39" s="8" t="n"/>
      <c r="AI39" s="8" t="n"/>
      <c r="AJ39" s="8" t="n"/>
      <c r="AK39" s="8" t="n"/>
      <c r="AL39" s="8" t="n"/>
      <c r="AM39" s="8" t="n"/>
      <c r="AN39" s="8" t="n"/>
      <c r="AO39" s="8" t="n"/>
      <c r="AP39" s="8" t="n"/>
      <c r="AQ39" s="8" t="n"/>
      <c r="AR39" s="8" t="n"/>
      <c r="AS39" s="8" t="n"/>
      <c r="AT39" s="8" t="n"/>
      <c r="AU39" s="8" t="n"/>
      <c r="AV39" s="8" t="n"/>
      <c r="AW39" s="8" t="n"/>
      <c r="AX39" s="8" t="n"/>
      <c r="AY39" s="8" t="n"/>
      <c r="AZ39" s="8" t="n"/>
      <c r="BA39" s="8" t="n"/>
      <c r="BB39" s="8" t="n"/>
    </row>
    <row r="40" ht="15" customHeight="1"/>
  </sheetData>
  <pageMargins left="0.2362204724409449" right="0.2362204724409449" top="0.7480314960629921" bottom="0.7480314960629921" header="0.3149606299212598" footer="0.3149606299212598"/>
  <pageSetup orientation="landscape" paperSize="8" scale="42" fitToHeight="0"/>
</worksheet>
</file>

<file path=xl/worksheets/sheet7.xml><?xml version="1.0" encoding="utf-8"?>
<worksheet xmlns="http://schemas.openxmlformats.org/spreadsheetml/2006/main">
  <sheetPr codeName="Sheet16">
    <tabColor theme="7" tint="0.5999938962981048"/>
    <outlinePr summaryBelow="1" summaryRight="1"/>
    <pageSetUpPr fitToPage="1"/>
  </sheetPr>
  <dimension ref="A1:BC56"/>
  <sheetViews>
    <sheetView zoomScaleNormal="100" workbookViewId="0">
      <pane xSplit="10" ySplit="5" topLeftCell="K15" activePane="bottomRight" state="frozen"/>
      <selection pane="topRight" activeCell="A1" sqref="A1"/>
      <selection pane="bottomLeft" activeCell="A1" sqref="A1"/>
      <selection pane="bottomRight" activeCell="A42" sqref="A42:XFD42"/>
    </sheetView>
  </sheetViews>
  <sheetFormatPr baseColWidth="10" defaultColWidth="0" defaultRowHeight="15" customHeight="1" zeroHeight="1"/>
  <cols>
    <col width="2.59765625" customWidth="1" style="15" min="1" max="3"/>
    <col width="2.59765625" customWidth="1" style="21" min="4" max="4"/>
    <col width="50.59765625" customWidth="1" style="21" min="5" max="5"/>
    <col width="1.59765625" customWidth="1" style="21" min="6" max="6"/>
    <col width="15.59765625" customWidth="1" style="21" min="7" max="7"/>
    <col width="14.3984375" bestFit="1" customWidth="1" style="21" min="8" max="8"/>
    <col width="10.59765625" customWidth="1" style="21" min="9" max="9"/>
    <col width="1.59765625" customWidth="1" style="21" min="10" max="14"/>
    <col width="10.59765625" customWidth="1" style="21" min="15" max="54"/>
    <col width="2.59765625" customWidth="1" style="21" min="55" max="55"/>
    <col hidden="1" width="9" customWidth="1" style="21" min="56" max="56"/>
    <col hidden="1" width="9" customWidth="1" style="21" min="57" max="16384"/>
  </cols>
  <sheetData>
    <row r="1" ht="15" customFormat="1" customHeight="1" s="10">
      <c r="A1" s="126" t="inlineStr">
        <is>
          <t>Indexation</t>
        </is>
      </c>
      <c r="H1" s="9" t="inlineStr">
        <is>
          <t>Licence</t>
        </is>
      </c>
      <c r="J1" s="61" t="n"/>
      <c r="K1" s="61" t="n"/>
      <c r="L1" s="61" t="n"/>
      <c r="M1" s="61" t="n"/>
      <c r="N1" s="61" t="n"/>
      <c r="O1" s="61" t="n"/>
      <c r="P1" s="61" t="n"/>
      <c r="Q1" s="61" t="n"/>
      <c r="R1" s="61" t="n"/>
      <c r="S1" s="61" t="n"/>
      <c r="T1" s="61" t="n"/>
      <c r="U1" s="61" t="n"/>
      <c r="V1" s="61" t="n"/>
      <c r="W1" s="61" t="n"/>
      <c r="X1" s="61" t="n"/>
      <c r="Y1" s="61" t="n"/>
      <c r="Z1" s="61" t="n"/>
      <c r="AA1" s="61" t="n"/>
      <c r="AB1" s="61" t="n"/>
      <c r="AC1" s="61" t="n"/>
      <c r="AD1" s="61" t="n"/>
      <c r="AE1" s="61" t="n"/>
      <c r="AF1" s="61" t="n"/>
      <c r="AG1" s="61" t="n"/>
      <c r="AH1" s="61" t="n"/>
      <c r="AI1" s="61" t="n"/>
      <c r="AJ1" s="61" t="n"/>
    </row>
    <row r="2" ht="15" customFormat="1" customHeight="1" s="10">
      <c r="E2" s="9" t="inlineStr">
        <is>
          <t>Parameter</t>
        </is>
      </c>
      <c r="F2" s="9" t="n"/>
      <c r="G2" s="9" t="inlineStr">
        <is>
          <t>Units</t>
        </is>
      </c>
      <c r="H2" s="9" t="inlineStr">
        <is>
          <t>Terminology</t>
        </is>
      </c>
      <c r="I2" s="13" t="inlineStr">
        <is>
          <t>Constant</t>
        </is>
      </c>
      <c r="O2" s="9" t="inlineStr">
        <is>
          <t>Annual values</t>
        </is>
      </c>
    </row>
    <row r="3" ht="15" customFormat="1" customHeight="1" s="10">
      <c r="E3" s="52" t="inlineStr">
        <is>
          <t>Year commencing</t>
        </is>
      </c>
      <c r="F3" s="9" t="n"/>
      <c r="G3" s="9" t="n"/>
      <c r="H3" s="9" t="n"/>
      <c r="I3" s="9" t="n"/>
      <c r="O3" s="62">
        <f>INDEX(Inputs!$O3:$BB3,MATCH('Costs &amp; Revenue'!O$5,Inputs!$O$5:$BB$5,0))</f>
        <v/>
      </c>
      <c r="P3" s="62">
        <f>INDEX(Inputs!$O3:$BB3,MATCH('Costs &amp; Revenue'!P$5,Inputs!$O$5:$BB$5,0))</f>
        <v/>
      </c>
      <c r="Q3" s="62">
        <f>INDEX(Inputs!$O3:$BB3,MATCH('Costs &amp; Revenue'!Q$5,Inputs!$O$5:$BB$5,0))</f>
        <v/>
      </c>
      <c r="R3" s="62">
        <f>INDEX(Inputs!$O3:$BB3,MATCH('Costs &amp; Revenue'!R$5,Inputs!$O$5:$BB$5,0))</f>
        <v/>
      </c>
      <c r="S3" s="62">
        <f>INDEX(Inputs!$O3:$BB3,MATCH('Costs &amp; Revenue'!S$5,Inputs!$O$5:$BB$5,0))</f>
        <v/>
      </c>
      <c r="T3" s="62">
        <f>INDEX(Inputs!$O3:$BB3,MATCH('Costs &amp; Revenue'!T$5,Inputs!$O$5:$BB$5,0))</f>
        <v/>
      </c>
      <c r="U3" s="62">
        <f>INDEX(Inputs!$O3:$BB3,MATCH('Costs &amp; Revenue'!U$5,Inputs!$O$5:$BB$5,0))</f>
        <v/>
      </c>
      <c r="V3" s="62">
        <f>INDEX(Inputs!$O3:$BB3,MATCH('Costs &amp; Revenue'!V$5,Inputs!$O$5:$BB$5,0))</f>
        <v/>
      </c>
      <c r="W3" s="62">
        <f>INDEX(Inputs!$O3:$BB3,MATCH('Costs &amp; Revenue'!W$5,Inputs!$O$5:$BB$5,0))</f>
        <v/>
      </c>
      <c r="X3" s="62">
        <f>INDEX(Inputs!$O3:$BB3,MATCH('Costs &amp; Revenue'!X$5,Inputs!$O$5:$BB$5,0))</f>
        <v/>
      </c>
      <c r="Y3" s="62">
        <f>INDEX(Inputs!$O3:$BB3,MATCH('Costs &amp; Revenue'!Y$5,Inputs!$O$5:$BB$5,0))</f>
        <v/>
      </c>
      <c r="Z3" s="62">
        <f>INDEX(Inputs!$O3:$BB3,MATCH('Costs &amp; Revenue'!Z$5,Inputs!$O$5:$BB$5,0))</f>
        <v/>
      </c>
      <c r="AA3" s="62">
        <f>INDEX(Inputs!$O3:$BB3,MATCH('Costs &amp; Revenue'!AA$5,Inputs!$O$5:$BB$5,0))</f>
        <v/>
      </c>
      <c r="AB3" s="62">
        <f>INDEX(Inputs!$O3:$BB3,MATCH('Costs &amp; Revenue'!AB$5,Inputs!$O$5:$BB$5,0))</f>
        <v/>
      </c>
      <c r="AC3" s="62">
        <f>INDEX(Inputs!$O3:$BB3,MATCH('Costs &amp; Revenue'!AC$5,Inputs!$O$5:$BB$5,0))</f>
        <v/>
      </c>
      <c r="AD3" s="62">
        <f>INDEX(Inputs!$O3:$BB3,MATCH('Costs &amp; Revenue'!AD$5,Inputs!$O$5:$BB$5,0))</f>
        <v/>
      </c>
      <c r="AE3" s="62">
        <f>INDEX(Inputs!$O3:$BB3,MATCH('Costs &amp; Revenue'!AE$5,Inputs!$O$5:$BB$5,0))</f>
        <v/>
      </c>
      <c r="AF3" s="62">
        <f>INDEX(Inputs!$O3:$BB3,MATCH('Costs &amp; Revenue'!AF$5,Inputs!$O$5:$BB$5,0))</f>
        <v/>
      </c>
      <c r="AG3" s="62">
        <f>INDEX(Inputs!$O3:$BB3,MATCH('Costs &amp; Revenue'!AG$5,Inputs!$O$5:$BB$5,0))</f>
        <v/>
      </c>
      <c r="AH3" s="62">
        <f>INDEX(Inputs!$O3:$BB3,MATCH('Costs &amp; Revenue'!AH$5,Inputs!$O$5:$BB$5,0))</f>
        <v/>
      </c>
      <c r="AI3" s="62">
        <f>INDEX(Inputs!$O3:$BB3,MATCH('Costs &amp; Revenue'!AI$5,Inputs!$O$5:$BB$5,0))</f>
        <v/>
      </c>
      <c r="AJ3" s="62">
        <f>INDEX(Inputs!$O3:$BB3,MATCH('Costs &amp; Revenue'!AJ$5,Inputs!$O$5:$BB$5,0))</f>
        <v/>
      </c>
      <c r="AK3" s="62">
        <f>INDEX(Inputs!$O3:$BB3,MATCH('Costs &amp; Revenue'!AK$5,Inputs!$O$5:$BB$5,0))</f>
        <v/>
      </c>
      <c r="AL3" s="62">
        <f>INDEX(Inputs!$O3:$BB3,MATCH('Costs &amp; Revenue'!AL$5,Inputs!$O$5:$BB$5,0))</f>
        <v/>
      </c>
      <c r="AM3" s="62">
        <f>INDEX(Inputs!$O3:$BB3,MATCH('Costs &amp; Revenue'!AM$5,Inputs!$O$5:$BB$5,0))</f>
        <v/>
      </c>
      <c r="AN3" s="62">
        <f>INDEX(Inputs!$O3:$BB3,MATCH('Costs &amp; Revenue'!AN$5,Inputs!$O$5:$BB$5,0))</f>
        <v/>
      </c>
      <c r="AO3" s="62">
        <f>INDEX(Inputs!$O3:$BB3,MATCH('Costs &amp; Revenue'!AO$5,Inputs!$O$5:$BB$5,0))</f>
        <v/>
      </c>
      <c r="AP3" s="62">
        <f>INDEX(Inputs!$O3:$BB3,MATCH('Costs &amp; Revenue'!AP$5,Inputs!$O$5:$BB$5,0))</f>
        <v/>
      </c>
      <c r="AQ3" s="62">
        <f>INDEX(Inputs!$O3:$BB3,MATCH('Costs &amp; Revenue'!AQ$5,Inputs!$O$5:$BB$5,0))</f>
        <v/>
      </c>
      <c r="AR3" s="62">
        <f>INDEX(Inputs!$O3:$BB3,MATCH('Costs &amp; Revenue'!AR$5,Inputs!$O$5:$BB$5,0))</f>
        <v/>
      </c>
      <c r="AS3" s="62">
        <f>INDEX(Inputs!$O3:$BB3,MATCH('Costs &amp; Revenue'!AS$5,Inputs!$O$5:$BB$5,0))</f>
        <v/>
      </c>
      <c r="AT3" s="62">
        <f>INDEX(Inputs!$O3:$BB3,MATCH('Costs &amp; Revenue'!AT$5,Inputs!$O$5:$BB$5,0))</f>
        <v/>
      </c>
      <c r="AU3" s="62">
        <f>INDEX(Inputs!$O3:$BB3,MATCH('Costs &amp; Revenue'!AU$5,Inputs!$O$5:$BB$5,0))</f>
        <v/>
      </c>
      <c r="AV3" s="62">
        <f>INDEX(Inputs!$O3:$BB3,MATCH('Costs &amp; Revenue'!AV$5,Inputs!$O$5:$BB$5,0))</f>
        <v/>
      </c>
      <c r="AW3" s="62">
        <f>INDEX(Inputs!$O3:$BB3,MATCH('Costs &amp; Revenue'!AW$5,Inputs!$O$5:$BB$5,0))</f>
        <v/>
      </c>
      <c r="AX3" s="62">
        <f>INDEX(Inputs!$O3:$BB3,MATCH('Costs &amp; Revenue'!AX$5,Inputs!$O$5:$BB$5,0))</f>
        <v/>
      </c>
      <c r="AY3" s="62">
        <f>INDEX(Inputs!$O3:$BB3,MATCH('Costs &amp; Revenue'!AY$5,Inputs!$O$5:$BB$5,0))</f>
        <v/>
      </c>
      <c r="AZ3" s="62">
        <f>INDEX(Inputs!$O3:$BB3,MATCH('Costs &amp; Revenue'!AZ$5,Inputs!$O$5:$BB$5,0))</f>
        <v/>
      </c>
      <c r="BA3" s="62">
        <f>INDEX(Inputs!$O3:$BB3,MATCH('Costs &amp; Revenue'!BA$5,Inputs!$O$5:$BB$5,0))</f>
        <v/>
      </c>
      <c r="BB3" s="62">
        <f>INDEX(Inputs!$O3:$BB3,MATCH('Costs &amp; Revenue'!BB$5,Inputs!$O$5:$BB$5,0))</f>
        <v/>
      </c>
    </row>
    <row r="4" ht="15" customFormat="1" customHeight="1" s="52">
      <c r="E4" s="52" t="inlineStr">
        <is>
          <t>Year ending</t>
        </is>
      </c>
      <c r="O4" s="62">
        <f>INDEX(Inputs!$O4:$BB4,MATCH('Costs &amp; Revenue'!O$5,Inputs!$O$5:$BB$5,0))</f>
        <v/>
      </c>
      <c r="P4" s="62">
        <f>INDEX(Inputs!$O4:$BB4,MATCH('Costs &amp; Revenue'!P$5,Inputs!$O$5:$BB$5,0))</f>
        <v/>
      </c>
      <c r="Q4" s="62">
        <f>INDEX(Inputs!$O4:$BB4,MATCH('Costs &amp; Revenue'!Q$5,Inputs!$O$5:$BB$5,0))</f>
        <v/>
      </c>
      <c r="R4" s="62">
        <f>INDEX(Inputs!$O4:$BB4,MATCH('Costs &amp; Revenue'!R$5,Inputs!$O$5:$BB$5,0))</f>
        <v/>
      </c>
      <c r="S4" s="62">
        <f>INDEX(Inputs!$O4:$BB4,MATCH('Costs &amp; Revenue'!S$5,Inputs!$O$5:$BB$5,0))</f>
        <v/>
      </c>
      <c r="T4" s="62">
        <f>INDEX(Inputs!$O4:$BB4,MATCH('Costs &amp; Revenue'!T$5,Inputs!$O$5:$BB$5,0))</f>
        <v/>
      </c>
      <c r="U4" s="62">
        <f>INDEX(Inputs!$O4:$BB4,MATCH('Costs &amp; Revenue'!U$5,Inputs!$O$5:$BB$5,0))</f>
        <v/>
      </c>
      <c r="V4" s="62">
        <f>INDEX(Inputs!$O4:$BB4,MATCH('Costs &amp; Revenue'!V$5,Inputs!$O$5:$BB$5,0))</f>
        <v/>
      </c>
      <c r="W4" s="62">
        <f>INDEX(Inputs!$O4:$BB4,MATCH('Costs &amp; Revenue'!W$5,Inputs!$O$5:$BB$5,0))</f>
        <v/>
      </c>
      <c r="X4" s="62">
        <f>INDEX(Inputs!$O4:$BB4,MATCH('Costs &amp; Revenue'!X$5,Inputs!$O$5:$BB$5,0))</f>
        <v/>
      </c>
      <c r="Y4" s="62">
        <f>INDEX(Inputs!$O4:$BB4,MATCH('Costs &amp; Revenue'!Y$5,Inputs!$O$5:$BB$5,0))</f>
        <v/>
      </c>
      <c r="Z4" s="62">
        <f>INDEX(Inputs!$O4:$BB4,MATCH('Costs &amp; Revenue'!Z$5,Inputs!$O$5:$BB$5,0))</f>
        <v/>
      </c>
      <c r="AA4" s="62">
        <f>INDEX(Inputs!$O4:$BB4,MATCH('Costs &amp; Revenue'!AA$5,Inputs!$O$5:$BB$5,0))</f>
        <v/>
      </c>
      <c r="AB4" s="62">
        <f>INDEX(Inputs!$O4:$BB4,MATCH('Costs &amp; Revenue'!AB$5,Inputs!$O$5:$BB$5,0))</f>
        <v/>
      </c>
      <c r="AC4" s="62">
        <f>INDEX(Inputs!$O4:$BB4,MATCH('Costs &amp; Revenue'!AC$5,Inputs!$O$5:$BB$5,0))</f>
        <v/>
      </c>
      <c r="AD4" s="62">
        <f>INDEX(Inputs!$O4:$BB4,MATCH('Costs &amp; Revenue'!AD$5,Inputs!$O$5:$BB$5,0))</f>
        <v/>
      </c>
      <c r="AE4" s="62">
        <f>INDEX(Inputs!$O4:$BB4,MATCH('Costs &amp; Revenue'!AE$5,Inputs!$O$5:$BB$5,0))</f>
        <v/>
      </c>
      <c r="AF4" s="62">
        <f>INDEX(Inputs!$O4:$BB4,MATCH('Costs &amp; Revenue'!AF$5,Inputs!$O$5:$BB$5,0))</f>
        <v/>
      </c>
      <c r="AG4" s="62">
        <f>INDEX(Inputs!$O4:$BB4,MATCH('Costs &amp; Revenue'!AG$5,Inputs!$O$5:$BB$5,0))</f>
        <v/>
      </c>
      <c r="AH4" s="62">
        <f>INDEX(Inputs!$O4:$BB4,MATCH('Costs &amp; Revenue'!AH$5,Inputs!$O$5:$BB$5,0))</f>
        <v/>
      </c>
      <c r="AI4" s="62">
        <f>INDEX(Inputs!$O4:$BB4,MATCH('Costs &amp; Revenue'!AI$5,Inputs!$O$5:$BB$5,0))</f>
        <v/>
      </c>
      <c r="AJ4" s="62">
        <f>INDEX(Inputs!$O4:$BB4,MATCH('Costs &amp; Revenue'!AJ$5,Inputs!$O$5:$BB$5,0))</f>
        <v/>
      </c>
      <c r="AK4" s="62">
        <f>INDEX(Inputs!$O4:$BB4,MATCH('Costs &amp; Revenue'!AK$5,Inputs!$O$5:$BB$5,0))</f>
        <v/>
      </c>
      <c r="AL4" s="62">
        <f>INDEX(Inputs!$O4:$BB4,MATCH('Costs &amp; Revenue'!AL$5,Inputs!$O$5:$BB$5,0))</f>
        <v/>
      </c>
      <c r="AM4" s="62">
        <f>INDEX(Inputs!$O4:$BB4,MATCH('Costs &amp; Revenue'!AM$5,Inputs!$O$5:$BB$5,0))</f>
        <v/>
      </c>
      <c r="AN4" s="62">
        <f>INDEX(Inputs!$O4:$BB4,MATCH('Costs &amp; Revenue'!AN$5,Inputs!$O$5:$BB$5,0))</f>
        <v/>
      </c>
      <c r="AO4" s="62">
        <f>INDEX(Inputs!$O4:$BB4,MATCH('Costs &amp; Revenue'!AO$5,Inputs!$O$5:$BB$5,0))</f>
        <v/>
      </c>
      <c r="AP4" s="62">
        <f>INDEX(Inputs!$O4:$BB4,MATCH('Costs &amp; Revenue'!AP$5,Inputs!$O$5:$BB$5,0))</f>
        <v/>
      </c>
      <c r="AQ4" s="62">
        <f>INDEX(Inputs!$O4:$BB4,MATCH('Costs &amp; Revenue'!AQ$5,Inputs!$O$5:$BB$5,0))</f>
        <v/>
      </c>
      <c r="AR4" s="62">
        <f>INDEX(Inputs!$O4:$BB4,MATCH('Costs &amp; Revenue'!AR$5,Inputs!$O$5:$BB$5,0))</f>
        <v/>
      </c>
      <c r="AS4" s="62">
        <f>INDEX(Inputs!$O4:$BB4,MATCH('Costs &amp; Revenue'!AS$5,Inputs!$O$5:$BB$5,0))</f>
        <v/>
      </c>
      <c r="AT4" s="62">
        <f>INDEX(Inputs!$O4:$BB4,MATCH('Costs &amp; Revenue'!AT$5,Inputs!$O$5:$BB$5,0))</f>
        <v/>
      </c>
      <c r="AU4" s="62">
        <f>INDEX(Inputs!$O4:$BB4,MATCH('Costs &amp; Revenue'!AU$5,Inputs!$O$5:$BB$5,0))</f>
        <v/>
      </c>
      <c r="AV4" s="62">
        <f>INDEX(Inputs!$O4:$BB4,MATCH('Costs &amp; Revenue'!AV$5,Inputs!$O$5:$BB$5,0))</f>
        <v/>
      </c>
      <c r="AW4" s="62">
        <f>INDEX(Inputs!$O4:$BB4,MATCH('Costs &amp; Revenue'!AW$5,Inputs!$O$5:$BB$5,0))</f>
        <v/>
      </c>
      <c r="AX4" s="62">
        <f>INDEX(Inputs!$O4:$BB4,MATCH('Costs &amp; Revenue'!AX$5,Inputs!$O$5:$BB$5,0))</f>
        <v/>
      </c>
      <c r="AY4" s="62">
        <f>INDEX(Inputs!$O4:$BB4,MATCH('Costs &amp; Revenue'!AY$5,Inputs!$O$5:$BB$5,0))</f>
        <v/>
      </c>
      <c r="AZ4" s="62">
        <f>INDEX(Inputs!$O4:$BB4,MATCH('Costs &amp; Revenue'!AZ$5,Inputs!$O$5:$BB$5,0))</f>
        <v/>
      </c>
      <c r="BA4" s="62">
        <f>INDEX(Inputs!$O4:$BB4,MATCH('Costs &amp; Revenue'!BA$5,Inputs!$O$5:$BB$5,0))</f>
        <v/>
      </c>
      <c r="BB4" s="62">
        <f>INDEX(Inputs!$O4:$BB4,MATCH('Costs &amp; Revenue'!BB$5,Inputs!$O$5:$BB$5,0))</f>
        <v/>
      </c>
      <c r="BC4" s="62" t="n"/>
    </row>
    <row r="5" ht="15" customFormat="1" customHeight="1" s="52">
      <c r="E5" s="52" t="inlineStr">
        <is>
          <t>Operational year</t>
        </is>
      </c>
      <c r="O5" s="11">
        <f>Inputs!O5</f>
        <v/>
      </c>
      <c r="P5" s="11">
        <f>Inputs!P5</f>
        <v/>
      </c>
      <c r="Q5" s="11">
        <f>Inputs!Q5</f>
        <v/>
      </c>
      <c r="R5" s="11">
        <f>Inputs!R5</f>
        <v/>
      </c>
      <c r="S5" s="11">
        <f>Inputs!S5</f>
        <v/>
      </c>
      <c r="T5" s="11">
        <f>Inputs!T5</f>
        <v/>
      </c>
      <c r="U5" s="11">
        <f>Inputs!U5</f>
        <v/>
      </c>
      <c r="V5" s="11">
        <f>Inputs!V5</f>
        <v/>
      </c>
      <c r="W5" s="11">
        <f>Inputs!W5</f>
        <v/>
      </c>
      <c r="X5" s="11">
        <f>Inputs!X5</f>
        <v/>
      </c>
      <c r="Y5" s="11">
        <f>Inputs!Y5</f>
        <v/>
      </c>
      <c r="Z5" s="11">
        <f>Inputs!Z5</f>
        <v/>
      </c>
      <c r="AA5" s="11">
        <f>Inputs!AA5</f>
        <v/>
      </c>
      <c r="AB5" s="11">
        <f>Inputs!AB5</f>
        <v/>
      </c>
      <c r="AC5" s="11">
        <f>Inputs!AC5</f>
        <v/>
      </c>
      <c r="AD5" s="11">
        <f>Inputs!AD5</f>
        <v/>
      </c>
      <c r="AE5" s="11">
        <f>Inputs!AE5</f>
        <v/>
      </c>
      <c r="AF5" s="11">
        <f>Inputs!AF5</f>
        <v/>
      </c>
      <c r="AG5" s="11">
        <f>Inputs!AG5</f>
        <v/>
      </c>
      <c r="AH5" s="11">
        <f>Inputs!AH5</f>
        <v/>
      </c>
      <c r="AI5" s="11">
        <f>Inputs!AI5</f>
        <v/>
      </c>
      <c r="AJ5" s="11">
        <f>Inputs!AJ5</f>
        <v/>
      </c>
      <c r="AK5" s="11">
        <f>Inputs!AK5</f>
        <v/>
      </c>
      <c r="AL5" s="11">
        <f>Inputs!AL5</f>
        <v/>
      </c>
      <c r="AM5" s="11">
        <f>Inputs!AM5</f>
        <v/>
      </c>
      <c r="AN5" s="11">
        <f>Inputs!AN5</f>
        <v/>
      </c>
      <c r="AO5" s="11">
        <f>Inputs!AO5</f>
        <v/>
      </c>
      <c r="AP5" s="11">
        <f>Inputs!AP5</f>
        <v/>
      </c>
      <c r="AQ5" s="11">
        <f>Inputs!AQ5</f>
        <v/>
      </c>
      <c r="AR5" s="11">
        <f>Inputs!AR5</f>
        <v/>
      </c>
      <c r="AS5" s="11">
        <f>Inputs!AS5</f>
        <v/>
      </c>
      <c r="AT5" s="11">
        <f>Inputs!AT5</f>
        <v/>
      </c>
      <c r="AU5" s="11">
        <f>Inputs!AU5</f>
        <v/>
      </c>
      <c r="AV5" s="11">
        <f>Inputs!AV5</f>
        <v/>
      </c>
      <c r="AW5" s="11">
        <f>Inputs!AW5</f>
        <v/>
      </c>
      <c r="AX5" s="11">
        <f>Inputs!AX5</f>
        <v/>
      </c>
      <c r="AY5" s="11">
        <f>Inputs!AY5</f>
        <v/>
      </c>
      <c r="AZ5" s="11">
        <f>Inputs!AZ5</f>
        <v/>
      </c>
      <c r="BA5" s="11">
        <f>Inputs!BA5</f>
        <v/>
      </c>
      <c r="BB5" s="11">
        <f>Inputs!BB5</f>
        <v/>
      </c>
      <c r="BC5" s="62" t="n"/>
    </row>
    <row r="6" ht="15" customHeight="1">
      <c r="I6" s="16" t="n"/>
      <c r="J6" s="16" t="n"/>
      <c r="K6" s="16" t="n"/>
      <c r="L6" s="16" t="n"/>
      <c r="M6" s="16" t="n"/>
      <c r="N6" s="16" t="n"/>
      <c r="O6" s="16" t="n"/>
      <c r="P6" s="16" t="n"/>
      <c r="Q6" s="16" t="n"/>
      <c r="R6" s="16" t="n"/>
      <c r="S6" s="16" t="n"/>
      <c r="T6" s="16" t="n"/>
      <c r="U6" s="16" t="n"/>
      <c r="V6" s="16" t="n"/>
      <c r="W6" s="16" t="n"/>
      <c r="X6" s="16" t="n"/>
      <c r="Y6" s="16" t="n"/>
      <c r="Z6" s="16" t="n"/>
      <c r="AA6" s="16" t="n"/>
      <c r="AB6" s="16" t="n"/>
      <c r="AC6" s="16" t="n"/>
      <c r="AD6" s="16" t="n"/>
      <c r="AE6" s="16" t="n"/>
      <c r="AF6" s="16" t="n"/>
      <c r="AG6" s="16" t="n"/>
      <c r="AH6" s="16" t="n"/>
      <c r="AI6" s="16" t="n"/>
      <c r="AJ6" s="16" t="n"/>
      <c r="AK6" s="16" t="n"/>
      <c r="AL6" s="16" t="n"/>
      <c r="AM6" s="16" t="n"/>
      <c r="AN6" s="16" t="n"/>
      <c r="AO6" s="16" t="n"/>
      <c r="AP6" s="16" t="n"/>
      <c r="AQ6" s="16" t="n"/>
      <c r="AR6" s="16" t="n"/>
      <c r="AS6" s="16" t="n"/>
      <c r="AT6" s="16" t="n"/>
      <c r="AU6" s="16" t="n"/>
      <c r="AV6" s="16" t="n"/>
      <c r="AW6" s="16" t="n"/>
      <c r="AX6" s="16" t="n"/>
      <c r="AY6" s="16" t="n"/>
      <c r="AZ6" s="16" t="n"/>
      <c r="BA6" s="16" t="n"/>
      <c r="BB6" s="16" t="n"/>
    </row>
    <row r="7" ht="15" customFormat="1" customHeight="1" s="4">
      <c r="B7" s="8" t="inlineStr">
        <is>
          <t>Indexation</t>
        </is>
      </c>
      <c r="C7" s="8" t="n"/>
      <c r="D7" s="8" t="n"/>
      <c r="E7" s="8" t="n"/>
      <c r="F7" s="8" t="n"/>
      <c r="G7" s="8" t="n"/>
      <c r="H7" s="8" t="n"/>
      <c r="I7" s="8" t="n"/>
      <c r="J7" s="8" t="n"/>
      <c r="K7" s="8" t="n"/>
      <c r="L7" s="8" t="n"/>
      <c r="M7" s="8" t="n"/>
      <c r="N7" s="8" t="n"/>
      <c r="O7" s="8" t="n"/>
      <c r="P7" s="8" t="n"/>
      <c r="Q7" s="8" t="n"/>
      <c r="R7" s="8" t="n"/>
      <c r="S7" s="8" t="n"/>
      <c r="T7" s="8" t="n"/>
      <c r="U7" s="8" t="n"/>
      <c r="V7" s="8" t="n"/>
      <c r="W7" s="8" t="n"/>
      <c r="X7" s="8" t="n"/>
      <c r="Y7" s="8" t="n"/>
      <c r="Z7" s="8" t="n"/>
      <c r="AA7" s="8" t="n"/>
      <c r="AB7" s="8" t="n"/>
      <c r="AC7" s="8" t="n"/>
      <c r="AD7" s="8" t="n"/>
      <c r="AE7" s="8" t="n"/>
      <c r="AF7" s="8" t="n"/>
      <c r="AG7" s="8" t="n"/>
      <c r="AH7" s="8" t="n"/>
      <c r="AI7" s="8" t="n"/>
      <c r="AJ7" s="8" t="n"/>
      <c r="AK7" s="8" t="n"/>
      <c r="AL7" s="8" t="n"/>
      <c r="AM7" s="8" t="n"/>
      <c r="AN7" s="8" t="n"/>
      <c r="AO7" s="8" t="n"/>
      <c r="AP7" s="8" t="n"/>
      <c r="AQ7" s="8" t="n"/>
      <c r="AR7" s="8" t="n"/>
      <c r="AS7" s="8" t="n"/>
      <c r="AT7" s="8" t="n"/>
      <c r="AU7" s="8" t="n"/>
      <c r="AV7" s="8" t="n"/>
      <c r="AW7" s="8" t="n"/>
      <c r="AX7" s="8" t="n"/>
      <c r="AY7" s="8" t="n"/>
      <c r="AZ7" s="8" t="n"/>
      <c r="BA7" s="8" t="n"/>
      <c r="BB7" s="8" t="n"/>
    </row>
    <row r="8" ht="15" customHeight="1">
      <c r="A8" s="5" t="n"/>
      <c r="B8" s="5" t="n"/>
      <c r="C8" s="5" t="n"/>
      <c r="D8" s="5" t="n"/>
      <c r="J8" s="16" t="n"/>
      <c r="K8" s="16" t="n"/>
      <c r="L8" s="16" t="n"/>
      <c r="M8" s="16" t="n"/>
      <c r="N8" s="16" t="n"/>
      <c r="O8" s="16" t="n"/>
      <c r="P8" s="16" t="n"/>
      <c r="Q8" s="16" t="n"/>
      <c r="R8" s="16" t="n"/>
      <c r="S8" s="16" t="n"/>
      <c r="T8" s="16" t="n"/>
      <c r="U8" s="16" t="n"/>
      <c r="V8" s="16" t="n"/>
      <c r="W8" s="16" t="n"/>
      <c r="X8" s="16" t="n"/>
      <c r="Y8" s="16" t="n"/>
      <c r="Z8" s="16" t="n"/>
      <c r="AA8" s="16" t="n"/>
      <c r="AB8" s="16" t="n"/>
      <c r="AC8" s="16" t="n"/>
      <c r="AD8" s="16" t="n"/>
      <c r="AE8" s="16" t="n"/>
      <c r="AF8" s="16" t="n"/>
      <c r="AG8" s="16" t="n"/>
      <c r="AH8" s="16" t="n"/>
      <c r="AI8" s="16" t="n"/>
      <c r="AJ8" s="16" t="n"/>
      <c r="AK8" s="16" t="n"/>
      <c r="AL8" s="16" t="n"/>
      <c r="AM8" s="16" t="n"/>
      <c r="AN8" s="16" t="n"/>
      <c r="AO8" s="16" t="n"/>
      <c r="AP8" s="16" t="n"/>
      <c r="AQ8" s="16" t="n"/>
      <c r="AR8" s="16" t="n"/>
      <c r="AS8" s="16" t="n"/>
      <c r="AT8" s="16" t="n"/>
      <c r="AU8" s="16" t="n"/>
      <c r="AV8" s="16" t="n"/>
      <c r="AW8" s="16" t="n"/>
      <c r="AX8" s="16" t="n"/>
      <c r="AY8" s="16" t="n"/>
      <c r="AZ8" s="16" t="n"/>
      <c r="BA8" s="16" t="n"/>
      <c r="BB8" s="16" t="n"/>
    </row>
    <row r="9" ht="15" customFormat="1" customHeight="1" s="63">
      <c r="C9" s="40" t="inlineStr">
        <is>
          <t>PPPI indexation</t>
        </is>
      </c>
      <c r="D9" s="40" t="n"/>
      <c r="E9" s="40" t="n"/>
      <c r="F9" s="40" t="n"/>
      <c r="G9" s="40" t="n"/>
      <c r="H9" s="40" t="n"/>
      <c r="I9" s="40" t="n"/>
      <c r="J9" s="40" t="n"/>
      <c r="K9" s="40" t="n"/>
      <c r="L9" s="40" t="n"/>
      <c r="M9" s="40" t="n"/>
      <c r="N9" s="40" t="n"/>
      <c r="O9" s="40" t="n"/>
      <c r="P9" s="40" t="n"/>
      <c r="Q9" s="40" t="n"/>
      <c r="R9" s="40" t="n"/>
      <c r="S9" s="40" t="n"/>
      <c r="T9" s="40" t="n"/>
      <c r="U9" s="40" t="n"/>
      <c r="V9" s="40" t="n"/>
      <c r="W9" s="40" t="n"/>
      <c r="X9" s="40" t="n"/>
      <c r="Y9" s="40" t="n"/>
      <c r="Z9" s="40" t="n"/>
      <c r="AA9" s="40" t="n"/>
      <c r="AB9" s="40" t="n"/>
      <c r="AC9" s="40" t="n"/>
      <c r="AD9" s="40" t="n"/>
      <c r="AE9" s="40" t="n"/>
      <c r="AF9" s="40" t="n"/>
      <c r="AG9" s="40" t="n"/>
      <c r="AH9" s="40" t="n"/>
      <c r="AI9" s="40" t="n"/>
      <c r="AJ9" s="40" t="n"/>
      <c r="AK9" s="40" t="n"/>
      <c r="AL9" s="40" t="n"/>
      <c r="AM9" s="40" t="n"/>
      <c r="AN9" s="40" t="n"/>
      <c r="AO9" s="40" t="n"/>
      <c r="AP9" s="40" t="n"/>
      <c r="AQ9" s="40" t="n"/>
      <c r="AR9" s="40" t="n"/>
      <c r="AS9" s="40" t="n"/>
      <c r="AT9" s="40" t="n"/>
      <c r="AU9" s="40" t="n"/>
      <c r="AV9" s="40" t="n"/>
      <c r="AW9" s="40" t="n"/>
      <c r="AX9" s="40" t="n"/>
      <c r="AY9" s="40" t="n"/>
      <c r="AZ9" s="40" t="n"/>
      <c r="BA9" s="40" t="n"/>
      <c r="BB9" s="40" t="n"/>
    </row>
    <row r="10" ht="15" customHeight="1">
      <c r="A10" s="5" t="n"/>
      <c r="B10" s="5" t="n"/>
      <c r="C10" s="5" t="n"/>
      <c r="D10" s="5" t="n"/>
      <c r="E10" s="16" t="n"/>
      <c r="F10" s="16" t="n"/>
      <c r="G10" s="16" t="n"/>
      <c r="I10" s="16" t="n"/>
      <c r="J10" s="16" t="n"/>
      <c r="K10" s="16" t="n"/>
      <c r="L10" s="16" t="n"/>
      <c r="M10" s="16" t="n"/>
      <c r="N10" s="16" t="n"/>
      <c r="O10" s="16" t="n"/>
      <c r="P10" s="16" t="n"/>
      <c r="Q10" s="16" t="n"/>
      <c r="R10" s="16" t="n"/>
      <c r="S10" s="16" t="n"/>
      <c r="T10" s="16" t="n"/>
      <c r="U10" s="16" t="n"/>
      <c r="V10" s="16" t="n"/>
      <c r="W10" s="16" t="n"/>
      <c r="X10" s="16" t="n"/>
      <c r="Y10" s="16" t="n"/>
      <c r="Z10" s="16" t="n"/>
      <c r="AB10" s="16" t="n"/>
      <c r="AC10" s="16" t="n"/>
      <c r="AD10" s="16" t="n"/>
      <c r="AE10" s="16" t="n"/>
      <c r="AF10" s="16" t="n"/>
      <c r="AG10" s="16" t="n"/>
      <c r="AH10" s="16" t="n"/>
      <c r="AI10" s="16" t="n"/>
      <c r="AJ10" s="16" t="n"/>
      <c r="AK10" s="16" t="n"/>
      <c r="AL10" s="16" t="n"/>
      <c r="AM10" s="16" t="n"/>
      <c r="AN10" s="16" t="n"/>
      <c r="AO10" s="16" t="n"/>
      <c r="AP10" s="16" t="n"/>
      <c r="AQ10" s="16" t="n"/>
      <c r="AR10" s="16" t="n"/>
      <c r="AS10" s="16" t="n"/>
      <c r="AT10" s="16" t="n"/>
      <c r="AU10" s="16" t="n"/>
      <c r="AV10" s="16" t="n"/>
      <c r="AW10" s="16" t="n"/>
      <c r="AX10" s="16" t="n"/>
      <c r="AY10" s="16" t="n"/>
      <c r="AZ10" s="16" t="n"/>
      <c r="BA10" s="16" t="n"/>
      <c r="BB10" s="16" t="n"/>
    </row>
    <row r="11" ht="15" customHeight="1">
      <c r="A11" s="5" t="n"/>
      <c r="B11" s="5" t="n"/>
      <c r="C11" s="5" t="n"/>
      <c r="D11" s="5" t="n"/>
      <c r="E11" s="21" t="inlineStr">
        <is>
          <t>Indexation factor</t>
        </is>
      </c>
      <c r="G11" s="21" t="inlineStr">
        <is>
          <t>scalar</t>
        </is>
      </c>
      <c r="H11" s="21" t="inlineStr">
        <is>
          <t>CPIHt</t>
        </is>
      </c>
      <c r="J11" s="16" t="n"/>
      <c r="K11" s="16" t="n"/>
      <c r="L11" s="16" t="n"/>
      <c r="M11" s="16" t="n"/>
      <c r="N11" s="16" t="n"/>
      <c r="O11" s="84">
        <f>INDEX(Inputs!$O$145:$BB$145,MATCH(Indexation!O5,Inputs!$O$5:$BB$5,0))</f>
        <v/>
      </c>
      <c r="P11" s="84">
        <f>INDEX(Inputs!$O$145:$BB$145,MATCH(Indexation!P5,Inputs!$O$5:$BB$5,0))</f>
        <v/>
      </c>
      <c r="Q11" s="84">
        <f>INDEX(Inputs!$O$145:$BB$145,MATCH(Indexation!Q5,Inputs!$O$5:$BB$5,0))</f>
        <v/>
      </c>
      <c r="R11" s="84">
        <f>INDEX(Inputs!$O$145:$BB$145,MATCH(Indexation!R5,Inputs!$O$5:$BB$5,0))</f>
        <v/>
      </c>
      <c r="S11" s="84">
        <f>INDEX(Inputs!$O$145:$BB$145,MATCH(Indexation!S5,Inputs!$O$5:$BB$5,0))</f>
        <v/>
      </c>
      <c r="T11" s="84">
        <f>INDEX(Inputs!$O$145:$BB$145,MATCH(Indexation!T5,Inputs!$O$5:$BB$5,0))</f>
        <v/>
      </c>
      <c r="U11" s="84">
        <f>INDEX(Inputs!$O$145:$BB$145,MATCH(Indexation!U5,Inputs!$O$5:$BB$5,0))</f>
        <v/>
      </c>
      <c r="V11" s="84">
        <f>INDEX(Inputs!$O$145:$BB$145,MATCH(Indexation!V5,Inputs!$O$5:$BB$5,0))</f>
        <v/>
      </c>
      <c r="W11" s="84">
        <f>INDEX(Inputs!$O$145:$BB$145,MATCH(Indexation!W5,Inputs!$O$5:$BB$5,0))</f>
        <v/>
      </c>
      <c r="X11" s="84">
        <f>INDEX(Inputs!$O$145:$BB$145,MATCH(Indexation!X5,Inputs!$O$5:$BB$5,0))</f>
        <v/>
      </c>
      <c r="Y11" s="84">
        <f>INDEX(Inputs!$O$145:$BB$145,MATCH(Indexation!Y5,Inputs!$O$5:$BB$5,0))</f>
        <v/>
      </c>
      <c r="Z11" s="84">
        <f>INDEX(Inputs!$O$145:$BB$145,MATCH(Indexation!Z5,Inputs!$O$5:$BB$5,0))</f>
        <v/>
      </c>
      <c r="AA11" s="84">
        <f>INDEX(Inputs!$O$145:$BB$145,MATCH(Indexation!AA5,Inputs!$O$5:$BB$5,0))</f>
        <v/>
      </c>
      <c r="AB11" s="84">
        <f>INDEX(Inputs!$O$145:$BB$145,MATCH(Indexation!AB5,Inputs!$O$5:$BB$5,0))</f>
        <v/>
      </c>
      <c r="AC11" s="84">
        <f>INDEX(Inputs!$O$145:$BB$145,MATCH(Indexation!AC5,Inputs!$O$5:$BB$5,0))</f>
        <v/>
      </c>
      <c r="AD11" s="84">
        <f>INDEX(Inputs!$O$145:$BB$145,MATCH(Indexation!AD5,Inputs!$O$5:$BB$5,0))</f>
        <v/>
      </c>
      <c r="AE11" s="84">
        <f>INDEX(Inputs!$O$145:$BB$145,MATCH(Indexation!AE5,Inputs!$O$5:$BB$5,0))</f>
        <v/>
      </c>
      <c r="AF11" s="84">
        <f>INDEX(Inputs!$O$145:$BB$145,MATCH(Indexation!AF5,Inputs!$O$5:$BB$5,0))</f>
        <v/>
      </c>
      <c r="AG11" s="84">
        <f>INDEX(Inputs!$O$145:$BB$145,MATCH(Indexation!AG5,Inputs!$O$5:$BB$5,0))</f>
        <v/>
      </c>
      <c r="AH11" s="84">
        <f>INDEX(Inputs!$O$145:$BB$145,MATCH(Indexation!AH5,Inputs!$O$5:$BB$5,0))</f>
        <v/>
      </c>
      <c r="AI11" s="84">
        <f>INDEX(Inputs!$O$145:$BB$145,MATCH(Indexation!AI5,Inputs!$O$5:$BB$5,0))</f>
        <v/>
      </c>
      <c r="AJ11" s="84">
        <f>INDEX(Inputs!$O$145:$BB$145,MATCH(Indexation!AJ5,Inputs!$O$5:$BB$5,0))</f>
        <v/>
      </c>
      <c r="AK11" s="84">
        <f>INDEX(Inputs!$O$145:$BB$145,MATCH(Indexation!AK5,Inputs!$O$5:$BB$5,0))</f>
        <v/>
      </c>
      <c r="AL11" s="84">
        <f>INDEX(Inputs!$O$145:$BB$145,MATCH(Indexation!AL5,Inputs!$O$5:$BB$5,0))</f>
        <v/>
      </c>
      <c r="AM11" s="84">
        <f>INDEX(Inputs!$O$145:$BB$145,MATCH(Indexation!AM5,Inputs!$O$5:$BB$5,0))</f>
        <v/>
      </c>
      <c r="AN11" s="84">
        <f>INDEX(Inputs!$O$145:$BB$145,MATCH(Indexation!AN5,Inputs!$O$5:$BB$5,0))</f>
        <v/>
      </c>
      <c r="AO11" s="84">
        <f>INDEX(Inputs!$O$145:$BB$145,MATCH(Indexation!AO5,Inputs!$O$5:$BB$5,0))</f>
        <v/>
      </c>
      <c r="AP11" s="84">
        <f>INDEX(Inputs!$O$145:$BB$145,MATCH(Indexation!AP5,Inputs!$O$5:$BB$5,0))</f>
        <v/>
      </c>
      <c r="AQ11" s="84">
        <f>INDEX(Inputs!$O$145:$BB$145,MATCH(Indexation!AQ5,Inputs!$O$5:$BB$5,0))</f>
        <v/>
      </c>
      <c r="AR11" s="84">
        <f>INDEX(Inputs!$O$145:$BB$145,MATCH(Indexation!AR5,Inputs!$O$5:$BB$5,0))</f>
        <v/>
      </c>
      <c r="AS11" s="84">
        <f>INDEX(Inputs!$O$145:$BB$145,MATCH(Indexation!AS5,Inputs!$O$5:$BB$5,0))</f>
        <v/>
      </c>
      <c r="AT11" s="84">
        <f>INDEX(Inputs!$O$145:$BB$145,MATCH(Indexation!AT5,Inputs!$O$5:$BB$5,0))</f>
        <v/>
      </c>
      <c r="AU11" s="84">
        <f>INDEX(Inputs!$O$145:$BB$145,MATCH(Indexation!AU5,Inputs!$O$5:$BB$5,0))</f>
        <v/>
      </c>
      <c r="AV11" s="84">
        <f>INDEX(Inputs!$O$145:$BB$145,MATCH(Indexation!AV5,Inputs!$O$5:$BB$5,0))</f>
        <v/>
      </c>
      <c r="AW11" s="84">
        <f>INDEX(Inputs!$O$145:$BB$145,MATCH(Indexation!AW5,Inputs!$O$5:$BB$5,0))</f>
        <v/>
      </c>
      <c r="AX11" s="84">
        <f>INDEX(Inputs!$O$145:$BB$145,MATCH(Indexation!AX5,Inputs!$O$5:$BB$5,0))</f>
        <v/>
      </c>
      <c r="AY11" s="84">
        <f>INDEX(Inputs!$O$145:$BB$145,MATCH(Indexation!AY5,Inputs!$O$5:$BB$5,0))</f>
        <v/>
      </c>
      <c r="AZ11" s="84">
        <f>INDEX(Inputs!$O$145:$BB$145,MATCH(Indexation!AZ5,Inputs!$O$5:$BB$5,0))</f>
        <v/>
      </c>
      <c r="BA11" s="84">
        <f>INDEX(Inputs!$O$145:$BB$145,MATCH(Indexation!BA5,Inputs!$O$5:$BB$5,0))</f>
        <v/>
      </c>
      <c r="BB11" s="84">
        <f>INDEX(Inputs!$O$145:$BB$145,MATCH(Indexation!BB5,Inputs!$O$5:$BB$5,0))</f>
        <v/>
      </c>
    </row>
    <row r="12" ht="15" customHeight="1">
      <c r="A12" s="5" t="n"/>
      <c r="B12" s="5" t="n"/>
      <c r="C12" s="5" t="n"/>
      <c r="D12" s="5" t="n"/>
      <c r="J12" s="16" t="n"/>
      <c r="K12" s="16" t="n"/>
      <c r="L12" s="16" t="n"/>
      <c r="M12" s="16" t="n"/>
      <c r="N12" s="16" t="n"/>
      <c r="O12" s="16" t="n"/>
      <c r="P12" s="16" t="n"/>
      <c r="Q12" s="16" t="n"/>
      <c r="R12" s="16" t="n"/>
      <c r="S12" s="16" t="n"/>
      <c r="T12" s="16" t="n"/>
      <c r="U12" s="16" t="n"/>
      <c r="V12" s="16" t="n"/>
      <c r="W12" s="16" t="n"/>
      <c r="X12" s="16" t="n"/>
      <c r="Y12" s="16" t="n"/>
      <c r="Z12" s="16" t="n"/>
      <c r="AA12" s="16" t="n"/>
      <c r="AB12" s="16" t="n"/>
      <c r="AC12" s="16" t="n"/>
      <c r="AD12" s="16" t="n"/>
      <c r="AE12" s="16" t="n"/>
      <c r="AF12" s="16" t="n"/>
      <c r="AG12" s="16" t="n"/>
      <c r="AH12" s="16" t="n"/>
      <c r="AI12" s="16" t="n"/>
      <c r="AJ12" s="16" t="n"/>
      <c r="AK12" s="16" t="n"/>
      <c r="AL12" s="16" t="n"/>
      <c r="AM12" s="16" t="n"/>
      <c r="AN12" s="16" t="n"/>
      <c r="AO12" s="16" t="n"/>
      <c r="AP12" s="16" t="n"/>
      <c r="AQ12" s="16" t="n"/>
      <c r="AR12" s="16" t="n"/>
      <c r="AS12" s="16" t="n"/>
      <c r="AT12" s="16" t="n"/>
      <c r="AU12" s="16" t="n"/>
      <c r="AV12" s="16" t="n"/>
      <c r="AW12" s="16" t="n"/>
      <c r="AX12" s="16" t="n"/>
      <c r="AY12" s="16" t="n"/>
      <c r="AZ12" s="16" t="n"/>
      <c r="BA12" s="16" t="n"/>
      <c r="BB12" s="16" t="n"/>
    </row>
    <row r="13" ht="15" customFormat="1" customHeight="1" s="63">
      <c r="C13" s="40" t="inlineStr">
        <is>
          <t>Indexed annuity (pre-availability incentive)</t>
        </is>
      </c>
      <c r="D13" s="40" t="n"/>
      <c r="E13" s="40" t="n"/>
      <c r="F13" s="40" t="n"/>
      <c r="G13" s="40" t="n"/>
      <c r="H13" s="40" t="n"/>
      <c r="I13" s="40" t="n"/>
      <c r="J13" s="40" t="n"/>
      <c r="K13" s="40" t="n"/>
      <c r="L13" s="40" t="n"/>
      <c r="M13" s="40" t="n"/>
      <c r="N13" s="40" t="n"/>
      <c r="O13" s="40" t="n"/>
      <c r="P13" s="40" t="n"/>
      <c r="Q13" s="40" t="n"/>
      <c r="R13" s="40" t="n"/>
      <c r="S13" s="40" t="n"/>
      <c r="T13" s="40" t="n"/>
      <c r="U13" s="40" t="n"/>
      <c r="V13" s="40" t="n"/>
      <c r="W13" s="40" t="n"/>
      <c r="X13" s="40" t="n"/>
      <c r="Y13" s="40" t="n"/>
      <c r="Z13" s="40" t="n"/>
      <c r="AA13" s="40" t="n"/>
      <c r="AB13" s="40" t="n"/>
      <c r="AC13" s="40" t="n"/>
      <c r="AD13" s="40" t="n"/>
      <c r="AE13" s="40" t="n"/>
      <c r="AF13" s="40" t="n"/>
      <c r="AG13" s="40" t="n"/>
      <c r="AH13" s="40" t="n"/>
      <c r="AI13" s="40" t="n"/>
      <c r="AJ13" s="40" t="n"/>
      <c r="AK13" s="40" t="n"/>
      <c r="AL13" s="40" t="n"/>
      <c r="AM13" s="40" t="n"/>
      <c r="AN13" s="40" t="n"/>
      <c r="AO13" s="40" t="n"/>
      <c r="AP13" s="40" t="n"/>
      <c r="AQ13" s="40" t="n"/>
      <c r="AR13" s="40" t="n"/>
      <c r="AS13" s="40" t="n"/>
      <c r="AT13" s="40" t="n"/>
      <c r="AU13" s="40" t="n"/>
      <c r="AV13" s="40" t="n"/>
      <c r="AW13" s="40" t="n"/>
      <c r="AX13" s="40" t="n"/>
      <c r="AY13" s="40" t="n"/>
      <c r="AZ13" s="40" t="n"/>
      <c r="BA13" s="40" t="n"/>
      <c r="BB13" s="40" t="n"/>
    </row>
    <row r="14" ht="15" customHeight="1">
      <c r="A14" s="5" t="n"/>
      <c r="B14" s="5" t="n"/>
      <c r="C14" s="5" t="n"/>
      <c r="D14" s="5" t="n"/>
      <c r="J14" s="16" t="n"/>
      <c r="K14" s="16" t="n"/>
      <c r="L14" s="16" t="n"/>
      <c r="M14" s="16" t="n"/>
      <c r="N14" s="16" t="n"/>
      <c r="O14" s="16" t="n"/>
      <c r="P14" s="16" t="n"/>
      <c r="Q14" s="16" t="n"/>
      <c r="R14" s="16" t="n"/>
      <c r="S14" s="16" t="n"/>
      <c r="T14" s="16" t="n"/>
      <c r="U14" s="16" t="n"/>
      <c r="V14" s="16" t="n"/>
      <c r="W14" s="16" t="n"/>
      <c r="X14" s="16" t="n"/>
      <c r="Y14" s="16" t="n"/>
      <c r="Z14" s="16" t="n"/>
      <c r="AA14" s="16" t="n"/>
      <c r="AB14" s="16" t="n"/>
      <c r="AC14" s="16" t="n"/>
      <c r="AD14" s="16" t="n"/>
      <c r="AE14" s="16" t="n"/>
      <c r="AF14" s="16" t="n"/>
      <c r="AG14" s="16" t="n"/>
      <c r="AH14" s="16" t="n"/>
      <c r="AI14" s="16" t="n"/>
      <c r="AJ14" s="16" t="n"/>
      <c r="AK14" s="16" t="n"/>
      <c r="AL14" s="16" t="n"/>
      <c r="AM14" s="16" t="n"/>
      <c r="AN14" s="16" t="n"/>
      <c r="AO14" s="16" t="n"/>
      <c r="AP14" s="16" t="n"/>
      <c r="AQ14" s="16" t="n"/>
      <c r="AR14" s="16" t="n"/>
      <c r="AS14" s="16" t="n"/>
      <c r="AT14" s="16" t="n"/>
      <c r="AU14" s="16" t="n"/>
      <c r="AV14" s="16" t="n"/>
      <c r="AW14" s="16" t="n"/>
      <c r="AX14" s="16" t="n"/>
      <c r="AY14" s="16" t="n"/>
      <c r="AZ14" s="16" t="n"/>
      <c r="BA14" s="16" t="n"/>
      <c r="BB14" s="16" t="n"/>
    </row>
    <row r="15" ht="15" customHeight="1">
      <c r="A15" s="5" t="n"/>
      <c r="B15" s="5" t="n"/>
      <c r="C15" s="5" t="n"/>
      <c r="D15" s="5" t="n"/>
      <c r="E15" s="21" t="inlineStr">
        <is>
          <t>Preliminary Cap</t>
        </is>
      </c>
      <c r="G15" s="5">
        <f>base_year</f>
        <v/>
      </c>
      <c r="H15" s="21" t="inlineStr">
        <is>
          <t>PCL</t>
        </is>
      </c>
      <c r="I15" s="96">
        <f>Prel_Cap</f>
        <v/>
      </c>
      <c r="J15" s="16" t="n"/>
      <c r="K15" s="16" t="n"/>
      <c r="L15" s="16" t="n"/>
      <c r="M15" s="16" t="n"/>
      <c r="N15" s="16" t="n"/>
      <c r="O15" s="16" t="n"/>
      <c r="P15" s="16" t="n"/>
      <c r="Q15" s="16" t="n"/>
      <c r="R15" s="16" t="n"/>
      <c r="S15" s="16" t="n"/>
      <c r="T15" s="16" t="n"/>
      <c r="U15" s="16" t="n"/>
      <c r="V15" s="16" t="n"/>
      <c r="W15" s="16" t="n"/>
      <c r="X15" s="16" t="n"/>
      <c r="Y15" s="16" t="n"/>
      <c r="Z15" s="16" t="n"/>
      <c r="AA15" s="16" t="n"/>
      <c r="AB15" s="16" t="n"/>
      <c r="AC15" s="16" t="n"/>
      <c r="AD15" s="16" t="n"/>
      <c r="AE15" s="16" t="n"/>
      <c r="AF15" s="16" t="n"/>
      <c r="AG15" s="16" t="n"/>
      <c r="AH15" s="16" t="n"/>
      <c r="AI15" s="16" t="n"/>
      <c r="AJ15" s="16" t="n"/>
      <c r="AK15" s="16" t="n"/>
      <c r="AL15" s="16" t="n"/>
      <c r="AM15" s="16" t="n"/>
      <c r="AN15" s="16" t="n"/>
      <c r="AO15" s="16" t="n"/>
      <c r="AP15" s="16" t="n"/>
      <c r="AQ15" s="16" t="n"/>
      <c r="AR15" s="16" t="n"/>
      <c r="AS15" s="16" t="n"/>
      <c r="AT15" s="16" t="n"/>
      <c r="AU15" s="16" t="n"/>
      <c r="AV15" s="16" t="n"/>
      <c r="AW15" s="16" t="n"/>
      <c r="AX15" s="16" t="n"/>
      <c r="AY15" s="16" t="n"/>
      <c r="AZ15" s="16" t="n"/>
      <c r="BA15" s="16" t="n"/>
      <c r="BB15" s="16" t="n"/>
    </row>
    <row r="16" ht="15" customHeight="1">
      <c r="A16" s="5" t="n"/>
      <c r="B16" s="5" t="n"/>
      <c r="C16" s="5" t="n"/>
      <c r="D16" s="5" t="n"/>
      <c r="E16" s="21" t="inlineStr">
        <is>
          <t>Preliminary Floor</t>
        </is>
      </c>
      <c r="G16" s="5">
        <f>base_year</f>
        <v/>
      </c>
      <c r="H16" s="21" t="inlineStr">
        <is>
          <t>PFL</t>
        </is>
      </c>
      <c r="I16" s="96">
        <f>Prel_Floor</f>
        <v/>
      </c>
      <c r="J16" s="16" t="n"/>
      <c r="K16" s="16" t="n"/>
      <c r="L16" s="16" t="n"/>
      <c r="M16" s="16" t="n"/>
      <c r="N16" s="16" t="n"/>
      <c r="O16" s="16" t="n"/>
      <c r="P16" s="16" t="n"/>
      <c r="Q16" s="16" t="n"/>
      <c r="R16" s="16" t="n"/>
      <c r="S16" s="16" t="n"/>
      <c r="T16" s="16" t="n"/>
      <c r="U16" s="16" t="n"/>
      <c r="V16" s="16" t="n"/>
      <c r="W16" s="16" t="n"/>
      <c r="X16" s="16" t="n"/>
      <c r="Y16" s="16" t="n"/>
      <c r="Z16" s="16" t="n"/>
      <c r="AA16" s="16" t="n"/>
      <c r="AB16" s="16" t="n"/>
      <c r="AC16" s="16" t="n"/>
      <c r="AD16" s="16" t="n"/>
      <c r="AE16" s="16" t="n"/>
      <c r="AF16" s="16" t="n"/>
      <c r="AG16" s="16" t="n"/>
      <c r="AH16" s="16" t="n"/>
      <c r="AI16" s="16" t="n"/>
      <c r="AJ16" s="16" t="n"/>
      <c r="AK16" s="16" t="n"/>
      <c r="AL16" s="16" t="n"/>
      <c r="AM16" s="16" t="n"/>
      <c r="AN16" s="16" t="n"/>
      <c r="AO16" s="16" t="n"/>
      <c r="AP16" s="16" t="n"/>
      <c r="AQ16" s="16" t="n"/>
      <c r="AR16" s="16" t="n"/>
      <c r="AS16" s="16" t="n"/>
      <c r="AT16" s="16" t="n"/>
      <c r="AU16" s="16" t="n"/>
      <c r="AV16" s="16" t="n"/>
      <c r="AW16" s="16" t="n"/>
      <c r="AX16" s="16" t="n"/>
      <c r="AY16" s="16" t="n"/>
      <c r="AZ16" s="16" t="n"/>
      <c r="BA16" s="16" t="n"/>
      <c r="BB16" s="16" t="n"/>
    </row>
    <row r="17" ht="15" customHeight="1">
      <c r="A17" s="5" t="n"/>
      <c r="B17" s="5" t="n"/>
      <c r="C17" s="5" t="n"/>
      <c r="D17" s="5" t="n"/>
      <c r="E17" s="21" t="inlineStr">
        <is>
          <t>PCA adjustment to Cap</t>
        </is>
      </c>
      <c r="G17" s="5">
        <f>base_year</f>
        <v/>
      </c>
      <c r="H17" s="21" t="inlineStr">
        <is>
          <t>PCAC</t>
        </is>
      </c>
      <c r="I17" s="96">
        <f>PCAC_Adj</f>
        <v/>
      </c>
      <c r="J17" s="16" t="n"/>
      <c r="K17" s="16" t="n"/>
      <c r="L17" s="16" t="n"/>
      <c r="M17" s="16" t="n"/>
      <c r="N17" s="16" t="n"/>
      <c r="O17" s="16" t="n"/>
      <c r="P17" s="16" t="n"/>
      <c r="Q17" s="16" t="n"/>
      <c r="R17" s="16" t="n"/>
      <c r="S17" s="16" t="n"/>
      <c r="T17" s="16" t="n"/>
      <c r="U17" s="16" t="n"/>
      <c r="V17" s="16" t="n"/>
      <c r="W17" s="16" t="n"/>
      <c r="X17" s="16" t="n"/>
      <c r="Y17" s="16" t="n"/>
      <c r="Z17" s="16" t="n"/>
      <c r="AA17" s="16" t="n"/>
      <c r="AB17" s="67" t="n"/>
      <c r="AC17" s="67" t="n"/>
      <c r="AD17" s="67" t="n"/>
      <c r="AE17" s="67" t="n"/>
      <c r="AF17" s="67" t="n"/>
      <c r="AG17" s="67" t="n"/>
      <c r="AH17" s="67" t="n"/>
      <c r="AI17" s="67" t="n"/>
      <c r="AJ17" s="67" t="n"/>
      <c r="AK17" s="67" t="n"/>
      <c r="AL17" s="67" t="n"/>
      <c r="AM17" s="67" t="n"/>
      <c r="AN17" s="67" t="n"/>
      <c r="AO17" s="67" t="n"/>
      <c r="AP17" s="67" t="n"/>
      <c r="AQ17" s="67" t="n"/>
      <c r="AR17" s="67" t="n"/>
      <c r="AS17" s="67" t="n"/>
      <c r="AT17" s="67" t="n"/>
      <c r="AU17" s="67" t="n"/>
      <c r="AV17" s="67" t="n"/>
      <c r="AW17" s="67" t="n"/>
      <c r="AX17" s="67" t="n"/>
      <c r="AY17" s="67" t="n"/>
      <c r="AZ17" s="67" t="n"/>
      <c r="BA17" s="67" t="n"/>
      <c r="BB17" s="67" t="n"/>
    </row>
    <row r="18" ht="15" customHeight="1">
      <c r="A18" s="5" t="n"/>
      <c r="B18" s="5" t="n"/>
      <c r="C18" s="5" t="n"/>
      <c r="D18" s="5" t="n"/>
      <c r="E18" s="21" t="inlineStr">
        <is>
          <t>PCA adjustment to Floor</t>
        </is>
      </c>
      <c r="G18" s="5">
        <f>base_year</f>
        <v/>
      </c>
      <c r="H18" s="21" t="inlineStr">
        <is>
          <t>PCAF</t>
        </is>
      </c>
      <c r="I18" s="96">
        <f>PCAF_Adj</f>
        <v/>
      </c>
      <c r="J18" s="16" t="n"/>
      <c r="K18" s="16" t="n"/>
      <c r="L18" s="16" t="n"/>
      <c r="M18" s="16" t="n"/>
      <c r="N18" s="16" t="n"/>
      <c r="O18" s="16" t="n"/>
      <c r="P18" s="16" t="n"/>
      <c r="Q18" s="16" t="n"/>
      <c r="R18" s="16" t="n"/>
      <c r="S18" s="16" t="n"/>
      <c r="T18" s="16" t="n"/>
      <c r="U18" s="16" t="n"/>
      <c r="V18" s="16" t="n"/>
      <c r="W18" s="16" t="n"/>
      <c r="X18" s="16" t="n"/>
      <c r="Y18" s="16" t="n"/>
      <c r="Z18" s="16" t="n"/>
      <c r="AA18" s="16" t="n"/>
      <c r="AB18" s="67" t="n"/>
      <c r="AC18" s="67" t="n"/>
      <c r="AD18" s="67" t="n"/>
      <c r="AE18" s="67" t="n"/>
      <c r="AF18" s="67" t="n"/>
      <c r="AG18" s="67" t="n"/>
      <c r="AH18" s="67" t="n"/>
      <c r="AI18" s="67" t="n"/>
      <c r="AJ18" s="67" t="n"/>
      <c r="AK18" s="67" t="n"/>
      <c r="AL18" s="67" t="n"/>
      <c r="AM18" s="67" t="n"/>
      <c r="AN18" s="67" t="n"/>
      <c r="AO18" s="67" t="n"/>
      <c r="AP18" s="67" t="n"/>
      <c r="AQ18" s="67" t="n"/>
      <c r="AR18" s="67" t="n"/>
      <c r="AS18" s="67" t="n"/>
      <c r="AT18" s="67" t="n"/>
      <c r="AU18" s="67" t="n"/>
      <c r="AV18" s="67" t="n"/>
      <c r="AW18" s="67" t="n"/>
      <c r="AX18" s="67" t="n"/>
      <c r="AY18" s="67" t="n"/>
      <c r="AZ18" s="67" t="n"/>
      <c r="BA18" s="67" t="n"/>
      <c r="BB18" s="67" t="n"/>
    </row>
    <row r="19" ht="15" customHeight="1">
      <c r="A19" s="5" t="n"/>
      <c r="B19" s="5" t="n"/>
      <c r="C19" s="5" t="n"/>
      <c r="D19" s="5" t="n"/>
      <c r="E19" s="21" t="inlineStr">
        <is>
          <t>ORA adjustment to Cap</t>
        </is>
      </c>
      <c r="G19" s="5">
        <f>base_year</f>
        <v/>
      </c>
      <c r="H19" s="21" t="inlineStr">
        <is>
          <t>ORAC</t>
        </is>
      </c>
      <c r="I19" s="96">
        <f>ORAC_Adj</f>
        <v/>
      </c>
      <c r="J19" s="16" t="n"/>
      <c r="K19" s="16" t="n"/>
      <c r="L19" s="16" t="n"/>
      <c r="M19" s="16" t="n"/>
      <c r="N19" s="16" t="n"/>
      <c r="O19" s="16" t="n"/>
      <c r="P19" s="16" t="n"/>
      <c r="Q19" s="16" t="n"/>
      <c r="R19" s="16" t="n"/>
      <c r="S19" s="16" t="n"/>
      <c r="T19" s="16" t="n"/>
      <c r="U19" s="16" t="n"/>
      <c r="V19" s="16" t="n"/>
      <c r="W19" s="16" t="n"/>
      <c r="X19" s="16" t="n"/>
      <c r="Y19" s="16" t="n"/>
      <c r="Z19" s="16" t="n"/>
      <c r="AA19" s="16" t="n"/>
      <c r="AB19" s="67" t="n"/>
      <c r="AC19" s="67" t="n"/>
      <c r="AD19" s="67" t="n"/>
      <c r="AE19" s="67" t="n"/>
      <c r="AF19" s="67" t="n"/>
      <c r="AG19" s="67" t="n"/>
      <c r="AH19" s="67" t="n"/>
      <c r="AI19" s="67" t="n"/>
      <c r="AJ19" s="67" t="n"/>
      <c r="AK19" s="67" t="n"/>
      <c r="AL19" s="67" t="n"/>
      <c r="AM19" s="67" t="n"/>
      <c r="AN19" s="67" t="n"/>
      <c r="AO19" s="67" t="n"/>
      <c r="AP19" s="67" t="n"/>
      <c r="AQ19" s="67" t="n"/>
      <c r="AR19" s="67" t="n"/>
      <c r="AS19" s="67" t="n"/>
      <c r="AT19" s="67" t="n"/>
      <c r="AU19" s="67" t="n"/>
      <c r="AV19" s="67" t="n"/>
      <c r="AW19" s="67" t="n"/>
      <c r="AX19" s="67" t="n"/>
      <c r="AY19" s="67" t="n"/>
      <c r="AZ19" s="67" t="n"/>
      <c r="BA19" s="67" t="n"/>
      <c r="BB19" s="67" t="n"/>
    </row>
    <row r="20" ht="15" customHeight="1">
      <c r="A20" s="5" t="n"/>
      <c r="B20" s="5" t="n"/>
      <c r="C20" s="5" t="n"/>
      <c r="D20" s="5" t="n"/>
      <c r="E20" s="21" t="inlineStr">
        <is>
          <t>ORA adjustment to Floor</t>
        </is>
      </c>
      <c r="G20" s="5">
        <f>base_year</f>
        <v/>
      </c>
      <c r="H20" s="21" t="inlineStr">
        <is>
          <t>ORAF</t>
        </is>
      </c>
      <c r="I20" s="96">
        <f>ORAF_Adj</f>
        <v/>
      </c>
      <c r="J20" s="16" t="n"/>
      <c r="K20" s="16" t="n"/>
      <c r="L20" s="16" t="n"/>
      <c r="M20" s="16" t="n"/>
      <c r="N20" s="16" t="n"/>
      <c r="O20" s="16" t="n"/>
      <c r="P20" s="16" t="n"/>
      <c r="Q20" s="16" t="n"/>
      <c r="R20" s="16" t="n"/>
      <c r="S20" s="16" t="n"/>
      <c r="T20" s="16" t="n"/>
      <c r="U20" s="16" t="n"/>
      <c r="V20" s="16" t="n"/>
      <c r="W20" s="16" t="n"/>
      <c r="X20" s="16" t="n"/>
      <c r="Y20" s="16" t="n"/>
      <c r="Z20" s="16" t="n"/>
      <c r="AA20" s="16" t="n"/>
      <c r="AB20" s="67" t="n"/>
      <c r="AC20" s="67" t="n"/>
      <c r="AD20" s="67" t="n"/>
      <c r="AE20" s="67" t="n"/>
      <c r="AF20" s="67" t="n"/>
      <c r="AG20" s="67" t="n"/>
      <c r="AH20" s="67" t="n"/>
      <c r="AI20" s="67" t="n"/>
      <c r="AJ20" s="67" t="n"/>
      <c r="AK20" s="67" t="n"/>
      <c r="AL20" s="67" t="n"/>
      <c r="AM20" s="67" t="n"/>
      <c r="AN20" s="67" t="n"/>
      <c r="AO20" s="67" t="n"/>
      <c r="AP20" s="67" t="n"/>
      <c r="AQ20" s="67" t="n"/>
      <c r="AR20" s="67" t="n"/>
      <c r="AS20" s="67" t="n"/>
      <c r="AT20" s="67" t="n"/>
      <c r="AU20" s="67" t="n"/>
      <c r="AV20" s="67" t="n"/>
      <c r="AW20" s="67" t="n"/>
      <c r="AX20" s="67" t="n"/>
      <c r="AY20" s="67" t="n"/>
      <c r="AZ20" s="67" t="n"/>
      <c r="BA20" s="67" t="n"/>
      <c r="BB20" s="67" t="n"/>
    </row>
    <row r="21" ht="15" customHeight="1">
      <c r="A21" s="5" t="n"/>
      <c r="B21" s="5" t="n"/>
      <c r="C21" s="5" t="n"/>
      <c r="D21" s="5" t="n"/>
      <c r="E21" s="21" t="inlineStr">
        <is>
          <t>Latest DC adjustment to Cap</t>
        </is>
      </c>
      <c r="G21" s="5">
        <f>base_year</f>
        <v/>
      </c>
      <c r="H21" s="21" t="inlineStr">
        <is>
          <t>DCCt</t>
        </is>
      </c>
      <c r="I21" s="96">
        <f>DCC_Adj_Latest</f>
        <v/>
      </c>
      <c r="J21" s="16" t="n"/>
      <c r="K21" s="16" t="n"/>
      <c r="L21" s="16" t="n"/>
      <c r="M21" s="16" t="n"/>
      <c r="N21" s="16" t="n"/>
      <c r="O21" s="16" t="n"/>
      <c r="P21" s="16" t="n"/>
      <c r="Q21" s="16" t="n"/>
      <c r="R21" s="16" t="n"/>
      <c r="S21" s="16" t="n"/>
      <c r="T21" s="16" t="n"/>
      <c r="U21" s="16" t="n"/>
      <c r="V21" s="16" t="n"/>
      <c r="W21" s="16" t="n"/>
      <c r="X21" s="16" t="n"/>
      <c r="Y21" s="16" t="n"/>
      <c r="Z21" s="16" t="n"/>
      <c r="AA21" s="16" t="n"/>
      <c r="AB21" s="67" t="n"/>
      <c r="AC21" s="67" t="n"/>
      <c r="AD21" s="67" t="n"/>
      <c r="AE21" s="67" t="n"/>
      <c r="AF21" s="67" t="n"/>
      <c r="AG21" s="67" t="n"/>
      <c r="AH21" s="67" t="n"/>
      <c r="AI21" s="67" t="n"/>
      <c r="AJ21" s="67" t="n"/>
      <c r="AK21" s="67" t="n"/>
      <c r="AL21" s="67" t="n"/>
      <c r="AM21" s="67" t="n"/>
      <c r="AN21" s="67" t="n"/>
      <c r="AO21" s="67" t="n"/>
      <c r="AP21" s="67" t="n"/>
      <c r="AQ21" s="67" t="n"/>
      <c r="AR21" s="67" t="n"/>
      <c r="AS21" s="67" t="n"/>
      <c r="AT21" s="67" t="n"/>
      <c r="AU21" s="67" t="n"/>
      <c r="AV21" s="67" t="n"/>
      <c r="AW21" s="67" t="n"/>
      <c r="AX21" s="67" t="n"/>
      <c r="AY21" s="67" t="n"/>
      <c r="AZ21" s="67" t="n"/>
      <c r="BA21" s="67" t="n"/>
      <c r="BB21" s="67" t="n"/>
    </row>
    <row r="22" ht="15" customHeight="1">
      <c r="A22" s="5" t="n"/>
      <c r="B22" s="5" t="n"/>
      <c r="C22" s="5" t="n"/>
      <c r="D22" s="5" t="n"/>
      <c r="E22" s="21" t="inlineStr">
        <is>
          <t>Latest DC adjustment to Floor</t>
        </is>
      </c>
      <c r="G22" s="5">
        <f>base_year</f>
        <v/>
      </c>
      <c r="H22" s="21" t="inlineStr">
        <is>
          <t>DCFt</t>
        </is>
      </c>
      <c r="I22" s="96">
        <f>DCF_Adj_Latest</f>
        <v/>
      </c>
      <c r="J22" s="16" t="n"/>
      <c r="K22" s="16" t="n"/>
      <c r="L22" s="16" t="n"/>
      <c r="M22" s="16" t="n"/>
      <c r="N22" s="16" t="n"/>
      <c r="O22" s="16" t="n"/>
      <c r="P22" s="16" t="n"/>
      <c r="Q22" s="16" t="n"/>
      <c r="R22" s="16" t="n"/>
      <c r="S22" s="16" t="n"/>
      <c r="T22" s="16" t="n"/>
      <c r="U22" s="16" t="n"/>
      <c r="V22" s="16" t="n"/>
      <c r="W22" s="16" t="n"/>
      <c r="X22" s="16" t="n"/>
      <c r="Y22" s="16" t="n"/>
      <c r="Z22" s="16" t="n"/>
      <c r="AA22" s="16" t="n"/>
      <c r="AB22" s="67" t="n"/>
      <c r="AC22" s="67" t="n"/>
      <c r="AD22" s="67" t="n"/>
      <c r="AE22" s="67" t="n"/>
      <c r="AF22" s="67" t="n"/>
      <c r="AG22" s="67" t="n"/>
      <c r="AH22" s="67" t="n"/>
      <c r="AI22" s="67" t="n"/>
      <c r="AJ22" s="67" t="n"/>
      <c r="AK22" s="67" t="n"/>
      <c r="AL22" s="67" t="n"/>
      <c r="AM22" s="67" t="n"/>
      <c r="AN22" s="67" t="n"/>
      <c r="AO22" s="67" t="n"/>
      <c r="AP22" s="67" t="n"/>
      <c r="AQ22" s="67" t="n"/>
      <c r="AR22" s="67" t="n"/>
      <c r="AS22" s="67" t="n"/>
      <c r="AT22" s="67" t="n"/>
      <c r="AU22" s="67" t="n"/>
      <c r="AV22" s="67" t="n"/>
      <c r="AW22" s="67" t="n"/>
      <c r="AX22" s="67" t="n"/>
      <c r="AY22" s="67" t="n"/>
      <c r="AZ22" s="67" t="n"/>
      <c r="BA22" s="67" t="n"/>
      <c r="BB22" s="67" t="n"/>
    </row>
    <row r="23" ht="15" customHeight="1">
      <c r="A23" s="5" t="n"/>
      <c r="B23" s="5" t="n"/>
      <c r="C23" s="5" t="n"/>
      <c r="D23" s="5" t="n"/>
      <c r="E23" s="21" t="inlineStr">
        <is>
          <t>First DC adjustment to Cap</t>
        </is>
      </c>
      <c r="G23" s="5">
        <f>base_year</f>
        <v/>
      </c>
      <c r="H23" s="21" t="inlineStr">
        <is>
          <t>DCCt</t>
        </is>
      </c>
      <c r="I23" s="96">
        <f>DCC_Adj_1st</f>
        <v/>
      </c>
      <c r="J23" s="16" t="n"/>
      <c r="K23" s="16" t="n"/>
      <c r="L23" s="16" t="n"/>
      <c r="M23" s="16" t="n"/>
      <c r="N23" s="16" t="n"/>
      <c r="O23" s="16" t="n"/>
      <c r="P23" s="16" t="n"/>
      <c r="Q23" s="16" t="n"/>
      <c r="R23" s="16" t="n"/>
      <c r="S23" s="16" t="n"/>
      <c r="T23" s="16" t="n"/>
      <c r="U23" s="16" t="n"/>
      <c r="V23" s="16" t="n"/>
      <c r="W23" s="16" t="n"/>
      <c r="X23" s="16" t="n"/>
      <c r="Y23" s="16" t="n"/>
      <c r="Z23" s="16" t="n"/>
      <c r="AA23" s="16" t="n"/>
      <c r="AB23" s="67" t="n"/>
      <c r="AC23" s="67" t="n"/>
      <c r="AD23" s="67" t="n"/>
      <c r="AE23" s="67" t="n"/>
      <c r="AF23" s="67" t="n"/>
      <c r="AG23" s="67" t="n"/>
      <c r="AH23" s="67" t="n"/>
      <c r="AI23" s="67" t="n"/>
      <c r="AJ23" s="67" t="n"/>
      <c r="AK23" s="67" t="n"/>
      <c r="AL23" s="67" t="n"/>
      <c r="AM23" s="67" t="n"/>
      <c r="AN23" s="67" t="n"/>
      <c r="AO23" s="67" t="n"/>
      <c r="AP23" s="67" t="n"/>
      <c r="AQ23" s="67" t="n"/>
      <c r="AR23" s="67" t="n"/>
      <c r="AS23" s="67" t="n"/>
      <c r="AT23" s="67" t="n"/>
      <c r="AU23" s="67" t="n"/>
      <c r="AV23" s="67" t="n"/>
      <c r="AW23" s="67" t="n"/>
      <c r="AX23" s="67" t="n"/>
      <c r="AY23" s="67" t="n"/>
      <c r="AZ23" s="67" t="n"/>
      <c r="BA23" s="67" t="n"/>
      <c r="BB23" s="67" t="n"/>
    </row>
    <row r="24" ht="15" customHeight="1">
      <c r="A24" s="5" t="n"/>
      <c r="B24" s="5" t="n"/>
      <c r="C24" s="5" t="n"/>
      <c r="D24" s="5" t="n"/>
      <c r="E24" s="21" t="inlineStr">
        <is>
          <t>First DC adjustment to Floor</t>
        </is>
      </c>
      <c r="G24" s="5">
        <f>base_year</f>
        <v/>
      </c>
      <c r="H24" s="21" t="inlineStr">
        <is>
          <t>DCFt</t>
        </is>
      </c>
      <c r="I24" s="96">
        <f>DCF_Adj_1st</f>
        <v/>
      </c>
      <c r="J24" s="16" t="n"/>
      <c r="K24" s="16" t="n"/>
      <c r="L24" s="16" t="n"/>
      <c r="M24" s="16" t="n"/>
      <c r="N24" s="16" t="n"/>
      <c r="O24" s="16" t="n"/>
      <c r="P24" s="16" t="n"/>
      <c r="Q24" s="16" t="n"/>
      <c r="R24" s="16" t="n"/>
      <c r="S24" s="16" t="n"/>
      <c r="T24" s="16" t="n"/>
      <c r="U24" s="16" t="n"/>
      <c r="V24" s="16" t="n"/>
      <c r="W24" s="16" t="n"/>
      <c r="X24" s="16" t="n"/>
      <c r="Y24" s="16" t="n"/>
      <c r="Z24" s="16" t="n"/>
      <c r="AA24" s="16" t="n"/>
      <c r="AB24" s="67" t="n"/>
      <c r="AC24" s="67" t="n"/>
      <c r="AD24" s="67" t="n"/>
      <c r="AE24" s="67" t="n"/>
      <c r="AF24" s="67" t="n"/>
      <c r="AG24" s="67" t="n"/>
      <c r="AH24" s="67" t="n"/>
      <c r="AI24" s="67" t="n"/>
      <c r="AJ24" s="67" t="n"/>
      <c r="AK24" s="67" t="n"/>
      <c r="AL24" s="67" t="n"/>
      <c r="AM24" s="67" t="n"/>
      <c r="AN24" s="67" t="n"/>
      <c r="AO24" s="67" t="n"/>
      <c r="AP24" s="67" t="n"/>
      <c r="AQ24" s="67" t="n"/>
      <c r="AR24" s="67" t="n"/>
      <c r="AS24" s="67" t="n"/>
      <c r="AT24" s="67" t="n"/>
      <c r="AU24" s="67" t="n"/>
      <c r="AV24" s="67" t="n"/>
      <c r="AW24" s="67" t="n"/>
      <c r="AX24" s="67" t="n"/>
      <c r="AY24" s="67" t="n"/>
      <c r="AZ24" s="67" t="n"/>
      <c r="BA24" s="67" t="n"/>
      <c r="BB24" s="67" t="n"/>
    </row>
    <row r="25" ht="15" customHeight="1">
      <c r="A25" s="5" t="n"/>
      <c r="B25" s="5" t="n"/>
      <c r="C25" s="5" t="n"/>
      <c r="D25" s="5" t="n"/>
      <c r="E25" s="21" t="inlineStr">
        <is>
          <t>Second DC adjustment to Cap</t>
        </is>
      </c>
      <c r="G25" s="5">
        <f>base_year</f>
        <v/>
      </c>
      <c r="H25" s="21" t="inlineStr">
        <is>
          <t>DCCt</t>
        </is>
      </c>
      <c r="I25" s="96">
        <f>DCC_Adj_2nd</f>
        <v/>
      </c>
      <c r="J25" s="16" t="n"/>
      <c r="K25" s="16" t="n"/>
      <c r="L25" s="16" t="n"/>
      <c r="M25" s="16" t="n"/>
      <c r="N25" s="16" t="n"/>
      <c r="O25" s="16" t="n"/>
      <c r="P25" s="16" t="n"/>
      <c r="Q25" s="16" t="n"/>
      <c r="R25" s="16" t="n"/>
      <c r="S25" s="16" t="n"/>
      <c r="T25" s="16" t="n"/>
      <c r="U25" s="16" t="n"/>
      <c r="V25" s="16" t="n"/>
      <c r="W25" s="16" t="n"/>
      <c r="X25" s="16" t="n"/>
      <c r="Y25" s="16" t="n"/>
      <c r="Z25" s="16" t="n"/>
      <c r="AA25" s="16" t="n"/>
      <c r="AB25" s="67" t="n"/>
      <c r="AC25" s="67" t="n"/>
      <c r="AD25" s="67" t="n"/>
      <c r="AE25" s="67" t="n"/>
      <c r="AF25" s="67" t="n"/>
      <c r="AG25" s="67" t="n"/>
      <c r="AH25" s="67" t="n"/>
      <c r="AI25" s="67" t="n"/>
      <c r="AJ25" s="67" t="n"/>
      <c r="AK25" s="67" t="n"/>
      <c r="AL25" s="67" t="n"/>
      <c r="AM25" s="67" t="n"/>
      <c r="AN25" s="67" t="n"/>
      <c r="AO25" s="67" t="n"/>
      <c r="AP25" s="67" t="n"/>
      <c r="AQ25" s="67" t="n"/>
      <c r="AR25" s="67" t="n"/>
      <c r="AS25" s="67" t="n"/>
      <c r="AT25" s="67" t="n"/>
      <c r="AU25" s="67" t="n"/>
      <c r="AV25" s="67" t="n"/>
      <c r="AW25" s="67" t="n"/>
      <c r="AX25" s="67" t="n"/>
      <c r="AY25" s="67" t="n"/>
      <c r="AZ25" s="67" t="n"/>
      <c r="BA25" s="67" t="n"/>
      <c r="BB25" s="67" t="n"/>
    </row>
    <row r="26" ht="15" customHeight="1">
      <c r="A26" s="5" t="n"/>
      <c r="B26" s="5" t="n"/>
      <c r="C26" s="5" t="n"/>
      <c r="D26" s="5" t="n"/>
      <c r="E26" s="21" t="inlineStr">
        <is>
          <t>Second DC adjustment to Floor</t>
        </is>
      </c>
      <c r="G26" s="5">
        <f>base_year</f>
        <v/>
      </c>
      <c r="H26" s="21" t="inlineStr">
        <is>
          <t>DCFt</t>
        </is>
      </c>
      <c r="I26" s="96">
        <f>DCF_Adj_2nd</f>
        <v/>
      </c>
      <c r="J26" s="16" t="n"/>
      <c r="K26" s="16" t="n"/>
      <c r="L26" s="16" t="n"/>
      <c r="M26" s="16" t="n"/>
      <c r="N26" s="16" t="n"/>
      <c r="O26" s="16" t="n"/>
      <c r="P26" s="16" t="n"/>
      <c r="Q26" s="16" t="n"/>
      <c r="R26" s="16" t="n"/>
      <c r="S26" s="16" t="n"/>
      <c r="T26" s="16" t="n"/>
      <c r="U26" s="16" t="n"/>
      <c r="V26" s="16" t="n"/>
      <c r="W26" s="16" t="n"/>
      <c r="X26" s="16" t="n"/>
      <c r="Y26" s="16" t="n"/>
      <c r="Z26" s="16" t="n"/>
      <c r="AA26" s="16" t="n"/>
      <c r="AB26" s="67" t="n"/>
      <c r="AC26" s="67" t="n"/>
      <c r="AD26" s="67" t="n"/>
      <c r="AE26" s="67" t="n"/>
      <c r="AF26" s="67" t="n"/>
      <c r="AG26" s="67" t="n"/>
      <c r="AH26" s="67" t="n"/>
      <c r="AI26" s="67" t="n"/>
      <c r="AJ26" s="67" t="n"/>
      <c r="AK26" s="67" t="n"/>
      <c r="AL26" s="67" t="n"/>
      <c r="AM26" s="67" t="n"/>
      <c r="AN26" s="67" t="n"/>
      <c r="AO26" s="67" t="n"/>
      <c r="AP26" s="67" t="n"/>
      <c r="AQ26" s="67" t="n"/>
      <c r="AR26" s="67" t="n"/>
      <c r="AS26" s="67" t="n"/>
      <c r="AT26" s="67" t="n"/>
      <c r="AU26" s="67" t="n"/>
      <c r="AV26" s="67" t="n"/>
      <c r="AW26" s="67" t="n"/>
      <c r="AX26" s="67" t="n"/>
      <c r="AY26" s="67" t="n"/>
      <c r="AZ26" s="67" t="n"/>
      <c r="BA26" s="67" t="n"/>
      <c r="BB26" s="67" t="n"/>
    </row>
    <row r="27" ht="15" customHeight="1">
      <c r="A27" s="5" t="n"/>
      <c r="B27" s="5" t="n"/>
      <c r="C27" s="5" t="n"/>
      <c r="D27" s="5" t="n"/>
      <c r="E27" s="21" t="inlineStr">
        <is>
          <t>Third DC adjustment to Cap</t>
        </is>
      </c>
      <c r="G27" s="5">
        <f>base_year</f>
        <v/>
      </c>
      <c r="H27" s="21" t="inlineStr">
        <is>
          <t>DCCt</t>
        </is>
      </c>
      <c r="I27" s="96">
        <f>DCC_Adj_3rd</f>
        <v/>
      </c>
      <c r="J27" s="16" t="n"/>
      <c r="K27" s="16" t="n"/>
      <c r="L27" s="16" t="n"/>
      <c r="M27" s="16" t="n"/>
      <c r="N27" s="16" t="n"/>
      <c r="O27" s="16" t="n"/>
      <c r="P27" s="16" t="n"/>
      <c r="Q27" s="16" t="n"/>
      <c r="R27" s="16" t="n"/>
      <c r="S27" s="16" t="n"/>
      <c r="T27" s="16" t="n"/>
      <c r="U27" s="16" t="n"/>
      <c r="V27" s="16" t="n"/>
      <c r="W27" s="16" t="n"/>
      <c r="X27" s="16" t="n"/>
      <c r="Y27" s="16" t="n"/>
      <c r="Z27" s="16" t="n"/>
      <c r="AA27" s="16" t="n"/>
      <c r="AB27" s="67" t="n"/>
      <c r="AC27" s="67" t="n"/>
      <c r="AD27" s="67" t="n"/>
      <c r="AE27" s="67" t="n"/>
      <c r="AF27" s="67" t="n"/>
      <c r="AG27" s="67" t="n"/>
      <c r="AH27" s="67" t="n"/>
      <c r="AI27" s="67" t="n"/>
      <c r="AJ27" s="67" t="n"/>
      <c r="AK27" s="67" t="n"/>
      <c r="AL27" s="67" t="n"/>
      <c r="AM27" s="67" t="n"/>
      <c r="AN27" s="67" t="n"/>
      <c r="AO27" s="67" t="n"/>
      <c r="AP27" s="67" t="n"/>
      <c r="AQ27" s="67" t="n"/>
      <c r="AR27" s="67" t="n"/>
      <c r="AS27" s="67" t="n"/>
      <c r="AT27" s="67" t="n"/>
      <c r="AU27" s="67" t="n"/>
      <c r="AV27" s="67" t="n"/>
      <c r="AW27" s="67" t="n"/>
      <c r="AX27" s="67" t="n"/>
      <c r="AY27" s="67" t="n"/>
      <c r="AZ27" s="67" t="n"/>
      <c r="BA27" s="67" t="n"/>
      <c r="BB27" s="67" t="n"/>
    </row>
    <row r="28" ht="15" customHeight="1">
      <c r="A28" s="5" t="n"/>
      <c r="B28" s="5" t="n"/>
      <c r="C28" s="5" t="n"/>
      <c r="D28" s="5" t="n"/>
      <c r="E28" s="21" t="inlineStr">
        <is>
          <t>Third DC adjustment to Floor</t>
        </is>
      </c>
      <c r="G28" s="5">
        <f>base_year</f>
        <v/>
      </c>
      <c r="H28" s="21" t="inlineStr">
        <is>
          <t>DCFt</t>
        </is>
      </c>
      <c r="I28" s="96">
        <f>DCF_Adj_3rd</f>
        <v/>
      </c>
      <c r="J28" s="16" t="n"/>
      <c r="K28" s="16" t="n"/>
      <c r="L28" s="16" t="n"/>
      <c r="M28" s="16" t="n"/>
      <c r="N28" s="16" t="n"/>
      <c r="O28" s="16" t="n"/>
      <c r="P28" s="16" t="n"/>
      <c r="Q28" s="16" t="n"/>
      <c r="R28" s="16" t="n"/>
      <c r="S28" s="16" t="n"/>
      <c r="T28" s="16" t="n"/>
      <c r="U28" s="16" t="n"/>
      <c r="V28" s="16" t="n"/>
      <c r="W28" s="16" t="n"/>
      <c r="X28" s="16" t="n"/>
      <c r="Y28" s="16" t="n"/>
      <c r="Z28" s="16" t="n"/>
      <c r="AA28" s="16" t="n"/>
      <c r="AB28" s="67" t="n"/>
      <c r="AC28" s="67" t="n"/>
      <c r="AD28" s="67" t="n"/>
      <c r="AE28" s="67" t="n"/>
      <c r="AF28" s="67" t="n"/>
      <c r="AG28" s="67" t="n"/>
      <c r="AH28" s="67" t="n"/>
      <c r="AI28" s="67" t="n"/>
      <c r="AJ28" s="67" t="n"/>
      <c r="AK28" s="67" t="n"/>
      <c r="AL28" s="67" t="n"/>
      <c r="AM28" s="67" t="n"/>
      <c r="AN28" s="67" t="n"/>
      <c r="AO28" s="67" t="n"/>
      <c r="AP28" s="67" t="n"/>
      <c r="AQ28" s="67" t="n"/>
      <c r="AR28" s="67" t="n"/>
      <c r="AS28" s="67" t="n"/>
      <c r="AT28" s="67" t="n"/>
      <c r="AU28" s="67" t="n"/>
      <c r="AV28" s="67" t="n"/>
      <c r="AW28" s="67" t="n"/>
      <c r="AX28" s="67" t="n"/>
      <c r="AY28" s="67" t="n"/>
      <c r="AZ28" s="67" t="n"/>
      <c r="BA28" s="67" t="n"/>
      <c r="BB28" s="67" t="n"/>
    </row>
    <row r="29" ht="15" customHeight="1">
      <c r="A29" s="5" t="n"/>
      <c r="B29" s="5" t="n"/>
      <c r="C29" s="5" t="n"/>
      <c r="D29" s="5" t="n"/>
      <c r="E29" s="21" t="inlineStr">
        <is>
          <t>Fourth DC adjustment to Cap</t>
        </is>
      </c>
      <c r="G29" s="5">
        <f>base_year</f>
        <v/>
      </c>
      <c r="H29" s="21" t="inlineStr">
        <is>
          <t>DCCt</t>
        </is>
      </c>
      <c r="I29" s="96">
        <f>DCC_Adj_4th</f>
        <v/>
      </c>
      <c r="J29" s="16" t="n"/>
      <c r="K29" s="16" t="n"/>
      <c r="L29" s="16" t="n"/>
      <c r="M29" s="16" t="n"/>
      <c r="N29" s="16" t="n"/>
      <c r="O29" s="16" t="n"/>
      <c r="P29" s="16" t="n"/>
      <c r="Q29" s="16" t="n"/>
      <c r="R29" s="16" t="n"/>
      <c r="S29" s="16" t="n"/>
      <c r="T29" s="16" t="n"/>
      <c r="U29" s="16" t="n"/>
      <c r="V29" s="16" t="n"/>
      <c r="W29" s="16" t="n"/>
      <c r="X29" s="16" t="n"/>
      <c r="Y29" s="16" t="n"/>
      <c r="Z29" s="16" t="n"/>
      <c r="AA29" s="16" t="n"/>
      <c r="AB29" s="67" t="n"/>
      <c r="AC29" s="67" t="n"/>
      <c r="AD29" s="67" t="n"/>
      <c r="AE29" s="67" t="n"/>
      <c r="AF29" s="67" t="n"/>
      <c r="AG29" s="67" t="n"/>
      <c r="AH29" s="67" t="n"/>
      <c r="AI29" s="67" t="n"/>
      <c r="AJ29" s="67" t="n"/>
      <c r="AK29" s="67" t="n"/>
      <c r="AL29" s="67" t="n"/>
      <c r="AM29" s="67" t="n"/>
      <c r="AN29" s="67" t="n"/>
      <c r="AO29" s="67" t="n"/>
      <c r="AP29" s="67" t="n"/>
      <c r="AQ29" s="67" t="n"/>
      <c r="AR29" s="67" t="n"/>
      <c r="AS29" s="67" t="n"/>
      <c r="AT29" s="67" t="n"/>
      <c r="AU29" s="67" t="n"/>
      <c r="AV29" s="67" t="n"/>
      <c r="AW29" s="67" t="n"/>
      <c r="AX29" s="67" t="n"/>
      <c r="AY29" s="67" t="n"/>
      <c r="AZ29" s="67" t="n"/>
      <c r="BA29" s="67" t="n"/>
      <c r="BB29" s="67" t="n"/>
    </row>
    <row r="30" ht="15" customHeight="1">
      <c r="A30" s="5" t="n"/>
      <c r="B30" s="5" t="n"/>
      <c r="C30" s="5" t="n"/>
      <c r="D30" s="5" t="n"/>
      <c r="E30" s="21" t="inlineStr">
        <is>
          <t>Fourth DC adjustment to Floor</t>
        </is>
      </c>
      <c r="G30" s="5">
        <f>base_year</f>
        <v/>
      </c>
      <c r="H30" s="21" t="inlineStr">
        <is>
          <t>DCFt</t>
        </is>
      </c>
      <c r="I30" s="96">
        <f>DCF_Adj_4th</f>
        <v/>
      </c>
      <c r="J30" s="16" t="n"/>
      <c r="K30" s="16" t="n"/>
      <c r="L30" s="16" t="n"/>
      <c r="M30" s="16" t="n"/>
      <c r="N30" s="16" t="n"/>
      <c r="O30" s="16" t="n"/>
      <c r="P30" s="16" t="n"/>
      <c r="Q30" s="16" t="n"/>
      <c r="R30" s="16" t="n"/>
      <c r="S30" s="16" t="n"/>
      <c r="T30" s="16" t="n"/>
      <c r="U30" s="16" t="n"/>
      <c r="V30" s="16" t="n"/>
      <c r="W30" s="16" t="n"/>
      <c r="X30" s="16" t="n"/>
      <c r="Y30" s="16" t="n"/>
      <c r="Z30" s="16" t="n"/>
      <c r="AA30" s="16" t="n"/>
      <c r="AB30" s="67" t="n"/>
      <c r="AC30" s="67" t="n"/>
      <c r="AD30" s="67" t="n"/>
      <c r="AE30" s="67" t="n"/>
      <c r="AF30" s="67" t="n"/>
      <c r="AG30" s="67" t="n"/>
      <c r="AH30" s="67" t="n"/>
      <c r="AI30" s="67" t="n"/>
      <c r="AJ30" s="67" t="n"/>
      <c r="AK30" s="67" t="n"/>
      <c r="AL30" s="67" t="n"/>
      <c r="AM30" s="67" t="n"/>
      <c r="AN30" s="67" t="n"/>
      <c r="AO30" s="67" t="n"/>
      <c r="AP30" s="67" t="n"/>
      <c r="AQ30" s="67" t="n"/>
      <c r="AR30" s="67" t="n"/>
      <c r="AS30" s="67" t="n"/>
      <c r="AT30" s="67" t="n"/>
      <c r="AU30" s="67" t="n"/>
      <c r="AV30" s="67" t="n"/>
      <c r="AW30" s="67" t="n"/>
      <c r="AX30" s="67" t="n"/>
      <c r="AY30" s="67" t="n"/>
      <c r="AZ30" s="67" t="n"/>
      <c r="BA30" s="67" t="n"/>
      <c r="BB30" s="67" t="n"/>
    </row>
    <row r="31" ht="15" customHeight="1">
      <c r="A31" s="5" t="n"/>
      <c r="B31" s="5" t="n"/>
      <c r="C31" s="5" t="n"/>
      <c r="D31" s="5" t="n"/>
      <c r="J31" s="16" t="n"/>
      <c r="K31" s="16" t="n"/>
      <c r="L31" s="16" t="n"/>
      <c r="M31" s="16" t="n"/>
      <c r="N31" s="16" t="n"/>
      <c r="O31" s="16" t="n"/>
      <c r="P31" s="16" t="n"/>
      <c r="Q31" s="16" t="n"/>
      <c r="R31" s="16" t="n"/>
      <c r="S31" s="16" t="n"/>
      <c r="T31" s="16" t="n"/>
      <c r="U31" s="16" t="n"/>
      <c r="V31" s="16" t="n"/>
      <c r="W31" s="16" t="n"/>
      <c r="X31" s="16" t="n"/>
      <c r="Y31" s="16" t="n"/>
      <c r="Z31" s="16" t="n"/>
      <c r="AA31" s="16" t="n"/>
      <c r="AB31" s="16" t="n"/>
      <c r="AC31" s="16" t="n"/>
      <c r="AD31" s="16" t="n"/>
      <c r="AE31" s="16" t="n"/>
      <c r="AF31" s="16" t="n"/>
      <c r="AG31" s="16" t="n"/>
      <c r="AH31" s="16" t="n"/>
      <c r="AI31" s="16" t="n"/>
      <c r="AJ31" s="16" t="n"/>
      <c r="AK31" s="16" t="n"/>
      <c r="AL31" s="16" t="n"/>
      <c r="AM31" s="16" t="n"/>
      <c r="AN31" s="16" t="n"/>
      <c r="AO31" s="16" t="n"/>
      <c r="AP31" s="16" t="n"/>
      <c r="AQ31" s="16" t="n"/>
      <c r="AR31" s="16" t="n"/>
      <c r="AS31" s="16" t="n"/>
      <c r="AT31" s="16" t="n"/>
      <c r="AU31" s="16" t="n"/>
      <c r="AV31" s="16" t="n"/>
      <c r="AW31" s="16" t="n"/>
      <c r="AX31" s="16" t="n"/>
      <c r="AY31" s="16" t="n"/>
      <c r="AZ31" s="16" t="n"/>
      <c r="BA31" s="16" t="n"/>
      <c r="BB31" s="16" t="n"/>
    </row>
    <row r="32" ht="15" customHeight="1">
      <c r="A32" s="5" t="n"/>
      <c r="B32" s="5" t="n"/>
      <c r="C32" s="5" t="n"/>
      <c r="D32" s="5" t="n"/>
      <c r="E32" s="21" t="inlineStr">
        <is>
          <t>Preliminary Cap (pre-availability incentive)</t>
        </is>
      </c>
      <c r="G32" s="5" t="inlineStr">
        <is>
          <t>£m nominal prices</t>
        </is>
      </c>
      <c r="J32" s="16" t="n"/>
      <c r="K32" s="16" t="n"/>
      <c r="L32" s="16" t="n"/>
      <c r="M32" s="16" t="n"/>
      <c r="N32" s="16" t="n"/>
      <c r="O32" s="33" t="n"/>
      <c r="P32" s="37">
        <f>IF(P$5&lt;=op_years,$I15 * P$11,0)</f>
        <v/>
      </c>
      <c r="Q32" s="37">
        <f>IF(Q$5&lt;=op_years,$I15 * Q$11,0)</f>
        <v/>
      </c>
      <c r="R32" s="37">
        <f>IF(R$5&lt;=op_years,$I15 * R$11,0)</f>
        <v/>
      </c>
      <c r="S32" s="37">
        <f>IF(S$5&lt;=op_years,$I15 * S$11,0)</f>
        <v/>
      </c>
      <c r="T32" s="37">
        <f>IF(T$5&lt;=op_years,$I15 * T$11,0)</f>
        <v/>
      </c>
      <c r="U32" s="37">
        <f>IF(U$5&lt;=op_years,$I15 * U$11,0)</f>
        <v/>
      </c>
      <c r="V32" s="37">
        <f>IF(V$5&lt;=op_years,$I15 * V$11,0)</f>
        <v/>
      </c>
      <c r="W32" s="37">
        <f>IF(W$5&lt;=op_years,$I15 * W$11,0)</f>
        <v/>
      </c>
      <c r="X32" s="37">
        <f>IF(X$5&lt;=op_years,$I15 * X$11,0)</f>
        <v/>
      </c>
      <c r="Y32" s="37">
        <f>IF(Y$5&lt;=op_years,$I15 * Y$11,0)</f>
        <v/>
      </c>
      <c r="Z32" s="37">
        <f>IF(Z$5&lt;=op_years,$I15 * Z$11,0)</f>
        <v/>
      </c>
      <c r="AA32" s="37">
        <f>IF(AA$5&lt;=op_years,$I15 * AA$11,0)</f>
        <v/>
      </c>
      <c r="AB32" s="37">
        <f>IF(AB$5&lt;=op_years,$I15 * AB$11,0)</f>
        <v/>
      </c>
      <c r="AC32" s="37">
        <f>IF(AC$5&lt;=op_years,$I15 * AC$11,0)</f>
        <v/>
      </c>
      <c r="AD32" s="37">
        <f>IF(AD$5&lt;=op_years,$I15 * AD$11,0)</f>
        <v/>
      </c>
      <c r="AE32" s="37">
        <f>IF(AE$5&lt;=op_years,$I15 * AE$11,0)</f>
        <v/>
      </c>
      <c r="AF32" s="37">
        <f>IF(AF$5&lt;=op_years,$I15 * AF$11,0)</f>
        <v/>
      </c>
      <c r="AG32" s="37">
        <f>IF(AG$5&lt;=op_years,$I15 * AG$11,0)</f>
        <v/>
      </c>
      <c r="AH32" s="37">
        <f>IF(AH$5&lt;=op_years,$I15 * AH$11,0)</f>
        <v/>
      </c>
      <c r="AI32" s="37">
        <f>IF(AI$5&lt;=op_years,$I15 * AI$11,0)</f>
        <v/>
      </c>
      <c r="AJ32" s="37">
        <f>IF(AJ$5&lt;=op_years,$I15 * AJ$11,0)</f>
        <v/>
      </c>
      <c r="AK32" s="37">
        <f>IF(AK$5&lt;=op_years,$I15 * AK$11,0)</f>
        <v/>
      </c>
      <c r="AL32" s="37">
        <f>IF(AL$5&lt;=op_years,$I15 * AL$11,0)</f>
        <v/>
      </c>
      <c r="AM32" s="37">
        <f>IF(AM$5&lt;=op_years,$I15 * AM$11,0)</f>
        <v/>
      </c>
      <c r="AN32" s="37">
        <f>IF(AN$5&lt;=op_years,$I15 * AN$11,0)</f>
        <v/>
      </c>
      <c r="AO32" s="37">
        <f>IF(AO$5&lt;=op_years,$I15 * AO$11,0)</f>
        <v/>
      </c>
      <c r="AP32" s="37">
        <f>IF(AP$5&lt;=op_years,$I15 * AP$11,0)</f>
        <v/>
      </c>
      <c r="AQ32" s="37">
        <f>IF(AQ$5&lt;=op_years,$I15 * AQ$11,0)</f>
        <v/>
      </c>
      <c r="AR32" s="37">
        <f>IF(AR$5&lt;=op_years,$I15 * AR$11,0)</f>
        <v/>
      </c>
      <c r="AS32" s="37">
        <f>IF(AS$5&lt;=op_years,$I15 * AS$11,0)</f>
        <v/>
      </c>
      <c r="AT32" s="37">
        <f>IF(AT$5&lt;=op_years,$I15 * AT$11,0)</f>
        <v/>
      </c>
      <c r="AU32" s="37">
        <f>IF(AU$5&lt;=op_years,$I15 * AU$11,0)</f>
        <v/>
      </c>
      <c r="AV32" s="37">
        <f>IF(AV$5&lt;=op_years,$I15 * AV$11,0)</f>
        <v/>
      </c>
      <c r="AW32" s="37">
        <f>IF(AW$5&lt;=op_years,$I15 * AW$11,0)</f>
        <v/>
      </c>
      <c r="AX32" s="37">
        <f>IF(AX$5&lt;=op_years,$I15 * AX$11,0)</f>
        <v/>
      </c>
      <c r="AY32" s="37">
        <f>IF(AY$5&lt;=op_years,$I15 * AY$11,0)</f>
        <v/>
      </c>
      <c r="AZ32" s="37">
        <f>IF(AZ$5&lt;=op_years,$I15 * AZ$11,0)</f>
        <v/>
      </c>
      <c r="BA32" s="37">
        <f>IF(BA$5&lt;=op_years,$I15 * BA$11,0)</f>
        <v/>
      </c>
      <c r="BB32" s="37">
        <f>IF(BB$5&lt;=op_years,$I15 * BB$11,0)</f>
        <v/>
      </c>
    </row>
    <row r="33" ht="15" customHeight="1">
      <c r="A33" s="5" t="n"/>
      <c r="B33" s="5" t="n"/>
      <c r="C33" s="5" t="n"/>
      <c r="D33" s="5" t="n"/>
      <c r="E33" s="21" t="inlineStr">
        <is>
          <t>Preliminary Floor (pre-availability incentive)</t>
        </is>
      </c>
      <c r="G33" s="5" t="inlineStr">
        <is>
          <t>£m nominal prices</t>
        </is>
      </c>
      <c r="J33" s="16" t="n"/>
      <c r="K33" s="16" t="n"/>
      <c r="L33" s="16" t="n"/>
      <c r="M33" s="16" t="n"/>
      <c r="N33" s="16" t="n"/>
      <c r="O33" s="33" t="n"/>
      <c r="P33" s="37">
        <f>IF(P$5&lt;=op_years,$I16 * P$11,0)</f>
        <v/>
      </c>
      <c r="Q33" s="37">
        <f>IF(Q$5&lt;=op_years,$I16 * Q$11,0)</f>
        <v/>
      </c>
      <c r="R33" s="37">
        <f>IF(R$5&lt;=op_years,$I16 * R$11,0)</f>
        <v/>
      </c>
      <c r="S33" s="37">
        <f>IF(S$5&lt;=op_years,$I16 * S$11,0)</f>
        <v/>
      </c>
      <c r="T33" s="37">
        <f>IF(T$5&lt;=op_years,$I16 * T$11,0)</f>
        <v/>
      </c>
      <c r="U33" s="37">
        <f>IF(U$5&lt;=op_years,$I16 * U$11,0)</f>
        <v/>
      </c>
      <c r="V33" s="37">
        <f>IF(V$5&lt;=op_years,$I16 * V$11,0)</f>
        <v/>
      </c>
      <c r="W33" s="37">
        <f>IF(W$5&lt;=op_years,$I16 * W$11,0)</f>
        <v/>
      </c>
      <c r="X33" s="37">
        <f>IF(X$5&lt;=op_years,$I16 * X$11,0)</f>
        <v/>
      </c>
      <c r="Y33" s="37">
        <f>IF(Y$5&lt;=op_years,$I16 * Y$11,0)</f>
        <v/>
      </c>
      <c r="Z33" s="37">
        <f>IF(Z$5&lt;=op_years,$I16 * Z$11,0)</f>
        <v/>
      </c>
      <c r="AA33" s="37">
        <f>IF(AA$5&lt;=op_years,$I16 * AA$11,0)</f>
        <v/>
      </c>
      <c r="AB33" s="37">
        <f>IF(AB$5&lt;=op_years,$I16 * AB$11,0)</f>
        <v/>
      </c>
      <c r="AC33" s="37">
        <f>IF(AC$5&lt;=op_years,$I16 * AC$11,0)</f>
        <v/>
      </c>
      <c r="AD33" s="37">
        <f>IF(AD$5&lt;=op_years,$I16 * AD$11,0)</f>
        <v/>
      </c>
      <c r="AE33" s="37">
        <f>IF(AE$5&lt;=op_years,$I16 * AE$11,0)</f>
        <v/>
      </c>
      <c r="AF33" s="37">
        <f>IF(AF$5&lt;=op_years,$I16 * AF$11,0)</f>
        <v/>
      </c>
      <c r="AG33" s="37">
        <f>IF(AG$5&lt;=op_years,$I16 * AG$11,0)</f>
        <v/>
      </c>
      <c r="AH33" s="37">
        <f>IF(AH$5&lt;=op_years,$I16 * AH$11,0)</f>
        <v/>
      </c>
      <c r="AI33" s="37">
        <f>IF(AI$5&lt;=op_years,$I16 * AI$11,0)</f>
        <v/>
      </c>
      <c r="AJ33" s="37">
        <f>IF(AJ$5&lt;=op_years,$I16 * AJ$11,0)</f>
        <v/>
      </c>
      <c r="AK33" s="37">
        <f>IF(AK$5&lt;=op_years,$I16 * AK$11,0)</f>
        <v/>
      </c>
      <c r="AL33" s="37">
        <f>IF(AL$5&lt;=op_years,$I16 * AL$11,0)</f>
        <v/>
      </c>
      <c r="AM33" s="37">
        <f>IF(AM$5&lt;=op_years,$I16 * AM$11,0)</f>
        <v/>
      </c>
      <c r="AN33" s="37">
        <f>IF(AN$5&lt;=op_years,$I16 * AN$11,0)</f>
        <v/>
      </c>
      <c r="AO33" s="37">
        <f>IF(AO$5&lt;=op_years,$I16 * AO$11,0)</f>
        <v/>
      </c>
      <c r="AP33" s="37">
        <f>IF(AP$5&lt;=op_years,$I16 * AP$11,0)</f>
        <v/>
      </c>
      <c r="AQ33" s="37">
        <f>IF(AQ$5&lt;=op_years,$I16 * AQ$11,0)</f>
        <v/>
      </c>
      <c r="AR33" s="37">
        <f>IF(AR$5&lt;=op_years,$I16 * AR$11,0)</f>
        <v/>
      </c>
      <c r="AS33" s="37">
        <f>IF(AS$5&lt;=op_years,$I16 * AS$11,0)</f>
        <v/>
      </c>
      <c r="AT33" s="37">
        <f>IF(AT$5&lt;=op_years,$I16 * AT$11,0)</f>
        <v/>
      </c>
      <c r="AU33" s="37">
        <f>IF(AU$5&lt;=op_years,$I16 * AU$11,0)</f>
        <v/>
      </c>
      <c r="AV33" s="37">
        <f>IF(AV$5&lt;=op_years,$I16 * AV$11,0)</f>
        <v/>
      </c>
      <c r="AW33" s="37">
        <f>IF(AW$5&lt;=op_years,$I16 * AW$11,0)</f>
        <v/>
      </c>
      <c r="AX33" s="37">
        <f>IF(AX$5&lt;=op_years,$I16 * AX$11,0)</f>
        <v/>
      </c>
      <c r="AY33" s="37">
        <f>IF(AY$5&lt;=op_years,$I16 * AY$11,0)</f>
        <v/>
      </c>
      <c r="AZ33" s="37">
        <f>IF(AZ$5&lt;=op_years,$I16 * AZ$11,0)</f>
        <v/>
      </c>
      <c r="BA33" s="37">
        <f>IF(BA$5&lt;=op_years,$I16 * BA$11,0)</f>
        <v/>
      </c>
      <c r="BB33" s="37">
        <f>IF(BB$5&lt;=op_years,$I16 * BB$11,0)</f>
        <v/>
      </c>
    </row>
    <row r="34" ht="15" customHeight="1">
      <c r="A34" s="5" t="n"/>
      <c r="B34" s="5" t="n"/>
      <c r="C34" s="5" t="n"/>
      <c r="D34" s="5" t="n"/>
      <c r="G34" s="5" t="n"/>
      <c r="J34" s="16" t="n"/>
      <c r="K34" s="16" t="n"/>
      <c r="L34" s="16" t="n"/>
      <c r="M34" s="16" t="n"/>
      <c r="N34" s="16" t="n"/>
      <c r="O34" s="67" t="n"/>
      <c r="P34" s="67" t="n"/>
      <c r="Q34" s="67" t="n"/>
      <c r="R34" s="67" t="n"/>
      <c r="S34" s="67" t="n"/>
      <c r="T34" s="67" t="n"/>
      <c r="U34" s="67" t="n"/>
      <c r="V34" s="67" t="n"/>
      <c r="W34" s="67" t="n"/>
      <c r="X34" s="67" t="n"/>
      <c r="Y34" s="67" t="n"/>
      <c r="Z34" s="67" t="n"/>
      <c r="AA34" s="67" t="n"/>
      <c r="AB34" s="67" t="n"/>
      <c r="AC34" s="67" t="n"/>
      <c r="AD34" s="67" t="n"/>
      <c r="AE34" s="67" t="n"/>
      <c r="AF34" s="67" t="n"/>
      <c r="AG34" s="67" t="n"/>
      <c r="AH34" s="67" t="n"/>
      <c r="AI34" s="67" t="n"/>
      <c r="AJ34" s="67" t="n"/>
      <c r="AK34" s="67" t="n"/>
      <c r="AL34" s="67" t="n"/>
      <c r="AM34" s="67" t="n"/>
      <c r="AN34" s="67" t="n"/>
      <c r="AO34" s="67" t="n"/>
      <c r="AP34" s="67" t="n"/>
      <c r="AQ34" s="67" t="n"/>
      <c r="AR34" s="67" t="n"/>
      <c r="AS34" s="67" t="n"/>
      <c r="AT34" s="67" t="n"/>
      <c r="AU34" s="67" t="n"/>
      <c r="AV34" s="67" t="n"/>
      <c r="AW34" s="67" t="n"/>
      <c r="AX34" s="67" t="n"/>
      <c r="AY34" s="67" t="n"/>
      <c r="AZ34" s="67" t="n"/>
      <c r="BA34" s="67" t="n"/>
      <c r="BB34" s="67" t="n"/>
    </row>
    <row r="35" ht="15" customHeight="1">
      <c r="A35" s="5" t="n"/>
      <c r="B35" s="5" t="n"/>
      <c r="C35" s="5" t="n"/>
      <c r="D35" s="5" t="n"/>
      <c r="E35" s="21" t="inlineStr">
        <is>
          <t>Apply PCA adjustment factor?</t>
        </is>
      </c>
      <c r="G35" s="5" t="inlineStr">
        <is>
          <t>flag</t>
        </is>
      </c>
      <c r="I35" s="97">
        <f>IF(Inputs!I152="Yes",1,0)</f>
        <v/>
      </c>
      <c r="J35" s="16" t="n"/>
      <c r="K35" s="16" t="n"/>
      <c r="L35" s="16" t="n"/>
      <c r="M35" s="16" t="n"/>
      <c r="N35" s="16" t="n"/>
      <c r="O35" s="67" t="n"/>
      <c r="P35" s="67" t="n"/>
      <c r="Q35" s="67" t="n"/>
      <c r="R35" s="67" t="n"/>
      <c r="S35" s="67" t="n"/>
      <c r="T35" s="67" t="n"/>
      <c r="U35" s="67" t="n"/>
      <c r="V35" s="67" t="n"/>
      <c r="W35" s="67" t="n"/>
      <c r="X35" s="67" t="n"/>
      <c r="Y35" s="67" t="n"/>
      <c r="Z35" s="67" t="n"/>
      <c r="AA35" s="67" t="n"/>
      <c r="AB35" s="67" t="n"/>
      <c r="AC35" s="67" t="n"/>
      <c r="AD35" s="67" t="n"/>
      <c r="AE35" s="67" t="n"/>
      <c r="AF35" s="67" t="n"/>
      <c r="AG35" s="67" t="n"/>
      <c r="AH35" s="67" t="n"/>
      <c r="AI35" s="67" t="n"/>
      <c r="AJ35" s="67" t="n"/>
      <c r="AK35" s="67" t="n"/>
      <c r="AL35" s="67" t="n"/>
      <c r="AM35" s="67" t="n"/>
      <c r="AN35" s="67" t="n"/>
      <c r="AO35" s="67" t="n"/>
      <c r="AP35" s="67" t="n"/>
      <c r="AQ35" s="67" t="n"/>
      <c r="AR35" s="67" t="n"/>
      <c r="AS35" s="67" t="n"/>
      <c r="AT35" s="67" t="n"/>
      <c r="AU35" s="67" t="n"/>
      <c r="AV35" s="67" t="n"/>
      <c r="AW35" s="67" t="n"/>
      <c r="AX35" s="67" t="n"/>
      <c r="AY35" s="67" t="n"/>
      <c r="AZ35" s="67" t="n"/>
      <c r="BA35" s="67" t="n"/>
      <c r="BB35" s="67" t="n"/>
    </row>
    <row r="36" ht="15" customHeight="1">
      <c r="A36" s="5" t="n"/>
      <c r="B36" s="5" t="n"/>
      <c r="C36" s="5" t="n"/>
      <c r="D36" s="5" t="n"/>
      <c r="E36" s="21" t="inlineStr">
        <is>
          <t>PCAC adjustment factor</t>
        </is>
      </c>
      <c r="G36" s="5" t="inlineStr">
        <is>
          <t>flag</t>
        </is>
      </c>
      <c r="J36" s="16" t="n"/>
      <c r="K36" s="16" t="n"/>
      <c r="L36" s="16" t="n"/>
      <c r="M36" s="16" t="n"/>
      <c r="N36" s="16" t="n"/>
      <c r="O36" s="33" t="n"/>
      <c r="P36" s="84">
        <f>INDEX(Inputs!$P$153:$BB$153,MATCH('Costs &amp; Revenue'!P$5,Inputs!$P$5:$BB$5,0))</f>
        <v/>
      </c>
      <c r="Q36" s="84">
        <f>INDEX(Inputs!$P$153:$BB$153,MATCH('Costs &amp; Revenue'!Q$5,Inputs!$P$5:$BB$5,0))</f>
        <v/>
      </c>
      <c r="R36" s="84">
        <f>INDEX(Inputs!$P$153:$BB$153,MATCH('Costs &amp; Revenue'!R$5,Inputs!$P$5:$BB$5,0))</f>
        <v/>
      </c>
      <c r="S36" s="84">
        <f>INDEX(Inputs!$P$153:$BB$153,MATCH('Costs &amp; Revenue'!S$5,Inputs!$P$5:$BB$5,0))</f>
        <v/>
      </c>
      <c r="T36" s="84">
        <f>INDEX(Inputs!$P$153:$BB$153,MATCH('Costs &amp; Revenue'!T$5,Inputs!$P$5:$BB$5,0))</f>
        <v/>
      </c>
      <c r="U36" s="84">
        <f>INDEX(Inputs!$P$153:$BB$153,MATCH('Costs &amp; Revenue'!U$5,Inputs!$P$5:$BB$5,0))</f>
        <v/>
      </c>
      <c r="V36" s="84">
        <f>INDEX(Inputs!$P$153:$BB$153,MATCH('Costs &amp; Revenue'!V$5,Inputs!$P$5:$BB$5,0))</f>
        <v/>
      </c>
      <c r="W36" s="84">
        <f>INDEX(Inputs!$P$153:$BB$153,MATCH('Costs &amp; Revenue'!W$5,Inputs!$P$5:$BB$5,0))</f>
        <v/>
      </c>
      <c r="X36" s="84">
        <f>INDEX(Inputs!$P$153:$BB$153,MATCH('Costs &amp; Revenue'!X$5,Inputs!$P$5:$BB$5,0))</f>
        <v/>
      </c>
      <c r="Y36" s="84">
        <f>INDEX(Inputs!$P$153:$BB$153,MATCH('Costs &amp; Revenue'!Y$5,Inputs!$P$5:$BB$5,0))</f>
        <v/>
      </c>
      <c r="Z36" s="84">
        <f>INDEX(Inputs!$P$153:$BB$153,MATCH('Costs &amp; Revenue'!Z$5,Inputs!$P$5:$BB$5,0))</f>
        <v/>
      </c>
      <c r="AA36" s="84">
        <f>INDEX(Inputs!$P$153:$BB$153,MATCH('Costs &amp; Revenue'!AA$5,Inputs!$P$5:$BB$5,0))</f>
        <v/>
      </c>
      <c r="AB36" s="84">
        <f>INDEX(Inputs!$P$153:$BB$153,MATCH('Costs &amp; Revenue'!AB$5,Inputs!$P$5:$BB$5,0))</f>
        <v/>
      </c>
      <c r="AC36" s="84">
        <f>INDEX(Inputs!$P$153:$BB$153,MATCH('Costs &amp; Revenue'!AC$5,Inputs!$P$5:$BB$5,0))</f>
        <v/>
      </c>
      <c r="AD36" s="84">
        <f>INDEX(Inputs!$P$153:$BB$153,MATCH('Costs &amp; Revenue'!AD$5,Inputs!$P$5:$BB$5,0))</f>
        <v/>
      </c>
      <c r="AE36" s="84">
        <f>INDEX(Inputs!$P$153:$BB$153,MATCH('Costs &amp; Revenue'!AE$5,Inputs!$P$5:$BB$5,0))</f>
        <v/>
      </c>
      <c r="AF36" s="84">
        <f>INDEX(Inputs!$P$153:$BB$153,MATCH('Costs &amp; Revenue'!AF$5,Inputs!$P$5:$BB$5,0))</f>
        <v/>
      </c>
      <c r="AG36" s="84">
        <f>INDEX(Inputs!$P$153:$BB$153,MATCH('Costs &amp; Revenue'!AG$5,Inputs!$P$5:$BB$5,0))</f>
        <v/>
      </c>
      <c r="AH36" s="84">
        <f>INDEX(Inputs!$P$153:$BB$153,MATCH('Costs &amp; Revenue'!AH$5,Inputs!$P$5:$BB$5,0))</f>
        <v/>
      </c>
      <c r="AI36" s="84">
        <f>INDEX(Inputs!$P$153:$BB$153,MATCH('Costs &amp; Revenue'!AI$5,Inputs!$P$5:$BB$5,0))</f>
        <v/>
      </c>
      <c r="AJ36" s="84">
        <f>INDEX(Inputs!$P$153:$BB$153,MATCH('Costs &amp; Revenue'!AJ$5,Inputs!$P$5:$BB$5,0))</f>
        <v/>
      </c>
      <c r="AK36" s="84">
        <f>INDEX(Inputs!$P$153:$BB$153,MATCH('Costs &amp; Revenue'!AK$5,Inputs!$P$5:$BB$5,0))</f>
        <v/>
      </c>
      <c r="AL36" s="84">
        <f>INDEX(Inputs!$P$153:$BB$153,MATCH('Costs &amp; Revenue'!AL$5,Inputs!$P$5:$BB$5,0))</f>
        <v/>
      </c>
      <c r="AM36" s="84">
        <f>INDEX(Inputs!$P$153:$BB$153,MATCH('Costs &amp; Revenue'!AM$5,Inputs!$P$5:$BB$5,0))</f>
        <v/>
      </c>
      <c r="AN36" s="84">
        <f>INDEX(Inputs!$P$153:$BB$153,MATCH('Costs &amp; Revenue'!AN$5,Inputs!$P$5:$BB$5,0))</f>
        <v/>
      </c>
      <c r="AO36" s="84">
        <f>INDEX(Inputs!$P$153:$BB$153,MATCH('Costs &amp; Revenue'!AO$5,Inputs!$P$5:$BB$5,0))</f>
        <v/>
      </c>
      <c r="AP36" s="84">
        <f>INDEX(Inputs!$P$153:$BB$153,MATCH('Costs &amp; Revenue'!AP$5,Inputs!$P$5:$BB$5,0))</f>
        <v/>
      </c>
      <c r="AQ36" s="84">
        <f>INDEX(Inputs!$P$153:$BB$153,MATCH('Costs &amp; Revenue'!AQ$5,Inputs!$P$5:$BB$5,0))</f>
        <v/>
      </c>
      <c r="AR36" s="84">
        <f>INDEX(Inputs!$P$153:$BB$153,MATCH('Costs &amp; Revenue'!AR$5,Inputs!$P$5:$BB$5,0))</f>
        <v/>
      </c>
      <c r="AS36" s="84">
        <f>INDEX(Inputs!$P$153:$BB$153,MATCH('Costs &amp; Revenue'!AS$5,Inputs!$P$5:$BB$5,0))</f>
        <v/>
      </c>
      <c r="AT36" s="84">
        <f>INDEX(Inputs!$P$153:$BB$153,MATCH('Costs &amp; Revenue'!AT$5,Inputs!$P$5:$BB$5,0))</f>
        <v/>
      </c>
      <c r="AU36" s="84">
        <f>INDEX(Inputs!$P$153:$BB$153,MATCH('Costs &amp; Revenue'!AU$5,Inputs!$P$5:$BB$5,0))</f>
        <v/>
      </c>
      <c r="AV36" s="84">
        <f>INDEX(Inputs!$P$153:$BB$153,MATCH('Costs &amp; Revenue'!AV$5,Inputs!$P$5:$BB$5,0))</f>
        <v/>
      </c>
      <c r="AW36" s="84">
        <f>INDEX(Inputs!$P$153:$BB$153,MATCH('Costs &amp; Revenue'!AW$5,Inputs!$P$5:$BB$5,0))</f>
        <v/>
      </c>
      <c r="AX36" s="84">
        <f>INDEX(Inputs!$P$153:$BB$153,MATCH('Costs &amp; Revenue'!AX$5,Inputs!$P$5:$BB$5,0))</f>
        <v/>
      </c>
      <c r="AY36" s="84">
        <f>INDEX(Inputs!$P$153:$BB$153,MATCH('Costs &amp; Revenue'!AY$5,Inputs!$P$5:$BB$5,0))</f>
        <v/>
      </c>
      <c r="AZ36" s="84">
        <f>INDEX(Inputs!$P$153:$BB$153,MATCH('Costs &amp; Revenue'!AZ$5,Inputs!$P$5:$BB$5,0))</f>
        <v/>
      </c>
      <c r="BA36" s="84">
        <f>INDEX(Inputs!$P$153:$BB$153,MATCH('Costs &amp; Revenue'!BA$5,Inputs!$P$5:$BB$5,0))</f>
        <v/>
      </c>
      <c r="BB36" s="84">
        <f>INDEX(Inputs!$P$153:$BB$153,MATCH('Costs &amp; Revenue'!BB$5,Inputs!$P$5:$BB$5,0))</f>
        <v/>
      </c>
    </row>
    <row r="37" ht="15" customHeight="1">
      <c r="A37" s="5" t="n"/>
      <c r="B37" s="5" t="n"/>
      <c r="C37" s="5" t="n"/>
      <c r="D37" s="5" t="n"/>
      <c r="E37" s="21" t="inlineStr">
        <is>
          <t>PCAF adjustment factor</t>
        </is>
      </c>
      <c r="G37" s="5" t="inlineStr">
        <is>
          <t>flag</t>
        </is>
      </c>
      <c r="J37" s="16" t="n"/>
      <c r="K37" s="16" t="n"/>
      <c r="L37" s="16" t="n"/>
      <c r="M37" s="16" t="n"/>
      <c r="N37" s="16" t="n"/>
      <c r="O37" s="33" t="n"/>
      <c r="P37" s="84">
        <f>INDEX(Inputs!$P$154:$BB$154,MATCH('Costs &amp; Revenue'!P$5,Inputs!$P$5:$BB$5,0))</f>
        <v/>
      </c>
      <c r="Q37" s="84">
        <f>INDEX(Inputs!$P$154:$BB$154,MATCH('Costs &amp; Revenue'!Q$5,Inputs!$P$5:$BB$5,0))</f>
        <v/>
      </c>
      <c r="R37" s="84">
        <f>INDEX(Inputs!$P$154:$BB$154,MATCH('Costs &amp; Revenue'!R$5,Inputs!$P$5:$BB$5,0))</f>
        <v/>
      </c>
      <c r="S37" s="84">
        <f>INDEX(Inputs!$P$154:$BB$154,MATCH('Costs &amp; Revenue'!S$5,Inputs!$P$5:$BB$5,0))</f>
        <v/>
      </c>
      <c r="T37" s="84">
        <f>INDEX(Inputs!$P$154:$BB$154,MATCH('Costs &amp; Revenue'!T$5,Inputs!$P$5:$BB$5,0))</f>
        <v/>
      </c>
      <c r="U37" s="84">
        <f>INDEX(Inputs!$P$154:$BB$154,MATCH('Costs &amp; Revenue'!U$5,Inputs!$P$5:$BB$5,0))</f>
        <v/>
      </c>
      <c r="V37" s="84">
        <f>INDEX(Inputs!$P$154:$BB$154,MATCH('Costs &amp; Revenue'!V$5,Inputs!$P$5:$BB$5,0))</f>
        <v/>
      </c>
      <c r="W37" s="84">
        <f>INDEX(Inputs!$P$154:$BB$154,MATCH('Costs &amp; Revenue'!W$5,Inputs!$P$5:$BB$5,0))</f>
        <v/>
      </c>
      <c r="X37" s="84">
        <f>INDEX(Inputs!$P$154:$BB$154,MATCH('Costs &amp; Revenue'!X$5,Inputs!$P$5:$BB$5,0))</f>
        <v/>
      </c>
      <c r="Y37" s="84">
        <f>INDEX(Inputs!$P$154:$BB$154,MATCH('Costs &amp; Revenue'!Y$5,Inputs!$P$5:$BB$5,0))</f>
        <v/>
      </c>
      <c r="Z37" s="84">
        <f>INDEX(Inputs!$P$154:$BB$154,MATCH('Costs &amp; Revenue'!Z$5,Inputs!$P$5:$BB$5,0))</f>
        <v/>
      </c>
      <c r="AA37" s="84">
        <f>INDEX(Inputs!$P$154:$BB$154,MATCH('Costs &amp; Revenue'!AA$5,Inputs!$P$5:$BB$5,0))</f>
        <v/>
      </c>
      <c r="AB37" s="84">
        <f>INDEX(Inputs!$P$154:$BB$154,MATCH('Costs &amp; Revenue'!AB$5,Inputs!$P$5:$BB$5,0))</f>
        <v/>
      </c>
      <c r="AC37" s="84">
        <f>INDEX(Inputs!$P$154:$BB$154,MATCH('Costs &amp; Revenue'!AC$5,Inputs!$P$5:$BB$5,0))</f>
        <v/>
      </c>
      <c r="AD37" s="84">
        <f>INDEX(Inputs!$P$154:$BB$154,MATCH('Costs &amp; Revenue'!AD$5,Inputs!$P$5:$BB$5,0))</f>
        <v/>
      </c>
      <c r="AE37" s="84">
        <f>INDEX(Inputs!$P$154:$BB$154,MATCH('Costs &amp; Revenue'!AE$5,Inputs!$P$5:$BB$5,0))</f>
        <v/>
      </c>
      <c r="AF37" s="84">
        <f>INDEX(Inputs!$P$154:$BB$154,MATCH('Costs &amp; Revenue'!AF$5,Inputs!$P$5:$BB$5,0))</f>
        <v/>
      </c>
      <c r="AG37" s="84">
        <f>INDEX(Inputs!$P$154:$BB$154,MATCH('Costs &amp; Revenue'!AG$5,Inputs!$P$5:$BB$5,0))</f>
        <v/>
      </c>
      <c r="AH37" s="84">
        <f>INDEX(Inputs!$P$154:$BB$154,MATCH('Costs &amp; Revenue'!AH$5,Inputs!$P$5:$BB$5,0))</f>
        <v/>
      </c>
      <c r="AI37" s="84">
        <f>INDEX(Inputs!$P$154:$BB$154,MATCH('Costs &amp; Revenue'!AI$5,Inputs!$P$5:$BB$5,0))</f>
        <v/>
      </c>
      <c r="AJ37" s="84">
        <f>INDEX(Inputs!$P$154:$BB$154,MATCH('Costs &amp; Revenue'!AJ$5,Inputs!$P$5:$BB$5,0))</f>
        <v/>
      </c>
      <c r="AK37" s="84">
        <f>INDEX(Inputs!$P$154:$BB$154,MATCH('Costs &amp; Revenue'!AK$5,Inputs!$P$5:$BB$5,0))</f>
        <v/>
      </c>
      <c r="AL37" s="84">
        <f>INDEX(Inputs!$P$154:$BB$154,MATCH('Costs &amp; Revenue'!AL$5,Inputs!$P$5:$BB$5,0))</f>
        <v/>
      </c>
      <c r="AM37" s="84">
        <f>INDEX(Inputs!$P$154:$BB$154,MATCH('Costs &amp; Revenue'!AM$5,Inputs!$P$5:$BB$5,0))</f>
        <v/>
      </c>
      <c r="AN37" s="84">
        <f>INDEX(Inputs!$P$154:$BB$154,MATCH('Costs &amp; Revenue'!AN$5,Inputs!$P$5:$BB$5,0))</f>
        <v/>
      </c>
      <c r="AO37" s="84">
        <f>INDEX(Inputs!$P$154:$BB$154,MATCH('Costs &amp; Revenue'!AO$5,Inputs!$P$5:$BB$5,0))</f>
        <v/>
      </c>
      <c r="AP37" s="84">
        <f>INDEX(Inputs!$P$154:$BB$154,MATCH('Costs &amp; Revenue'!AP$5,Inputs!$P$5:$BB$5,0))</f>
        <v/>
      </c>
      <c r="AQ37" s="84">
        <f>INDEX(Inputs!$P$154:$BB$154,MATCH('Costs &amp; Revenue'!AQ$5,Inputs!$P$5:$BB$5,0))</f>
        <v/>
      </c>
      <c r="AR37" s="84">
        <f>INDEX(Inputs!$P$154:$BB$154,MATCH('Costs &amp; Revenue'!AR$5,Inputs!$P$5:$BB$5,0))</f>
        <v/>
      </c>
      <c r="AS37" s="84">
        <f>INDEX(Inputs!$P$154:$BB$154,MATCH('Costs &amp; Revenue'!AS$5,Inputs!$P$5:$BB$5,0))</f>
        <v/>
      </c>
      <c r="AT37" s="84">
        <f>INDEX(Inputs!$P$154:$BB$154,MATCH('Costs &amp; Revenue'!AT$5,Inputs!$P$5:$BB$5,0))</f>
        <v/>
      </c>
      <c r="AU37" s="84">
        <f>INDEX(Inputs!$P$154:$BB$154,MATCH('Costs &amp; Revenue'!AU$5,Inputs!$P$5:$BB$5,0))</f>
        <v/>
      </c>
      <c r="AV37" s="84">
        <f>INDEX(Inputs!$P$154:$BB$154,MATCH('Costs &amp; Revenue'!AV$5,Inputs!$P$5:$BB$5,0))</f>
        <v/>
      </c>
      <c r="AW37" s="84">
        <f>INDEX(Inputs!$P$154:$BB$154,MATCH('Costs &amp; Revenue'!AW$5,Inputs!$P$5:$BB$5,0))</f>
        <v/>
      </c>
      <c r="AX37" s="84">
        <f>INDEX(Inputs!$P$154:$BB$154,MATCH('Costs &amp; Revenue'!AX$5,Inputs!$P$5:$BB$5,0))</f>
        <v/>
      </c>
      <c r="AY37" s="84">
        <f>INDEX(Inputs!$P$154:$BB$154,MATCH('Costs &amp; Revenue'!AY$5,Inputs!$P$5:$BB$5,0))</f>
        <v/>
      </c>
      <c r="AZ37" s="84">
        <f>INDEX(Inputs!$P$154:$BB$154,MATCH('Costs &amp; Revenue'!AZ$5,Inputs!$P$5:$BB$5,0))</f>
        <v/>
      </c>
      <c r="BA37" s="84">
        <f>INDEX(Inputs!$P$154:$BB$154,MATCH('Costs &amp; Revenue'!BA$5,Inputs!$P$5:$BB$5,0))</f>
        <v/>
      </c>
      <c r="BB37" s="84">
        <f>INDEX(Inputs!$P$154:$BB$154,MATCH('Costs &amp; Revenue'!BB$5,Inputs!$P$5:$BB$5,0))</f>
        <v/>
      </c>
    </row>
    <row r="38" ht="15" customHeight="1">
      <c r="A38" s="5" t="n"/>
      <c r="B38" s="5" t="n"/>
      <c r="C38" s="5" t="n"/>
      <c r="D38" s="5" t="n"/>
      <c r="G38" s="5" t="n"/>
      <c r="J38" s="16" t="n"/>
      <c r="K38" s="16" t="n"/>
      <c r="L38" s="16" t="n"/>
      <c r="M38" s="16" t="n"/>
      <c r="N38" s="16" t="n"/>
      <c r="O38" s="67" t="n"/>
      <c r="P38" s="67" t="n"/>
      <c r="Q38" s="67" t="n"/>
      <c r="R38" s="67" t="n"/>
      <c r="S38" s="67" t="n"/>
      <c r="T38" s="67" t="n"/>
      <c r="U38" s="67" t="n"/>
      <c r="V38" s="67" t="n"/>
      <c r="W38" s="67" t="n"/>
      <c r="X38" s="67" t="n"/>
      <c r="Y38" s="67" t="n"/>
      <c r="Z38" s="67" t="n"/>
      <c r="AA38" s="67" t="n"/>
      <c r="AB38" s="67" t="n"/>
      <c r="AC38" s="67" t="n"/>
      <c r="AD38" s="67" t="n"/>
      <c r="AE38" s="67" t="n"/>
      <c r="AF38" s="67" t="n"/>
      <c r="AG38" s="67" t="n"/>
      <c r="AH38" s="67" t="n"/>
      <c r="AI38" s="67" t="n"/>
      <c r="AJ38" s="67" t="n"/>
      <c r="AK38" s="67" t="n"/>
      <c r="AL38" s="67" t="n"/>
      <c r="AM38" s="67" t="n"/>
      <c r="AN38" s="67" t="n"/>
      <c r="AO38" s="67" t="n"/>
      <c r="AP38" s="67" t="n"/>
      <c r="AQ38" s="67" t="n"/>
      <c r="AR38" s="67" t="n"/>
      <c r="AS38" s="67" t="n"/>
      <c r="AT38" s="67" t="n"/>
      <c r="AU38" s="67" t="n"/>
      <c r="AV38" s="67" t="n"/>
      <c r="AW38" s="67" t="n"/>
      <c r="AX38" s="67" t="n"/>
      <c r="AY38" s="67" t="n"/>
      <c r="AZ38" s="67" t="n"/>
      <c r="BA38" s="67" t="n"/>
      <c r="BB38" s="67" t="n"/>
    </row>
    <row r="39" ht="15" customHeight="1">
      <c r="A39" s="5" t="n"/>
      <c r="B39" s="5" t="n"/>
      <c r="C39" s="5" t="n"/>
      <c r="D39" s="5" t="n"/>
      <c r="E39" s="21" t="inlineStr">
        <is>
          <t>Apply ORA adjustment factor?</t>
        </is>
      </c>
      <c r="G39" s="5" t="inlineStr">
        <is>
          <t>flag</t>
        </is>
      </c>
      <c r="I39" s="97">
        <f>IF(Inputs!I158="Yes",1,0)</f>
        <v/>
      </c>
      <c r="J39" s="16" t="n"/>
      <c r="K39" s="16" t="n"/>
      <c r="L39" s="16" t="n"/>
      <c r="M39" s="16" t="n"/>
      <c r="N39" s="16" t="n"/>
      <c r="O39" s="67" t="n"/>
      <c r="P39" s="67" t="n"/>
      <c r="Q39" s="67" t="n"/>
      <c r="R39" s="67" t="n"/>
      <c r="S39" s="67" t="n"/>
      <c r="T39" s="67" t="n"/>
      <c r="U39" s="67" t="n"/>
      <c r="V39" s="67" t="n"/>
      <c r="W39" s="67" t="n"/>
      <c r="X39" s="67" t="n"/>
      <c r="Y39" s="67" t="n"/>
      <c r="Z39" s="67" t="n"/>
      <c r="AA39" s="67" t="n"/>
      <c r="AB39" s="67" t="n"/>
      <c r="AC39" s="67" t="n"/>
      <c r="AD39" s="67" t="n"/>
      <c r="AE39" s="67" t="n"/>
      <c r="AF39" s="67" t="n"/>
      <c r="AG39" s="67" t="n"/>
      <c r="AH39" s="67" t="n"/>
      <c r="AI39" s="67" t="n"/>
      <c r="AJ39" s="67" t="n"/>
      <c r="AK39" s="67" t="n"/>
      <c r="AL39" s="67" t="n"/>
      <c r="AM39" s="67" t="n"/>
      <c r="AN39" s="67" t="n"/>
      <c r="AO39" s="67" t="n"/>
      <c r="AP39" s="67" t="n"/>
      <c r="AQ39" s="67" t="n"/>
      <c r="AR39" s="67" t="n"/>
      <c r="AS39" s="67" t="n"/>
      <c r="AT39" s="67" t="n"/>
      <c r="AU39" s="67" t="n"/>
      <c r="AV39" s="67" t="n"/>
      <c r="AW39" s="67" t="n"/>
      <c r="AX39" s="67" t="n"/>
      <c r="AY39" s="67" t="n"/>
      <c r="AZ39" s="67" t="n"/>
      <c r="BA39" s="67" t="n"/>
      <c r="BB39" s="67" t="n"/>
    </row>
    <row r="40" ht="15" customHeight="1">
      <c r="A40" s="5" t="n"/>
      <c r="B40" s="5" t="n"/>
      <c r="C40" s="5" t="n"/>
      <c r="D40" s="5" t="n"/>
      <c r="E40" s="21" t="inlineStr">
        <is>
          <t>ORAC adjustment factor</t>
        </is>
      </c>
      <c r="G40" s="5" t="inlineStr">
        <is>
          <t>flag</t>
        </is>
      </c>
      <c r="J40" s="16" t="n"/>
      <c r="K40" s="16" t="n"/>
      <c r="L40" s="16" t="n"/>
      <c r="M40" s="16" t="n"/>
      <c r="N40" s="16" t="n"/>
      <c r="O40" s="33" t="n"/>
      <c r="P40" s="84">
        <f>INDEX(Inputs!$P$161:$BB$161,MATCH('Costs &amp; Revenue'!P$5,Inputs!$P$5:$BB$5,0))</f>
        <v/>
      </c>
      <c r="Q40" s="84">
        <f>INDEX(Inputs!$P$161:$BB$161,MATCH('Costs &amp; Revenue'!Q$5,Inputs!$P$5:$BB$5,0))</f>
        <v/>
      </c>
      <c r="R40" s="84">
        <f>INDEX(Inputs!$P$161:$BB$161,MATCH('Costs &amp; Revenue'!R$5,Inputs!$P$5:$BB$5,0))</f>
        <v/>
      </c>
      <c r="S40" s="84">
        <f>INDEX(Inputs!$P$161:$BB$161,MATCH('Costs &amp; Revenue'!S$5,Inputs!$P$5:$BB$5,0))</f>
        <v/>
      </c>
      <c r="T40" s="84">
        <f>INDEX(Inputs!$P$161:$BB$161,MATCH('Costs &amp; Revenue'!T$5,Inputs!$P$5:$BB$5,0))</f>
        <v/>
      </c>
      <c r="U40" s="84">
        <f>INDEX(Inputs!$P$161:$BB$161,MATCH('Costs &amp; Revenue'!U$5,Inputs!$P$5:$BB$5,0))</f>
        <v/>
      </c>
      <c r="V40" s="84">
        <f>INDEX(Inputs!$P$161:$BB$161,MATCH('Costs &amp; Revenue'!V$5,Inputs!$P$5:$BB$5,0))</f>
        <v/>
      </c>
      <c r="W40" s="84">
        <f>INDEX(Inputs!$P$161:$BB$161,MATCH('Costs &amp; Revenue'!W$5,Inputs!$P$5:$BB$5,0))</f>
        <v/>
      </c>
      <c r="X40" s="84">
        <f>INDEX(Inputs!$P$161:$BB$161,MATCH('Costs &amp; Revenue'!X$5,Inputs!$P$5:$BB$5,0))</f>
        <v/>
      </c>
      <c r="Y40" s="84">
        <f>INDEX(Inputs!$P$161:$BB$161,MATCH('Costs &amp; Revenue'!Y$5,Inputs!$P$5:$BB$5,0))</f>
        <v/>
      </c>
      <c r="Z40" s="84">
        <f>INDEX(Inputs!$P$161:$BB$161,MATCH('Costs &amp; Revenue'!Z$5,Inputs!$P$5:$BB$5,0))</f>
        <v/>
      </c>
      <c r="AA40" s="84">
        <f>INDEX(Inputs!$P$161:$BB$161,MATCH('Costs &amp; Revenue'!AA$5,Inputs!$P$5:$BB$5,0))</f>
        <v/>
      </c>
      <c r="AB40" s="84">
        <f>INDEX(Inputs!$P$161:$BB$161,MATCH('Costs &amp; Revenue'!AB$5,Inputs!$P$5:$BB$5,0))</f>
        <v/>
      </c>
      <c r="AC40" s="84">
        <f>INDEX(Inputs!$P$161:$BB$161,MATCH('Costs &amp; Revenue'!AC$5,Inputs!$P$5:$BB$5,0))</f>
        <v/>
      </c>
      <c r="AD40" s="84">
        <f>INDEX(Inputs!$P$161:$BB$161,MATCH('Costs &amp; Revenue'!AD$5,Inputs!$P$5:$BB$5,0))</f>
        <v/>
      </c>
      <c r="AE40" s="84">
        <f>INDEX(Inputs!$P$161:$BB$161,MATCH('Costs &amp; Revenue'!AE$5,Inputs!$P$5:$BB$5,0))</f>
        <v/>
      </c>
      <c r="AF40" s="84">
        <f>INDEX(Inputs!$P$161:$BB$161,MATCH('Costs &amp; Revenue'!AF$5,Inputs!$P$5:$BB$5,0))</f>
        <v/>
      </c>
      <c r="AG40" s="84">
        <f>INDEX(Inputs!$P$161:$BB$161,MATCH('Costs &amp; Revenue'!AG$5,Inputs!$P$5:$BB$5,0))</f>
        <v/>
      </c>
      <c r="AH40" s="84">
        <f>INDEX(Inputs!$P$161:$BB$161,MATCH('Costs &amp; Revenue'!AH$5,Inputs!$P$5:$BB$5,0))</f>
        <v/>
      </c>
      <c r="AI40" s="84">
        <f>INDEX(Inputs!$P$161:$BB$161,MATCH('Costs &amp; Revenue'!AI$5,Inputs!$P$5:$BB$5,0))</f>
        <v/>
      </c>
      <c r="AJ40" s="84">
        <f>INDEX(Inputs!$P$161:$BB$161,MATCH('Costs &amp; Revenue'!AJ$5,Inputs!$P$5:$BB$5,0))</f>
        <v/>
      </c>
      <c r="AK40" s="84">
        <f>INDEX(Inputs!$P$161:$BB$161,MATCH('Costs &amp; Revenue'!AK$5,Inputs!$P$5:$BB$5,0))</f>
        <v/>
      </c>
      <c r="AL40" s="84">
        <f>INDEX(Inputs!$P$161:$BB$161,MATCH('Costs &amp; Revenue'!AL$5,Inputs!$P$5:$BB$5,0))</f>
        <v/>
      </c>
      <c r="AM40" s="84">
        <f>INDEX(Inputs!$P$161:$BB$161,MATCH('Costs &amp; Revenue'!AM$5,Inputs!$P$5:$BB$5,0))</f>
        <v/>
      </c>
      <c r="AN40" s="84">
        <f>INDEX(Inputs!$P$161:$BB$161,MATCH('Costs &amp; Revenue'!AN$5,Inputs!$P$5:$BB$5,0))</f>
        <v/>
      </c>
      <c r="AO40" s="84">
        <f>INDEX(Inputs!$P$161:$BB$161,MATCH('Costs &amp; Revenue'!AO$5,Inputs!$P$5:$BB$5,0))</f>
        <v/>
      </c>
      <c r="AP40" s="84">
        <f>INDEX(Inputs!$P$161:$BB$161,MATCH('Costs &amp; Revenue'!AP$5,Inputs!$P$5:$BB$5,0))</f>
        <v/>
      </c>
      <c r="AQ40" s="84">
        <f>INDEX(Inputs!$P$161:$BB$161,MATCH('Costs &amp; Revenue'!AQ$5,Inputs!$P$5:$BB$5,0))</f>
        <v/>
      </c>
      <c r="AR40" s="84">
        <f>INDEX(Inputs!$P$161:$BB$161,MATCH('Costs &amp; Revenue'!AR$5,Inputs!$P$5:$BB$5,0))</f>
        <v/>
      </c>
      <c r="AS40" s="84">
        <f>INDEX(Inputs!$P$161:$BB$161,MATCH('Costs &amp; Revenue'!AS$5,Inputs!$P$5:$BB$5,0))</f>
        <v/>
      </c>
      <c r="AT40" s="84">
        <f>INDEX(Inputs!$P$161:$BB$161,MATCH('Costs &amp; Revenue'!AT$5,Inputs!$P$5:$BB$5,0))</f>
        <v/>
      </c>
      <c r="AU40" s="84">
        <f>INDEX(Inputs!$P$161:$BB$161,MATCH('Costs &amp; Revenue'!AU$5,Inputs!$P$5:$BB$5,0))</f>
        <v/>
      </c>
      <c r="AV40" s="84">
        <f>INDEX(Inputs!$P$161:$BB$161,MATCH('Costs &amp; Revenue'!AV$5,Inputs!$P$5:$BB$5,0))</f>
        <v/>
      </c>
      <c r="AW40" s="84">
        <f>INDEX(Inputs!$P$161:$BB$161,MATCH('Costs &amp; Revenue'!AW$5,Inputs!$P$5:$BB$5,0))</f>
        <v/>
      </c>
      <c r="AX40" s="84">
        <f>INDEX(Inputs!$P$161:$BB$161,MATCH('Costs &amp; Revenue'!AX$5,Inputs!$P$5:$BB$5,0))</f>
        <v/>
      </c>
      <c r="AY40" s="84">
        <f>INDEX(Inputs!$P$161:$BB$161,MATCH('Costs &amp; Revenue'!AY$5,Inputs!$P$5:$BB$5,0))</f>
        <v/>
      </c>
      <c r="AZ40" s="84">
        <f>INDEX(Inputs!$P$161:$BB$161,MATCH('Costs &amp; Revenue'!AZ$5,Inputs!$P$5:$BB$5,0))</f>
        <v/>
      </c>
      <c r="BA40" s="84">
        <f>INDEX(Inputs!$P$161:$BB$161,MATCH('Costs &amp; Revenue'!BA$5,Inputs!$P$5:$BB$5,0))</f>
        <v/>
      </c>
      <c r="BB40" s="84">
        <f>INDEX(Inputs!$P$161:$BB$161,MATCH('Costs &amp; Revenue'!BB$5,Inputs!$P$5:$BB$5,0))</f>
        <v/>
      </c>
    </row>
    <row r="41" ht="15" customHeight="1">
      <c r="A41" s="5" t="n"/>
      <c r="B41" s="5" t="n"/>
      <c r="C41" s="5" t="n"/>
      <c r="D41" s="5" t="n"/>
      <c r="E41" s="21" t="inlineStr">
        <is>
          <t>ORAF adjustment factor</t>
        </is>
      </c>
      <c r="G41" s="5" t="inlineStr">
        <is>
          <t>flag</t>
        </is>
      </c>
      <c r="J41" s="16" t="n"/>
      <c r="K41" s="16" t="n"/>
      <c r="L41" s="16" t="n"/>
      <c r="M41" s="16" t="n"/>
      <c r="N41" s="16" t="n"/>
      <c r="O41" s="33" t="n"/>
      <c r="P41" s="84">
        <f>INDEX(Inputs!$P$162:$BB$162,MATCH('Costs &amp; Revenue'!P$5,Inputs!$P$5:$BB$5,0))</f>
        <v/>
      </c>
      <c r="Q41" s="84">
        <f>INDEX(Inputs!$P$162:$BB$162,MATCH('Costs &amp; Revenue'!Q$5,Inputs!$P$5:$BB$5,0))</f>
        <v/>
      </c>
      <c r="R41" s="84">
        <f>INDEX(Inputs!$P$162:$BB$162,MATCH('Costs &amp; Revenue'!R$5,Inputs!$P$5:$BB$5,0))</f>
        <v/>
      </c>
      <c r="S41" s="84">
        <f>INDEX(Inputs!$P$162:$BB$162,MATCH('Costs &amp; Revenue'!S$5,Inputs!$P$5:$BB$5,0))</f>
        <v/>
      </c>
      <c r="T41" s="84">
        <f>INDEX(Inputs!$P$162:$BB$162,MATCH('Costs &amp; Revenue'!T$5,Inputs!$P$5:$BB$5,0))</f>
        <v/>
      </c>
      <c r="U41" s="84">
        <f>INDEX(Inputs!$P$162:$BB$162,MATCH('Costs &amp; Revenue'!U$5,Inputs!$P$5:$BB$5,0))</f>
        <v/>
      </c>
      <c r="V41" s="84">
        <f>INDEX(Inputs!$P$162:$BB$162,MATCH('Costs &amp; Revenue'!V$5,Inputs!$P$5:$BB$5,0))</f>
        <v/>
      </c>
      <c r="W41" s="84">
        <f>INDEX(Inputs!$P$162:$BB$162,MATCH('Costs &amp; Revenue'!W$5,Inputs!$P$5:$BB$5,0))</f>
        <v/>
      </c>
      <c r="X41" s="84">
        <f>INDEX(Inputs!$P$162:$BB$162,MATCH('Costs &amp; Revenue'!X$5,Inputs!$P$5:$BB$5,0))</f>
        <v/>
      </c>
      <c r="Y41" s="84">
        <f>INDEX(Inputs!$P$162:$BB$162,MATCH('Costs &amp; Revenue'!Y$5,Inputs!$P$5:$BB$5,0))</f>
        <v/>
      </c>
      <c r="Z41" s="84">
        <f>INDEX(Inputs!$P$162:$BB$162,MATCH('Costs &amp; Revenue'!Z$5,Inputs!$P$5:$BB$5,0))</f>
        <v/>
      </c>
      <c r="AA41" s="84">
        <f>INDEX(Inputs!$P$162:$BB$162,MATCH('Costs &amp; Revenue'!AA$5,Inputs!$P$5:$BB$5,0))</f>
        <v/>
      </c>
      <c r="AB41" s="84">
        <f>INDEX(Inputs!$P$162:$BB$162,MATCH('Costs &amp; Revenue'!AB$5,Inputs!$P$5:$BB$5,0))</f>
        <v/>
      </c>
      <c r="AC41" s="84">
        <f>INDEX(Inputs!$P$162:$BB$162,MATCH('Costs &amp; Revenue'!AC$5,Inputs!$P$5:$BB$5,0))</f>
        <v/>
      </c>
      <c r="AD41" s="84">
        <f>INDEX(Inputs!$P$162:$BB$162,MATCH('Costs &amp; Revenue'!AD$5,Inputs!$P$5:$BB$5,0))</f>
        <v/>
      </c>
      <c r="AE41" s="84">
        <f>INDEX(Inputs!$P$162:$BB$162,MATCH('Costs &amp; Revenue'!AE$5,Inputs!$P$5:$BB$5,0))</f>
        <v/>
      </c>
      <c r="AF41" s="84">
        <f>INDEX(Inputs!$P$162:$BB$162,MATCH('Costs &amp; Revenue'!AF$5,Inputs!$P$5:$BB$5,0))</f>
        <v/>
      </c>
      <c r="AG41" s="84">
        <f>INDEX(Inputs!$P$162:$BB$162,MATCH('Costs &amp; Revenue'!AG$5,Inputs!$P$5:$BB$5,0))</f>
        <v/>
      </c>
      <c r="AH41" s="84">
        <f>INDEX(Inputs!$P$162:$BB$162,MATCH('Costs &amp; Revenue'!AH$5,Inputs!$P$5:$BB$5,0))</f>
        <v/>
      </c>
      <c r="AI41" s="84">
        <f>INDEX(Inputs!$P$162:$BB$162,MATCH('Costs &amp; Revenue'!AI$5,Inputs!$P$5:$BB$5,0))</f>
        <v/>
      </c>
      <c r="AJ41" s="84">
        <f>INDEX(Inputs!$P$162:$BB$162,MATCH('Costs &amp; Revenue'!AJ$5,Inputs!$P$5:$BB$5,0))</f>
        <v/>
      </c>
      <c r="AK41" s="84">
        <f>INDEX(Inputs!$P$162:$BB$162,MATCH('Costs &amp; Revenue'!AK$5,Inputs!$P$5:$BB$5,0))</f>
        <v/>
      </c>
      <c r="AL41" s="84">
        <f>INDEX(Inputs!$P$162:$BB$162,MATCH('Costs &amp; Revenue'!AL$5,Inputs!$P$5:$BB$5,0))</f>
        <v/>
      </c>
      <c r="AM41" s="84">
        <f>INDEX(Inputs!$P$162:$BB$162,MATCH('Costs &amp; Revenue'!AM$5,Inputs!$P$5:$BB$5,0))</f>
        <v/>
      </c>
      <c r="AN41" s="84">
        <f>INDEX(Inputs!$P$162:$BB$162,MATCH('Costs &amp; Revenue'!AN$5,Inputs!$P$5:$BB$5,0))</f>
        <v/>
      </c>
      <c r="AO41" s="84">
        <f>INDEX(Inputs!$P$162:$BB$162,MATCH('Costs &amp; Revenue'!AO$5,Inputs!$P$5:$BB$5,0))</f>
        <v/>
      </c>
      <c r="AP41" s="84">
        <f>INDEX(Inputs!$P$162:$BB$162,MATCH('Costs &amp; Revenue'!AP$5,Inputs!$P$5:$BB$5,0))</f>
        <v/>
      </c>
      <c r="AQ41" s="84">
        <f>INDEX(Inputs!$P$162:$BB$162,MATCH('Costs &amp; Revenue'!AQ$5,Inputs!$P$5:$BB$5,0))</f>
        <v/>
      </c>
      <c r="AR41" s="84">
        <f>INDEX(Inputs!$P$162:$BB$162,MATCH('Costs &amp; Revenue'!AR$5,Inputs!$P$5:$BB$5,0))</f>
        <v/>
      </c>
      <c r="AS41" s="84">
        <f>INDEX(Inputs!$P$162:$BB$162,MATCH('Costs &amp; Revenue'!AS$5,Inputs!$P$5:$BB$5,0))</f>
        <v/>
      </c>
      <c r="AT41" s="84">
        <f>INDEX(Inputs!$P$162:$BB$162,MATCH('Costs &amp; Revenue'!AT$5,Inputs!$P$5:$BB$5,0))</f>
        <v/>
      </c>
      <c r="AU41" s="84">
        <f>INDEX(Inputs!$P$162:$BB$162,MATCH('Costs &amp; Revenue'!AU$5,Inputs!$P$5:$BB$5,0))</f>
        <v/>
      </c>
      <c r="AV41" s="84">
        <f>INDEX(Inputs!$P$162:$BB$162,MATCH('Costs &amp; Revenue'!AV$5,Inputs!$P$5:$BB$5,0))</f>
        <v/>
      </c>
      <c r="AW41" s="84">
        <f>INDEX(Inputs!$P$162:$BB$162,MATCH('Costs &amp; Revenue'!AW$5,Inputs!$P$5:$BB$5,0))</f>
        <v/>
      </c>
      <c r="AX41" s="84">
        <f>INDEX(Inputs!$P$162:$BB$162,MATCH('Costs &amp; Revenue'!AX$5,Inputs!$P$5:$BB$5,0))</f>
        <v/>
      </c>
      <c r="AY41" s="84">
        <f>INDEX(Inputs!$P$162:$BB$162,MATCH('Costs &amp; Revenue'!AY$5,Inputs!$P$5:$BB$5,0))</f>
        <v/>
      </c>
      <c r="AZ41" s="84">
        <f>INDEX(Inputs!$P$162:$BB$162,MATCH('Costs &amp; Revenue'!AZ$5,Inputs!$P$5:$BB$5,0))</f>
        <v/>
      </c>
      <c r="BA41" s="84">
        <f>INDEX(Inputs!$P$162:$BB$162,MATCH('Costs &amp; Revenue'!BA$5,Inputs!$P$5:$BB$5,0))</f>
        <v/>
      </c>
      <c r="BB41" s="84">
        <f>INDEX(Inputs!$P$162:$BB$162,MATCH('Costs &amp; Revenue'!BB$5,Inputs!$P$5:$BB$5,0))</f>
        <v/>
      </c>
    </row>
    <row r="42" ht="15" customHeight="1">
      <c r="A42" s="5" t="n"/>
      <c r="B42" s="5" t="n"/>
      <c r="C42" s="5" t="n"/>
      <c r="D42" s="5" t="n"/>
      <c r="G42" s="5" t="n"/>
      <c r="J42" s="16" t="n"/>
      <c r="K42" s="16" t="n"/>
      <c r="L42" s="16" t="n"/>
      <c r="M42" s="16" t="n"/>
      <c r="N42" s="16" t="n"/>
      <c r="O42" s="67" t="n"/>
      <c r="P42" s="67" t="n"/>
      <c r="Q42" s="67" t="n"/>
      <c r="R42" s="67" t="n"/>
      <c r="S42" s="67" t="n"/>
      <c r="T42" s="67" t="n"/>
      <c r="U42" s="67" t="n"/>
      <c r="V42" s="67" t="n"/>
      <c r="W42" s="67" t="n"/>
      <c r="X42" s="67" t="n"/>
      <c r="Y42" s="67" t="n"/>
      <c r="Z42" s="67" t="n"/>
      <c r="AA42" s="67" t="n"/>
      <c r="AB42" s="67" t="n"/>
      <c r="AC42" s="67" t="n"/>
      <c r="AD42" s="67" t="n"/>
      <c r="AE42" s="67" t="n"/>
      <c r="AF42" s="67" t="n"/>
      <c r="AG42" s="67" t="n"/>
      <c r="AH42" s="67" t="n"/>
      <c r="AI42" s="67" t="n"/>
      <c r="AJ42" s="67" t="n"/>
      <c r="AK42" s="67" t="n"/>
      <c r="AL42" s="67" t="n"/>
      <c r="AM42" s="67" t="n"/>
      <c r="AN42" s="67" t="n"/>
      <c r="AO42" s="67" t="n"/>
      <c r="AP42" s="67" t="n"/>
      <c r="AQ42" s="67" t="n"/>
      <c r="AR42" s="67" t="n"/>
      <c r="AS42" s="67" t="n"/>
      <c r="AT42" s="67" t="n"/>
      <c r="AU42" s="67" t="n"/>
      <c r="AV42" s="67" t="n"/>
      <c r="AW42" s="67" t="n"/>
      <c r="AX42" s="67" t="n"/>
      <c r="AY42" s="67" t="n"/>
      <c r="AZ42" s="67" t="n"/>
      <c r="BA42" s="67" t="n"/>
      <c r="BB42" s="67" t="n"/>
    </row>
    <row r="43" ht="15" customHeight="1">
      <c r="A43" s="5" t="n"/>
      <c r="B43" s="5" t="n"/>
      <c r="C43" s="5" t="n"/>
      <c r="D43" s="5" t="n"/>
      <c r="E43" s="21" t="inlineStr">
        <is>
          <t>Apply DC adjustment factor?</t>
        </is>
      </c>
      <c r="G43" s="5" t="inlineStr">
        <is>
          <t>flag</t>
        </is>
      </c>
      <c r="I43" s="97">
        <f>IF(Inputs!I171="Yes",1,0)</f>
        <v/>
      </c>
      <c r="J43" s="16" t="n"/>
      <c r="K43" s="16" t="n"/>
      <c r="L43" s="16" t="n"/>
      <c r="M43" s="16" t="n"/>
      <c r="N43" s="16" t="n"/>
      <c r="O43" s="67" t="n"/>
      <c r="P43" s="67" t="n"/>
      <c r="Q43" s="67" t="n"/>
      <c r="R43" s="67" t="n"/>
      <c r="S43" s="67" t="n"/>
      <c r="T43" s="67" t="n"/>
      <c r="U43" s="67" t="n"/>
      <c r="V43" s="67" t="n"/>
      <c r="W43" s="67" t="n"/>
      <c r="X43" s="67" t="n"/>
      <c r="Y43" s="67" t="n"/>
      <c r="Z43" s="67" t="n"/>
      <c r="AA43" s="67" t="n"/>
      <c r="AB43" s="67" t="n"/>
      <c r="AC43" s="67" t="n"/>
      <c r="AD43" s="67" t="n"/>
      <c r="AE43" s="67" t="n"/>
      <c r="AF43" s="67" t="n"/>
      <c r="AG43" s="67" t="n"/>
      <c r="AH43" s="67" t="n"/>
      <c r="AI43" s="67" t="n"/>
      <c r="AJ43" s="67" t="n"/>
      <c r="AK43" s="67" t="n"/>
      <c r="AL43" s="67" t="n"/>
      <c r="AM43" s="67" t="n"/>
      <c r="AN43" s="67" t="n"/>
      <c r="AO43" s="67" t="n"/>
      <c r="AP43" s="67" t="n"/>
      <c r="AQ43" s="67" t="n"/>
      <c r="AR43" s="67" t="n"/>
      <c r="AS43" s="67" t="n"/>
      <c r="AT43" s="67" t="n"/>
      <c r="AU43" s="67" t="n"/>
      <c r="AV43" s="67" t="n"/>
      <c r="AW43" s="67" t="n"/>
      <c r="AX43" s="67" t="n"/>
      <c r="AY43" s="67" t="n"/>
      <c r="AZ43" s="67" t="n"/>
      <c r="BA43" s="67" t="n"/>
      <c r="BB43" s="67" t="n"/>
    </row>
    <row r="44" ht="15" customHeight="1">
      <c r="A44" s="5" t="n"/>
      <c r="B44" s="5" t="n"/>
      <c r="C44" s="5" t="n"/>
      <c r="D44" s="5" t="n"/>
      <c r="E44" s="21" t="inlineStr">
        <is>
          <t>Latest DCC and DCF adjustment factor</t>
        </is>
      </c>
      <c r="G44" s="5" t="inlineStr">
        <is>
          <t>flag</t>
        </is>
      </c>
      <c r="J44" s="16" t="n"/>
      <c r="K44" s="16" t="n"/>
      <c r="L44" s="16" t="n"/>
      <c r="M44" s="16" t="n"/>
      <c r="N44" s="16" t="n"/>
      <c r="O44" s="33" t="n"/>
      <c r="P44" s="84">
        <f>INDEX(Inputs!$P$176:$BB$176,MATCH('Costs &amp; Revenue'!P$5,Inputs!$P$5:$BB$5,0))</f>
        <v/>
      </c>
      <c r="Q44" s="84">
        <f>INDEX(Inputs!$P$176:$BB$176,MATCH('Costs &amp; Revenue'!Q$5,Inputs!$P$5:$BB$5,0))</f>
        <v/>
      </c>
      <c r="R44" s="84">
        <f>INDEX(Inputs!$P$176:$BB$176,MATCH('Costs &amp; Revenue'!R$5,Inputs!$P$5:$BB$5,0))</f>
        <v/>
      </c>
      <c r="S44" s="84">
        <f>INDEX(Inputs!$P$176:$BB$176,MATCH('Costs &amp; Revenue'!S$5,Inputs!$P$5:$BB$5,0))</f>
        <v/>
      </c>
      <c r="T44" s="84">
        <f>INDEX(Inputs!$P$176:$BB$176,MATCH('Costs &amp; Revenue'!T$5,Inputs!$P$5:$BB$5,0))</f>
        <v/>
      </c>
      <c r="U44" s="84">
        <f>INDEX(Inputs!$P$176:$BB$176,MATCH('Costs &amp; Revenue'!U$5,Inputs!$P$5:$BB$5,0))</f>
        <v/>
      </c>
      <c r="V44" s="84">
        <f>INDEX(Inputs!$P$176:$BB$176,MATCH('Costs &amp; Revenue'!V$5,Inputs!$P$5:$BB$5,0))</f>
        <v/>
      </c>
      <c r="W44" s="84">
        <f>INDEX(Inputs!$P$176:$BB$176,MATCH('Costs &amp; Revenue'!W$5,Inputs!$P$5:$BB$5,0))</f>
        <v/>
      </c>
      <c r="X44" s="84">
        <f>INDEX(Inputs!$P$176:$BB$176,MATCH('Costs &amp; Revenue'!X$5,Inputs!$P$5:$BB$5,0))</f>
        <v/>
      </c>
      <c r="Y44" s="84">
        <f>INDEX(Inputs!$P$176:$BB$176,MATCH('Costs &amp; Revenue'!Y$5,Inputs!$P$5:$BB$5,0))</f>
        <v/>
      </c>
      <c r="Z44" s="84">
        <f>INDEX(Inputs!$P$176:$BB$176,MATCH('Costs &amp; Revenue'!Z$5,Inputs!$P$5:$BB$5,0))</f>
        <v/>
      </c>
      <c r="AA44" s="84">
        <f>INDEX(Inputs!$P$176:$BB$176,MATCH('Costs &amp; Revenue'!AA$5,Inputs!$P$5:$BB$5,0))</f>
        <v/>
      </c>
      <c r="AB44" s="84">
        <f>INDEX(Inputs!$P$176:$BB$176,MATCH('Costs &amp; Revenue'!AB$5,Inputs!$P$5:$BB$5,0))</f>
        <v/>
      </c>
      <c r="AC44" s="84">
        <f>INDEX(Inputs!$P$176:$BB$176,MATCH('Costs &amp; Revenue'!AC$5,Inputs!$P$5:$BB$5,0))</f>
        <v/>
      </c>
      <c r="AD44" s="84">
        <f>INDEX(Inputs!$P$176:$BB$176,MATCH('Costs &amp; Revenue'!AD$5,Inputs!$P$5:$BB$5,0))</f>
        <v/>
      </c>
      <c r="AE44" s="84">
        <f>INDEX(Inputs!$P$176:$BB$176,MATCH('Costs &amp; Revenue'!AE$5,Inputs!$P$5:$BB$5,0))</f>
        <v/>
      </c>
      <c r="AF44" s="84">
        <f>INDEX(Inputs!$P$176:$BB$176,MATCH('Costs &amp; Revenue'!AF$5,Inputs!$P$5:$BB$5,0))</f>
        <v/>
      </c>
      <c r="AG44" s="84">
        <f>INDEX(Inputs!$P$176:$BB$176,MATCH('Costs &amp; Revenue'!AG$5,Inputs!$P$5:$BB$5,0))</f>
        <v/>
      </c>
      <c r="AH44" s="84">
        <f>INDEX(Inputs!$P$176:$BB$176,MATCH('Costs &amp; Revenue'!AH$5,Inputs!$P$5:$BB$5,0))</f>
        <v/>
      </c>
      <c r="AI44" s="84">
        <f>INDEX(Inputs!$P$176:$BB$176,MATCH('Costs &amp; Revenue'!AI$5,Inputs!$P$5:$BB$5,0))</f>
        <v/>
      </c>
      <c r="AJ44" s="84">
        <f>INDEX(Inputs!$P$176:$BB$176,MATCH('Costs &amp; Revenue'!AJ$5,Inputs!$P$5:$BB$5,0))</f>
        <v/>
      </c>
      <c r="AK44" s="84">
        <f>INDEX(Inputs!$P$176:$BB$176,MATCH('Costs &amp; Revenue'!AK$5,Inputs!$P$5:$BB$5,0))</f>
        <v/>
      </c>
      <c r="AL44" s="84">
        <f>INDEX(Inputs!$P$176:$BB$176,MATCH('Costs &amp; Revenue'!AL$5,Inputs!$P$5:$BB$5,0))</f>
        <v/>
      </c>
      <c r="AM44" s="84">
        <f>INDEX(Inputs!$P$176:$BB$176,MATCH('Costs &amp; Revenue'!AM$5,Inputs!$P$5:$BB$5,0))</f>
        <v/>
      </c>
      <c r="AN44" s="84">
        <f>INDEX(Inputs!$P$176:$BB$176,MATCH('Costs &amp; Revenue'!AN$5,Inputs!$P$5:$BB$5,0))</f>
        <v/>
      </c>
      <c r="AO44" s="84">
        <f>INDEX(Inputs!$P$176:$BB$176,MATCH('Costs &amp; Revenue'!AO$5,Inputs!$P$5:$BB$5,0))</f>
        <v/>
      </c>
      <c r="AP44" s="84">
        <f>INDEX(Inputs!$P$176:$BB$176,MATCH('Costs &amp; Revenue'!AP$5,Inputs!$P$5:$BB$5,0))</f>
        <v/>
      </c>
      <c r="AQ44" s="84">
        <f>INDEX(Inputs!$P$176:$BB$176,MATCH('Costs &amp; Revenue'!AQ$5,Inputs!$P$5:$BB$5,0))</f>
        <v/>
      </c>
      <c r="AR44" s="84">
        <f>INDEX(Inputs!$P$176:$BB$176,MATCH('Costs &amp; Revenue'!AR$5,Inputs!$P$5:$BB$5,0))</f>
        <v/>
      </c>
      <c r="AS44" s="84">
        <f>INDEX(Inputs!$P$176:$BB$176,MATCH('Costs &amp; Revenue'!AS$5,Inputs!$P$5:$BB$5,0))</f>
        <v/>
      </c>
      <c r="AT44" s="84">
        <f>INDEX(Inputs!$P$176:$BB$176,MATCH('Costs &amp; Revenue'!AT$5,Inputs!$P$5:$BB$5,0))</f>
        <v/>
      </c>
      <c r="AU44" s="84">
        <f>INDEX(Inputs!$P$176:$BB$176,MATCH('Costs &amp; Revenue'!AU$5,Inputs!$P$5:$BB$5,0))</f>
        <v/>
      </c>
      <c r="AV44" s="84">
        <f>INDEX(Inputs!$P$176:$BB$176,MATCH('Costs &amp; Revenue'!AV$5,Inputs!$P$5:$BB$5,0))</f>
        <v/>
      </c>
      <c r="AW44" s="84">
        <f>INDEX(Inputs!$P$176:$BB$176,MATCH('Costs &amp; Revenue'!AW$5,Inputs!$P$5:$BB$5,0))</f>
        <v/>
      </c>
      <c r="AX44" s="84">
        <f>INDEX(Inputs!$P$176:$BB$176,MATCH('Costs &amp; Revenue'!AX$5,Inputs!$P$5:$BB$5,0))</f>
        <v/>
      </c>
      <c r="AY44" s="84">
        <f>INDEX(Inputs!$P$176:$BB$176,MATCH('Costs &amp; Revenue'!AY$5,Inputs!$P$5:$BB$5,0))</f>
        <v/>
      </c>
      <c r="AZ44" s="84">
        <f>INDEX(Inputs!$P$176:$BB$176,MATCH('Costs &amp; Revenue'!AZ$5,Inputs!$P$5:$BB$5,0))</f>
        <v/>
      </c>
      <c r="BA44" s="84">
        <f>INDEX(Inputs!$P$176:$BB$176,MATCH('Costs &amp; Revenue'!BA$5,Inputs!$P$5:$BB$5,0))</f>
        <v/>
      </c>
      <c r="BB44" s="84">
        <f>INDEX(Inputs!$P$176:$BB$176,MATCH('Costs &amp; Revenue'!BB$5,Inputs!$P$5:$BB$5,0))</f>
        <v/>
      </c>
    </row>
    <row r="45" ht="15" customHeight="1">
      <c r="A45" s="5" t="n"/>
      <c r="B45" s="5" t="n"/>
      <c r="C45" s="5" t="n"/>
      <c r="D45" s="5" t="n"/>
      <c r="E45" s="21" t="inlineStr">
        <is>
          <t>First DCC and DCF adjustment factor</t>
        </is>
      </c>
      <c r="G45" s="5" t="inlineStr">
        <is>
          <t>flag</t>
        </is>
      </c>
      <c r="J45" s="16" t="n"/>
      <c r="K45" s="16" t="n"/>
      <c r="L45" s="16" t="n"/>
      <c r="M45" s="16" t="n"/>
      <c r="N45" s="16" t="n"/>
      <c r="O45" s="33" t="n"/>
      <c r="P45" s="84">
        <f>INDEX(Inputs!$P$208:$BB$208,MATCH('Costs &amp; Revenue'!P$5,Inputs!$P$5:$BB$5,0))</f>
        <v/>
      </c>
      <c r="Q45" s="84">
        <f>INDEX(Inputs!$P$208:$BB$208,MATCH('Costs &amp; Revenue'!Q$5,Inputs!$P$5:$BB$5,0))</f>
        <v/>
      </c>
      <c r="R45" s="84">
        <f>INDEX(Inputs!$P$208:$BB$208,MATCH('Costs &amp; Revenue'!R$5,Inputs!$P$5:$BB$5,0))</f>
        <v/>
      </c>
      <c r="S45" s="84">
        <f>INDEX(Inputs!$P$208:$BB$208,MATCH('Costs &amp; Revenue'!S$5,Inputs!$P$5:$BB$5,0))</f>
        <v/>
      </c>
      <c r="T45" s="84">
        <f>INDEX(Inputs!$P$208:$BB$208,MATCH('Costs &amp; Revenue'!T$5,Inputs!$P$5:$BB$5,0))</f>
        <v/>
      </c>
      <c r="U45" s="84">
        <f>INDEX(Inputs!$P$208:$BB$208,MATCH('Costs &amp; Revenue'!U$5,Inputs!$P$5:$BB$5,0))</f>
        <v/>
      </c>
      <c r="V45" s="84">
        <f>INDEX(Inputs!$P$208:$BB$208,MATCH('Costs &amp; Revenue'!V$5,Inputs!$P$5:$BB$5,0))</f>
        <v/>
      </c>
      <c r="W45" s="84">
        <f>INDEX(Inputs!$P$208:$BB$208,MATCH('Costs &amp; Revenue'!W$5,Inputs!$P$5:$BB$5,0))</f>
        <v/>
      </c>
      <c r="X45" s="84">
        <f>INDEX(Inputs!$P$208:$BB$208,MATCH('Costs &amp; Revenue'!X$5,Inputs!$P$5:$BB$5,0))</f>
        <v/>
      </c>
      <c r="Y45" s="84">
        <f>INDEX(Inputs!$P$208:$BB$208,MATCH('Costs &amp; Revenue'!Y$5,Inputs!$P$5:$BB$5,0))</f>
        <v/>
      </c>
      <c r="Z45" s="84">
        <f>INDEX(Inputs!$P$208:$BB$208,MATCH('Costs &amp; Revenue'!Z$5,Inputs!$P$5:$BB$5,0))</f>
        <v/>
      </c>
      <c r="AA45" s="84">
        <f>INDEX(Inputs!$P$208:$BB$208,MATCH('Costs &amp; Revenue'!AA$5,Inputs!$P$5:$BB$5,0))</f>
        <v/>
      </c>
      <c r="AB45" s="84">
        <f>INDEX(Inputs!$P$208:$BB$208,MATCH('Costs &amp; Revenue'!AB$5,Inputs!$P$5:$BB$5,0))</f>
        <v/>
      </c>
      <c r="AC45" s="84">
        <f>INDEX(Inputs!$P$208:$BB$208,MATCH('Costs &amp; Revenue'!AC$5,Inputs!$P$5:$BB$5,0))</f>
        <v/>
      </c>
      <c r="AD45" s="84">
        <f>INDEX(Inputs!$P$208:$BB$208,MATCH('Costs &amp; Revenue'!AD$5,Inputs!$P$5:$BB$5,0))</f>
        <v/>
      </c>
      <c r="AE45" s="84">
        <f>INDEX(Inputs!$P$208:$BB$208,MATCH('Costs &amp; Revenue'!AE$5,Inputs!$P$5:$BB$5,0))</f>
        <v/>
      </c>
      <c r="AF45" s="84">
        <f>INDEX(Inputs!$P$208:$BB$208,MATCH('Costs &amp; Revenue'!AF$5,Inputs!$P$5:$BB$5,0))</f>
        <v/>
      </c>
      <c r="AG45" s="84">
        <f>INDEX(Inputs!$P$208:$BB$208,MATCH('Costs &amp; Revenue'!AG$5,Inputs!$P$5:$BB$5,0))</f>
        <v/>
      </c>
      <c r="AH45" s="84">
        <f>INDEX(Inputs!$P$208:$BB$208,MATCH('Costs &amp; Revenue'!AH$5,Inputs!$P$5:$BB$5,0))</f>
        <v/>
      </c>
      <c r="AI45" s="84">
        <f>INDEX(Inputs!$P$208:$BB$208,MATCH('Costs &amp; Revenue'!AI$5,Inputs!$P$5:$BB$5,0))</f>
        <v/>
      </c>
      <c r="AJ45" s="84">
        <f>INDEX(Inputs!$P$208:$BB$208,MATCH('Costs &amp; Revenue'!AJ$5,Inputs!$P$5:$BB$5,0))</f>
        <v/>
      </c>
      <c r="AK45" s="84">
        <f>INDEX(Inputs!$P$208:$BB$208,MATCH('Costs &amp; Revenue'!AK$5,Inputs!$P$5:$BB$5,0))</f>
        <v/>
      </c>
      <c r="AL45" s="84">
        <f>INDEX(Inputs!$P$208:$BB$208,MATCH('Costs &amp; Revenue'!AL$5,Inputs!$P$5:$BB$5,0))</f>
        <v/>
      </c>
      <c r="AM45" s="84">
        <f>INDEX(Inputs!$P$208:$BB$208,MATCH('Costs &amp; Revenue'!AM$5,Inputs!$P$5:$BB$5,0))</f>
        <v/>
      </c>
      <c r="AN45" s="84">
        <f>INDEX(Inputs!$P$208:$BB$208,MATCH('Costs &amp; Revenue'!AN$5,Inputs!$P$5:$BB$5,0))</f>
        <v/>
      </c>
      <c r="AO45" s="84">
        <f>INDEX(Inputs!$P$208:$BB$208,MATCH('Costs &amp; Revenue'!AO$5,Inputs!$P$5:$BB$5,0))</f>
        <v/>
      </c>
      <c r="AP45" s="84">
        <f>INDEX(Inputs!$P$208:$BB$208,MATCH('Costs &amp; Revenue'!AP$5,Inputs!$P$5:$BB$5,0))</f>
        <v/>
      </c>
      <c r="AQ45" s="84">
        <f>INDEX(Inputs!$P$208:$BB$208,MATCH('Costs &amp; Revenue'!AQ$5,Inputs!$P$5:$BB$5,0))</f>
        <v/>
      </c>
      <c r="AR45" s="84">
        <f>INDEX(Inputs!$P$208:$BB$208,MATCH('Costs &amp; Revenue'!AR$5,Inputs!$P$5:$BB$5,0))</f>
        <v/>
      </c>
      <c r="AS45" s="84">
        <f>INDEX(Inputs!$P$208:$BB$208,MATCH('Costs &amp; Revenue'!AS$5,Inputs!$P$5:$BB$5,0))</f>
        <v/>
      </c>
      <c r="AT45" s="84">
        <f>INDEX(Inputs!$P$208:$BB$208,MATCH('Costs &amp; Revenue'!AT$5,Inputs!$P$5:$BB$5,0))</f>
        <v/>
      </c>
      <c r="AU45" s="84">
        <f>INDEX(Inputs!$P$208:$BB$208,MATCH('Costs &amp; Revenue'!AU$5,Inputs!$P$5:$BB$5,0))</f>
        <v/>
      </c>
      <c r="AV45" s="84">
        <f>INDEX(Inputs!$P$208:$BB$208,MATCH('Costs &amp; Revenue'!AV$5,Inputs!$P$5:$BB$5,0))</f>
        <v/>
      </c>
      <c r="AW45" s="84">
        <f>INDEX(Inputs!$P$208:$BB$208,MATCH('Costs &amp; Revenue'!AW$5,Inputs!$P$5:$BB$5,0))</f>
        <v/>
      </c>
      <c r="AX45" s="84">
        <f>INDEX(Inputs!$P$208:$BB$208,MATCH('Costs &amp; Revenue'!AX$5,Inputs!$P$5:$BB$5,0))</f>
        <v/>
      </c>
      <c r="AY45" s="84">
        <f>INDEX(Inputs!$P$208:$BB$208,MATCH('Costs &amp; Revenue'!AY$5,Inputs!$P$5:$BB$5,0))</f>
        <v/>
      </c>
      <c r="AZ45" s="84">
        <f>INDEX(Inputs!$P$208:$BB$208,MATCH('Costs &amp; Revenue'!AZ$5,Inputs!$P$5:$BB$5,0))</f>
        <v/>
      </c>
      <c r="BA45" s="84">
        <f>INDEX(Inputs!$P$208:$BB$208,MATCH('Costs &amp; Revenue'!BA$5,Inputs!$P$5:$BB$5,0))</f>
        <v/>
      </c>
      <c r="BB45" s="84">
        <f>INDEX(Inputs!$P$208:$BB$208,MATCH('Costs &amp; Revenue'!BB$5,Inputs!$P$5:$BB$5,0))</f>
        <v/>
      </c>
    </row>
    <row r="46" ht="15" customHeight="1">
      <c r="A46" s="5" t="n"/>
      <c r="B46" s="5" t="n"/>
      <c r="C46" s="5" t="n"/>
      <c r="D46" s="5" t="n"/>
      <c r="E46" s="21" t="inlineStr">
        <is>
          <t>Second DCC and DCF adjustment factor</t>
        </is>
      </c>
      <c r="G46" s="5" t="inlineStr">
        <is>
          <t>flag</t>
        </is>
      </c>
      <c r="J46" s="16" t="n"/>
      <c r="K46" s="16" t="n"/>
      <c r="L46" s="16" t="n"/>
      <c r="M46" s="16" t="n"/>
      <c r="N46" s="16" t="n"/>
      <c r="O46" s="33" t="n"/>
      <c r="P46" s="84">
        <f>INDEX(Inputs!$P$209:$BB$209,MATCH('Costs &amp; Revenue'!P$5,Inputs!$P$5:$BB$5,0))</f>
        <v/>
      </c>
      <c r="Q46" s="84">
        <f>INDEX(Inputs!$P$209:$BB$209,MATCH('Costs &amp; Revenue'!Q$5,Inputs!$P$5:$BB$5,0))</f>
        <v/>
      </c>
      <c r="R46" s="84">
        <f>INDEX(Inputs!$P$209:$BB$209,MATCH('Costs &amp; Revenue'!R$5,Inputs!$P$5:$BB$5,0))</f>
        <v/>
      </c>
      <c r="S46" s="84">
        <f>INDEX(Inputs!$P$209:$BB$209,MATCH('Costs &amp; Revenue'!S$5,Inputs!$P$5:$BB$5,0))</f>
        <v/>
      </c>
      <c r="T46" s="84">
        <f>INDEX(Inputs!$P$209:$BB$209,MATCH('Costs &amp; Revenue'!T$5,Inputs!$P$5:$BB$5,0))</f>
        <v/>
      </c>
      <c r="U46" s="84">
        <f>INDEX(Inputs!$P$209:$BB$209,MATCH('Costs &amp; Revenue'!U$5,Inputs!$P$5:$BB$5,0))</f>
        <v/>
      </c>
      <c r="V46" s="84">
        <f>INDEX(Inputs!$P$209:$BB$209,MATCH('Costs &amp; Revenue'!V$5,Inputs!$P$5:$BB$5,0))</f>
        <v/>
      </c>
      <c r="W46" s="84">
        <f>INDEX(Inputs!$P$209:$BB$209,MATCH('Costs &amp; Revenue'!W$5,Inputs!$P$5:$BB$5,0))</f>
        <v/>
      </c>
      <c r="X46" s="84">
        <f>INDEX(Inputs!$P$209:$BB$209,MATCH('Costs &amp; Revenue'!X$5,Inputs!$P$5:$BB$5,0))</f>
        <v/>
      </c>
      <c r="Y46" s="84">
        <f>INDEX(Inputs!$P$209:$BB$209,MATCH('Costs &amp; Revenue'!Y$5,Inputs!$P$5:$BB$5,0))</f>
        <v/>
      </c>
      <c r="Z46" s="84">
        <f>INDEX(Inputs!$P$209:$BB$209,MATCH('Costs &amp; Revenue'!Z$5,Inputs!$P$5:$BB$5,0))</f>
        <v/>
      </c>
      <c r="AA46" s="84">
        <f>INDEX(Inputs!$P$209:$BB$209,MATCH('Costs &amp; Revenue'!AA$5,Inputs!$P$5:$BB$5,0))</f>
        <v/>
      </c>
      <c r="AB46" s="84">
        <f>INDEX(Inputs!$P$209:$BB$209,MATCH('Costs &amp; Revenue'!AB$5,Inputs!$P$5:$BB$5,0))</f>
        <v/>
      </c>
      <c r="AC46" s="84">
        <f>INDEX(Inputs!$P$209:$BB$209,MATCH('Costs &amp; Revenue'!AC$5,Inputs!$P$5:$BB$5,0))</f>
        <v/>
      </c>
      <c r="AD46" s="84">
        <f>INDEX(Inputs!$P$209:$BB$209,MATCH('Costs &amp; Revenue'!AD$5,Inputs!$P$5:$BB$5,0))</f>
        <v/>
      </c>
      <c r="AE46" s="84">
        <f>INDEX(Inputs!$P$209:$BB$209,MATCH('Costs &amp; Revenue'!AE$5,Inputs!$P$5:$BB$5,0))</f>
        <v/>
      </c>
      <c r="AF46" s="84">
        <f>INDEX(Inputs!$P$209:$BB$209,MATCH('Costs &amp; Revenue'!AF$5,Inputs!$P$5:$BB$5,0))</f>
        <v/>
      </c>
      <c r="AG46" s="84">
        <f>INDEX(Inputs!$P$209:$BB$209,MATCH('Costs &amp; Revenue'!AG$5,Inputs!$P$5:$BB$5,0))</f>
        <v/>
      </c>
      <c r="AH46" s="84">
        <f>INDEX(Inputs!$P$209:$BB$209,MATCH('Costs &amp; Revenue'!AH$5,Inputs!$P$5:$BB$5,0))</f>
        <v/>
      </c>
      <c r="AI46" s="84">
        <f>INDEX(Inputs!$P$209:$BB$209,MATCH('Costs &amp; Revenue'!AI$5,Inputs!$P$5:$BB$5,0))</f>
        <v/>
      </c>
      <c r="AJ46" s="84">
        <f>INDEX(Inputs!$P$209:$BB$209,MATCH('Costs &amp; Revenue'!AJ$5,Inputs!$P$5:$BB$5,0))</f>
        <v/>
      </c>
      <c r="AK46" s="84">
        <f>INDEX(Inputs!$P$209:$BB$209,MATCH('Costs &amp; Revenue'!AK$5,Inputs!$P$5:$BB$5,0))</f>
        <v/>
      </c>
      <c r="AL46" s="84">
        <f>INDEX(Inputs!$P$209:$BB$209,MATCH('Costs &amp; Revenue'!AL$5,Inputs!$P$5:$BB$5,0))</f>
        <v/>
      </c>
      <c r="AM46" s="84">
        <f>INDEX(Inputs!$P$209:$BB$209,MATCH('Costs &amp; Revenue'!AM$5,Inputs!$P$5:$BB$5,0))</f>
        <v/>
      </c>
      <c r="AN46" s="84">
        <f>INDEX(Inputs!$P$209:$BB$209,MATCH('Costs &amp; Revenue'!AN$5,Inputs!$P$5:$BB$5,0))</f>
        <v/>
      </c>
      <c r="AO46" s="84">
        <f>INDEX(Inputs!$P$209:$BB$209,MATCH('Costs &amp; Revenue'!AO$5,Inputs!$P$5:$BB$5,0))</f>
        <v/>
      </c>
      <c r="AP46" s="84">
        <f>INDEX(Inputs!$P$209:$BB$209,MATCH('Costs &amp; Revenue'!AP$5,Inputs!$P$5:$BB$5,0))</f>
        <v/>
      </c>
      <c r="AQ46" s="84">
        <f>INDEX(Inputs!$P$209:$BB$209,MATCH('Costs &amp; Revenue'!AQ$5,Inputs!$P$5:$BB$5,0))</f>
        <v/>
      </c>
      <c r="AR46" s="84">
        <f>INDEX(Inputs!$P$209:$BB$209,MATCH('Costs &amp; Revenue'!AR$5,Inputs!$P$5:$BB$5,0))</f>
        <v/>
      </c>
      <c r="AS46" s="84">
        <f>INDEX(Inputs!$P$209:$BB$209,MATCH('Costs &amp; Revenue'!AS$5,Inputs!$P$5:$BB$5,0))</f>
        <v/>
      </c>
      <c r="AT46" s="84">
        <f>INDEX(Inputs!$P$209:$BB$209,MATCH('Costs &amp; Revenue'!AT$5,Inputs!$P$5:$BB$5,0))</f>
        <v/>
      </c>
      <c r="AU46" s="84">
        <f>INDEX(Inputs!$P$209:$BB$209,MATCH('Costs &amp; Revenue'!AU$5,Inputs!$P$5:$BB$5,0))</f>
        <v/>
      </c>
      <c r="AV46" s="84">
        <f>INDEX(Inputs!$P$209:$BB$209,MATCH('Costs &amp; Revenue'!AV$5,Inputs!$P$5:$BB$5,0))</f>
        <v/>
      </c>
      <c r="AW46" s="84">
        <f>INDEX(Inputs!$P$209:$BB$209,MATCH('Costs &amp; Revenue'!AW$5,Inputs!$P$5:$BB$5,0))</f>
        <v/>
      </c>
      <c r="AX46" s="84">
        <f>INDEX(Inputs!$P$209:$BB$209,MATCH('Costs &amp; Revenue'!AX$5,Inputs!$P$5:$BB$5,0))</f>
        <v/>
      </c>
      <c r="AY46" s="84">
        <f>INDEX(Inputs!$P$209:$BB$209,MATCH('Costs &amp; Revenue'!AY$5,Inputs!$P$5:$BB$5,0))</f>
        <v/>
      </c>
      <c r="AZ46" s="84">
        <f>INDEX(Inputs!$P$209:$BB$209,MATCH('Costs &amp; Revenue'!AZ$5,Inputs!$P$5:$BB$5,0))</f>
        <v/>
      </c>
      <c r="BA46" s="84">
        <f>INDEX(Inputs!$P$209:$BB$209,MATCH('Costs &amp; Revenue'!BA$5,Inputs!$P$5:$BB$5,0))</f>
        <v/>
      </c>
      <c r="BB46" s="84">
        <f>INDEX(Inputs!$P$209:$BB$209,MATCH('Costs &amp; Revenue'!BB$5,Inputs!$P$5:$BB$5,0))</f>
        <v/>
      </c>
    </row>
    <row r="47" ht="15" customHeight="1">
      <c r="A47" s="5" t="n"/>
      <c r="B47" s="5" t="n"/>
      <c r="C47" s="5" t="n"/>
      <c r="D47" s="5" t="n"/>
      <c r="E47" s="21" t="inlineStr">
        <is>
          <t>Third DCC and DCF adjustment factor</t>
        </is>
      </c>
      <c r="G47" s="5" t="inlineStr">
        <is>
          <t>flag</t>
        </is>
      </c>
      <c r="J47" s="16" t="n"/>
      <c r="K47" s="16" t="n"/>
      <c r="L47" s="16" t="n"/>
      <c r="M47" s="16" t="n"/>
      <c r="N47" s="16" t="n"/>
      <c r="O47" s="33" t="n"/>
      <c r="P47" s="84">
        <f>INDEX(Inputs!$P$210:$BB$210,MATCH('Costs &amp; Revenue'!P$5,Inputs!$P$5:$BB$5,0))</f>
        <v/>
      </c>
      <c r="Q47" s="84">
        <f>INDEX(Inputs!$P$210:$BB$210,MATCH('Costs &amp; Revenue'!Q$5,Inputs!$P$5:$BB$5,0))</f>
        <v/>
      </c>
      <c r="R47" s="84">
        <f>INDEX(Inputs!$P$210:$BB$210,MATCH('Costs &amp; Revenue'!R$5,Inputs!$P$5:$BB$5,0))</f>
        <v/>
      </c>
      <c r="S47" s="84">
        <f>INDEX(Inputs!$P$210:$BB$210,MATCH('Costs &amp; Revenue'!S$5,Inputs!$P$5:$BB$5,0))</f>
        <v/>
      </c>
      <c r="T47" s="84">
        <f>INDEX(Inputs!$P$210:$BB$210,MATCH('Costs &amp; Revenue'!T$5,Inputs!$P$5:$BB$5,0))</f>
        <v/>
      </c>
      <c r="U47" s="84">
        <f>INDEX(Inputs!$P$210:$BB$210,MATCH('Costs &amp; Revenue'!U$5,Inputs!$P$5:$BB$5,0))</f>
        <v/>
      </c>
      <c r="V47" s="84">
        <f>INDEX(Inputs!$P$210:$BB$210,MATCH('Costs &amp; Revenue'!V$5,Inputs!$P$5:$BB$5,0))</f>
        <v/>
      </c>
      <c r="W47" s="84">
        <f>INDEX(Inputs!$P$210:$BB$210,MATCH('Costs &amp; Revenue'!W$5,Inputs!$P$5:$BB$5,0))</f>
        <v/>
      </c>
      <c r="X47" s="84">
        <f>INDEX(Inputs!$P$210:$BB$210,MATCH('Costs &amp; Revenue'!X$5,Inputs!$P$5:$BB$5,0))</f>
        <v/>
      </c>
      <c r="Y47" s="84">
        <f>INDEX(Inputs!$P$210:$BB$210,MATCH('Costs &amp; Revenue'!Y$5,Inputs!$P$5:$BB$5,0))</f>
        <v/>
      </c>
      <c r="Z47" s="84">
        <f>INDEX(Inputs!$P$210:$BB$210,MATCH('Costs &amp; Revenue'!Z$5,Inputs!$P$5:$BB$5,0))</f>
        <v/>
      </c>
      <c r="AA47" s="84">
        <f>INDEX(Inputs!$P$210:$BB$210,MATCH('Costs &amp; Revenue'!AA$5,Inputs!$P$5:$BB$5,0))</f>
        <v/>
      </c>
      <c r="AB47" s="84">
        <f>INDEX(Inputs!$P$210:$BB$210,MATCH('Costs &amp; Revenue'!AB$5,Inputs!$P$5:$BB$5,0))</f>
        <v/>
      </c>
      <c r="AC47" s="84">
        <f>INDEX(Inputs!$P$210:$BB$210,MATCH('Costs &amp; Revenue'!AC$5,Inputs!$P$5:$BB$5,0))</f>
        <v/>
      </c>
      <c r="AD47" s="84">
        <f>INDEX(Inputs!$P$210:$BB$210,MATCH('Costs &amp; Revenue'!AD$5,Inputs!$P$5:$BB$5,0))</f>
        <v/>
      </c>
      <c r="AE47" s="84">
        <f>INDEX(Inputs!$P$210:$BB$210,MATCH('Costs &amp; Revenue'!AE$5,Inputs!$P$5:$BB$5,0))</f>
        <v/>
      </c>
      <c r="AF47" s="84">
        <f>INDEX(Inputs!$P$210:$BB$210,MATCH('Costs &amp; Revenue'!AF$5,Inputs!$P$5:$BB$5,0))</f>
        <v/>
      </c>
      <c r="AG47" s="84">
        <f>INDEX(Inputs!$P$210:$BB$210,MATCH('Costs &amp; Revenue'!AG$5,Inputs!$P$5:$BB$5,0))</f>
        <v/>
      </c>
      <c r="AH47" s="84">
        <f>INDEX(Inputs!$P$210:$BB$210,MATCH('Costs &amp; Revenue'!AH$5,Inputs!$P$5:$BB$5,0))</f>
        <v/>
      </c>
      <c r="AI47" s="84">
        <f>INDEX(Inputs!$P$210:$BB$210,MATCH('Costs &amp; Revenue'!AI$5,Inputs!$P$5:$BB$5,0))</f>
        <v/>
      </c>
      <c r="AJ47" s="84">
        <f>INDEX(Inputs!$P$210:$BB$210,MATCH('Costs &amp; Revenue'!AJ$5,Inputs!$P$5:$BB$5,0))</f>
        <v/>
      </c>
      <c r="AK47" s="84">
        <f>INDEX(Inputs!$P$210:$BB$210,MATCH('Costs &amp; Revenue'!AK$5,Inputs!$P$5:$BB$5,0))</f>
        <v/>
      </c>
      <c r="AL47" s="84">
        <f>INDEX(Inputs!$P$210:$BB$210,MATCH('Costs &amp; Revenue'!AL$5,Inputs!$P$5:$BB$5,0))</f>
        <v/>
      </c>
      <c r="AM47" s="84">
        <f>INDEX(Inputs!$P$210:$BB$210,MATCH('Costs &amp; Revenue'!AM$5,Inputs!$P$5:$BB$5,0))</f>
        <v/>
      </c>
      <c r="AN47" s="84">
        <f>INDEX(Inputs!$P$210:$BB$210,MATCH('Costs &amp; Revenue'!AN$5,Inputs!$P$5:$BB$5,0))</f>
        <v/>
      </c>
      <c r="AO47" s="84">
        <f>INDEX(Inputs!$P$210:$BB$210,MATCH('Costs &amp; Revenue'!AO$5,Inputs!$P$5:$BB$5,0))</f>
        <v/>
      </c>
      <c r="AP47" s="84">
        <f>INDEX(Inputs!$P$210:$BB$210,MATCH('Costs &amp; Revenue'!AP$5,Inputs!$P$5:$BB$5,0))</f>
        <v/>
      </c>
      <c r="AQ47" s="84">
        <f>INDEX(Inputs!$P$210:$BB$210,MATCH('Costs &amp; Revenue'!AQ$5,Inputs!$P$5:$BB$5,0))</f>
        <v/>
      </c>
      <c r="AR47" s="84">
        <f>INDEX(Inputs!$P$210:$BB$210,MATCH('Costs &amp; Revenue'!AR$5,Inputs!$P$5:$BB$5,0))</f>
        <v/>
      </c>
      <c r="AS47" s="84">
        <f>INDEX(Inputs!$P$210:$BB$210,MATCH('Costs &amp; Revenue'!AS$5,Inputs!$P$5:$BB$5,0))</f>
        <v/>
      </c>
      <c r="AT47" s="84">
        <f>INDEX(Inputs!$P$210:$BB$210,MATCH('Costs &amp; Revenue'!AT$5,Inputs!$P$5:$BB$5,0))</f>
        <v/>
      </c>
      <c r="AU47" s="84">
        <f>INDEX(Inputs!$P$210:$BB$210,MATCH('Costs &amp; Revenue'!AU$5,Inputs!$P$5:$BB$5,0))</f>
        <v/>
      </c>
      <c r="AV47" s="84">
        <f>INDEX(Inputs!$P$210:$BB$210,MATCH('Costs &amp; Revenue'!AV$5,Inputs!$P$5:$BB$5,0))</f>
        <v/>
      </c>
      <c r="AW47" s="84">
        <f>INDEX(Inputs!$P$210:$BB$210,MATCH('Costs &amp; Revenue'!AW$5,Inputs!$P$5:$BB$5,0))</f>
        <v/>
      </c>
      <c r="AX47" s="84">
        <f>INDEX(Inputs!$P$210:$BB$210,MATCH('Costs &amp; Revenue'!AX$5,Inputs!$P$5:$BB$5,0))</f>
        <v/>
      </c>
      <c r="AY47" s="84">
        <f>INDEX(Inputs!$P$210:$BB$210,MATCH('Costs &amp; Revenue'!AY$5,Inputs!$P$5:$BB$5,0))</f>
        <v/>
      </c>
      <c r="AZ47" s="84">
        <f>INDEX(Inputs!$P$210:$BB$210,MATCH('Costs &amp; Revenue'!AZ$5,Inputs!$P$5:$BB$5,0))</f>
        <v/>
      </c>
      <c r="BA47" s="84">
        <f>INDEX(Inputs!$P$210:$BB$210,MATCH('Costs &amp; Revenue'!BA$5,Inputs!$P$5:$BB$5,0))</f>
        <v/>
      </c>
      <c r="BB47" s="84">
        <f>INDEX(Inputs!$P$210:$BB$210,MATCH('Costs &amp; Revenue'!BB$5,Inputs!$P$5:$BB$5,0))</f>
        <v/>
      </c>
    </row>
    <row r="48" ht="15" customHeight="1">
      <c r="A48" s="5" t="n"/>
      <c r="B48" s="5" t="n"/>
      <c r="C48" s="5" t="n"/>
      <c r="D48" s="5" t="n"/>
      <c r="E48" s="21" t="inlineStr">
        <is>
          <t>Fourth DCC and DCF adjustment factor</t>
        </is>
      </c>
      <c r="G48" s="5" t="inlineStr">
        <is>
          <t>flag</t>
        </is>
      </c>
      <c r="J48" s="16" t="n"/>
      <c r="K48" s="16" t="n"/>
      <c r="L48" s="16" t="n"/>
      <c r="M48" s="16" t="n"/>
      <c r="N48" s="16" t="n"/>
      <c r="O48" s="33" t="n"/>
      <c r="P48" s="84">
        <f>INDEX(Inputs!$P$211:$BB$211,MATCH('Costs &amp; Revenue'!P$5,Inputs!$P$5:$BB$5,0))</f>
        <v/>
      </c>
      <c r="Q48" s="84">
        <f>INDEX(Inputs!$P$211:$BB$211,MATCH('Costs &amp; Revenue'!Q$5,Inputs!$P$5:$BB$5,0))</f>
        <v/>
      </c>
      <c r="R48" s="84">
        <f>INDEX(Inputs!$P$211:$BB$211,MATCH('Costs &amp; Revenue'!R$5,Inputs!$P$5:$BB$5,0))</f>
        <v/>
      </c>
      <c r="S48" s="84">
        <f>INDEX(Inputs!$P$211:$BB$211,MATCH('Costs &amp; Revenue'!S$5,Inputs!$P$5:$BB$5,0))</f>
        <v/>
      </c>
      <c r="T48" s="84">
        <f>INDEX(Inputs!$P$211:$BB$211,MATCH('Costs &amp; Revenue'!T$5,Inputs!$P$5:$BB$5,0))</f>
        <v/>
      </c>
      <c r="U48" s="84">
        <f>INDEX(Inputs!$P$211:$BB$211,MATCH('Costs &amp; Revenue'!U$5,Inputs!$P$5:$BB$5,0))</f>
        <v/>
      </c>
      <c r="V48" s="84">
        <f>INDEX(Inputs!$P$211:$BB$211,MATCH('Costs &amp; Revenue'!V$5,Inputs!$P$5:$BB$5,0))</f>
        <v/>
      </c>
      <c r="W48" s="84">
        <f>INDEX(Inputs!$P$211:$BB$211,MATCH('Costs &amp; Revenue'!W$5,Inputs!$P$5:$BB$5,0))</f>
        <v/>
      </c>
      <c r="X48" s="84">
        <f>INDEX(Inputs!$P$211:$BB$211,MATCH('Costs &amp; Revenue'!X$5,Inputs!$P$5:$BB$5,0))</f>
        <v/>
      </c>
      <c r="Y48" s="84">
        <f>INDEX(Inputs!$P$211:$BB$211,MATCH('Costs &amp; Revenue'!Y$5,Inputs!$P$5:$BB$5,0))</f>
        <v/>
      </c>
      <c r="Z48" s="84">
        <f>INDEX(Inputs!$P$211:$BB$211,MATCH('Costs &amp; Revenue'!Z$5,Inputs!$P$5:$BB$5,0))</f>
        <v/>
      </c>
      <c r="AA48" s="84">
        <f>INDEX(Inputs!$P$211:$BB$211,MATCH('Costs &amp; Revenue'!AA$5,Inputs!$P$5:$BB$5,0))</f>
        <v/>
      </c>
      <c r="AB48" s="84">
        <f>INDEX(Inputs!$P$211:$BB$211,MATCH('Costs &amp; Revenue'!AB$5,Inputs!$P$5:$BB$5,0))</f>
        <v/>
      </c>
      <c r="AC48" s="84">
        <f>INDEX(Inputs!$P$211:$BB$211,MATCH('Costs &amp; Revenue'!AC$5,Inputs!$P$5:$BB$5,0))</f>
        <v/>
      </c>
      <c r="AD48" s="84">
        <f>INDEX(Inputs!$P$211:$BB$211,MATCH('Costs &amp; Revenue'!AD$5,Inputs!$P$5:$BB$5,0))</f>
        <v/>
      </c>
      <c r="AE48" s="84">
        <f>INDEX(Inputs!$P$211:$BB$211,MATCH('Costs &amp; Revenue'!AE$5,Inputs!$P$5:$BB$5,0))</f>
        <v/>
      </c>
      <c r="AF48" s="84">
        <f>INDEX(Inputs!$P$211:$BB$211,MATCH('Costs &amp; Revenue'!AF$5,Inputs!$P$5:$BB$5,0))</f>
        <v/>
      </c>
      <c r="AG48" s="84">
        <f>INDEX(Inputs!$P$211:$BB$211,MATCH('Costs &amp; Revenue'!AG$5,Inputs!$P$5:$BB$5,0))</f>
        <v/>
      </c>
      <c r="AH48" s="84">
        <f>INDEX(Inputs!$P$211:$BB$211,MATCH('Costs &amp; Revenue'!AH$5,Inputs!$P$5:$BB$5,0))</f>
        <v/>
      </c>
      <c r="AI48" s="84">
        <f>INDEX(Inputs!$P$211:$BB$211,MATCH('Costs &amp; Revenue'!AI$5,Inputs!$P$5:$BB$5,0))</f>
        <v/>
      </c>
      <c r="AJ48" s="84">
        <f>INDEX(Inputs!$P$211:$BB$211,MATCH('Costs &amp; Revenue'!AJ$5,Inputs!$P$5:$BB$5,0))</f>
        <v/>
      </c>
      <c r="AK48" s="84">
        <f>INDEX(Inputs!$P$211:$BB$211,MATCH('Costs &amp; Revenue'!AK$5,Inputs!$P$5:$BB$5,0))</f>
        <v/>
      </c>
      <c r="AL48" s="84">
        <f>INDEX(Inputs!$P$211:$BB$211,MATCH('Costs &amp; Revenue'!AL$5,Inputs!$P$5:$BB$5,0))</f>
        <v/>
      </c>
      <c r="AM48" s="84">
        <f>INDEX(Inputs!$P$211:$BB$211,MATCH('Costs &amp; Revenue'!AM$5,Inputs!$P$5:$BB$5,0))</f>
        <v/>
      </c>
      <c r="AN48" s="84">
        <f>INDEX(Inputs!$P$211:$BB$211,MATCH('Costs &amp; Revenue'!AN$5,Inputs!$P$5:$BB$5,0))</f>
        <v/>
      </c>
      <c r="AO48" s="84">
        <f>INDEX(Inputs!$P$211:$BB$211,MATCH('Costs &amp; Revenue'!AO$5,Inputs!$P$5:$BB$5,0))</f>
        <v/>
      </c>
      <c r="AP48" s="84">
        <f>INDEX(Inputs!$P$211:$BB$211,MATCH('Costs &amp; Revenue'!AP$5,Inputs!$P$5:$BB$5,0))</f>
        <v/>
      </c>
      <c r="AQ48" s="84">
        <f>INDEX(Inputs!$P$211:$BB$211,MATCH('Costs &amp; Revenue'!AQ$5,Inputs!$P$5:$BB$5,0))</f>
        <v/>
      </c>
      <c r="AR48" s="84">
        <f>INDEX(Inputs!$P$211:$BB$211,MATCH('Costs &amp; Revenue'!AR$5,Inputs!$P$5:$BB$5,0))</f>
        <v/>
      </c>
      <c r="AS48" s="84">
        <f>INDEX(Inputs!$P$211:$BB$211,MATCH('Costs &amp; Revenue'!AS$5,Inputs!$P$5:$BB$5,0))</f>
        <v/>
      </c>
      <c r="AT48" s="84">
        <f>INDEX(Inputs!$P$211:$BB$211,MATCH('Costs &amp; Revenue'!AT$5,Inputs!$P$5:$BB$5,0))</f>
        <v/>
      </c>
      <c r="AU48" s="84">
        <f>INDEX(Inputs!$P$211:$BB$211,MATCH('Costs &amp; Revenue'!AU$5,Inputs!$P$5:$BB$5,0))</f>
        <v/>
      </c>
      <c r="AV48" s="84">
        <f>INDEX(Inputs!$P$211:$BB$211,MATCH('Costs &amp; Revenue'!AV$5,Inputs!$P$5:$BB$5,0))</f>
        <v/>
      </c>
      <c r="AW48" s="84">
        <f>INDEX(Inputs!$P$211:$BB$211,MATCH('Costs &amp; Revenue'!AW$5,Inputs!$P$5:$BB$5,0))</f>
        <v/>
      </c>
      <c r="AX48" s="84">
        <f>INDEX(Inputs!$P$211:$BB$211,MATCH('Costs &amp; Revenue'!AX$5,Inputs!$P$5:$BB$5,0))</f>
        <v/>
      </c>
      <c r="AY48" s="84">
        <f>INDEX(Inputs!$P$211:$BB$211,MATCH('Costs &amp; Revenue'!AY$5,Inputs!$P$5:$BB$5,0))</f>
        <v/>
      </c>
      <c r="AZ48" s="84">
        <f>INDEX(Inputs!$P$211:$BB$211,MATCH('Costs &amp; Revenue'!AZ$5,Inputs!$P$5:$BB$5,0))</f>
        <v/>
      </c>
      <c r="BA48" s="84">
        <f>INDEX(Inputs!$P$211:$BB$211,MATCH('Costs &amp; Revenue'!BA$5,Inputs!$P$5:$BB$5,0))</f>
        <v/>
      </c>
      <c r="BB48" s="84">
        <f>INDEX(Inputs!$P$211:$BB$211,MATCH('Costs &amp; Revenue'!BB$5,Inputs!$P$5:$BB$5,0))</f>
        <v/>
      </c>
    </row>
    <row r="49" ht="15" customHeight="1">
      <c r="A49" s="5" t="n"/>
      <c r="B49" s="5" t="n"/>
      <c r="C49" s="5" t="n"/>
      <c r="D49" s="5" t="n"/>
      <c r="G49" s="5" t="n"/>
      <c r="J49" s="16" t="n"/>
      <c r="K49" s="16" t="n"/>
      <c r="L49" s="16" t="n"/>
      <c r="M49" s="16" t="n"/>
      <c r="N49" s="16" t="n"/>
      <c r="O49" s="67" t="n"/>
      <c r="P49" s="67" t="n"/>
      <c r="Q49" s="67" t="n"/>
      <c r="R49" s="67" t="n"/>
      <c r="S49" s="67" t="n"/>
      <c r="T49" s="67" t="n"/>
      <c r="U49" s="67" t="n"/>
      <c r="V49" s="67" t="n"/>
      <c r="W49" s="67" t="n"/>
      <c r="X49" s="67" t="n"/>
      <c r="Y49" s="67" t="n"/>
      <c r="Z49" s="67" t="n"/>
      <c r="AA49" s="67" t="n"/>
      <c r="AB49" s="67" t="n"/>
      <c r="AC49" s="67" t="n"/>
      <c r="AD49" s="67" t="n"/>
      <c r="AE49" s="67" t="n"/>
      <c r="AF49" s="67" t="n"/>
      <c r="AG49" s="67" t="n"/>
      <c r="AH49" s="67" t="n"/>
      <c r="AI49" s="67" t="n"/>
      <c r="AJ49" s="67" t="n"/>
      <c r="AK49" s="67" t="n"/>
      <c r="AL49" s="67" t="n"/>
      <c r="AM49" s="67" t="n"/>
      <c r="AN49" s="67" t="n"/>
      <c r="AO49" s="67" t="n"/>
      <c r="AP49" s="67" t="n"/>
      <c r="AQ49" s="67" t="n"/>
      <c r="AR49" s="67" t="n"/>
      <c r="AS49" s="67" t="n"/>
      <c r="AT49" s="67" t="n"/>
      <c r="AU49" s="67" t="n"/>
      <c r="AV49" s="67" t="n"/>
      <c r="AW49" s="67" t="n"/>
      <c r="AX49" s="67" t="n"/>
      <c r="AY49" s="67" t="n"/>
      <c r="AZ49" s="67" t="n"/>
      <c r="BA49" s="67" t="n"/>
      <c r="BB49" s="67" t="n"/>
    </row>
    <row r="50" ht="15" customHeight="1">
      <c r="A50" s="5" t="n"/>
      <c r="B50" s="5" t="n"/>
      <c r="C50" s="5" t="n"/>
      <c r="D50" s="5" t="n"/>
      <c r="E50" s="21" t="inlineStr">
        <is>
          <t>Partial year Cap adjustment factor</t>
        </is>
      </c>
      <c r="G50" s="5" t="inlineStr">
        <is>
          <t>flag</t>
        </is>
      </c>
      <c r="H50" s="21" t="inlineStr">
        <is>
          <t>PYCt</t>
        </is>
      </c>
      <c r="J50" s="16" t="n"/>
      <c r="K50" s="16" t="n"/>
      <c r="L50" s="16" t="n"/>
      <c r="M50" s="16" t="n"/>
      <c r="N50" s="16" t="n"/>
      <c r="O50" s="33" t="n"/>
      <c r="P50" s="150">
        <f>INDEX(Inputs!$P$64:$BB$64,MATCH('Costs &amp; Revenue'!P$5,Inputs!$P$5:$BB$5,0))</f>
        <v/>
      </c>
      <c r="Q50" s="150">
        <f>INDEX(Inputs!$P$64:$BB$64,MATCH('Costs &amp; Revenue'!Q$5,Inputs!$P$5:$BB$5,0))</f>
        <v/>
      </c>
      <c r="R50" s="150">
        <f>INDEX(Inputs!$P$64:$BB$64,MATCH('Costs &amp; Revenue'!R$5,Inputs!$P$5:$BB$5,0))</f>
        <v/>
      </c>
      <c r="S50" s="150">
        <f>INDEX(Inputs!$P$64:$BB$64,MATCH('Costs &amp; Revenue'!S$5,Inputs!$P$5:$BB$5,0))</f>
        <v/>
      </c>
      <c r="T50" s="150">
        <f>INDEX(Inputs!$P$64:$BB$64,MATCH('Costs &amp; Revenue'!T$5,Inputs!$P$5:$BB$5,0))</f>
        <v/>
      </c>
      <c r="U50" s="150">
        <f>INDEX(Inputs!$P$64:$BB$64,MATCH('Costs &amp; Revenue'!U$5,Inputs!$P$5:$BB$5,0))</f>
        <v/>
      </c>
      <c r="V50" s="150">
        <f>INDEX(Inputs!$P$64:$BB$64,MATCH('Costs &amp; Revenue'!V$5,Inputs!$P$5:$BB$5,0))</f>
        <v/>
      </c>
      <c r="W50" s="150">
        <f>INDEX(Inputs!$P$64:$BB$64,MATCH('Costs &amp; Revenue'!W$5,Inputs!$P$5:$BB$5,0))</f>
        <v/>
      </c>
      <c r="X50" s="150">
        <f>INDEX(Inputs!$P$64:$BB$64,MATCH('Costs &amp; Revenue'!X$5,Inputs!$P$5:$BB$5,0))</f>
        <v/>
      </c>
      <c r="Y50" s="150">
        <f>INDEX(Inputs!$P$64:$BB$64,MATCH('Costs &amp; Revenue'!Y$5,Inputs!$P$5:$BB$5,0))</f>
        <v/>
      </c>
      <c r="Z50" s="150">
        <f>INDEX(Inputs!$P$64:$BB$64,MATCH('Costs &amp; Revenue'!Z$5,Inputs!$P$5:$BB$5,0))</f>
        <v/>
      </c>
      <c r="AA50" s="150">
        <f>INDEX(Inputs!$P$64:$BB$64,MATCH('Costs &amp; Revenue'!AA$5,Inputs!$P$5:$BB$5,0))</f>
        <v/>
      </c>
      <c r="AB50" s="150">
        <f>INDEX(Inputs!$P$64:$BB$64,MATCH('Costs &amp; Revenue'!AB$5,Inputs!$P$5:$BB$5,0))</f>
        <v/>
      </c>
      <c r="AC50" s="150">
        <f>INDEX(Inputs!$P$64:$BB$64,MATCH('Costs &amp; Revenue'!AC$5,Inputs!$P$5:$BB$5,0))</f>
        <v/>
      </c>
      <c r="AD50" s="150">
        <f>INDEX(Inputs!$P$64:$BB$64,MATCH('Costs &amp; Revenue'!AD$5,Inputs!$P$5:$BB$5,0))</f>
        <v/>
      </c>
      <c r="AE50" s="150">
        <f>INDEX(Inputs!$P$64:$BB$64,MATCH('Costs &amp; Revenue'!AE$5,Inputs!$P$5:$BB$5,0))</f>
        <v/>
      </c>
      <c r="AF50" s="150">
        <f>INDEX(Inputs!$P$64:$BB$64,MATCH('Costs &amp; Revenue'!AF$5,Inputs!$P$5:$BB$5,0))</f>
        <v/>
      </c>
      <c r="AG50" s="150">
        <f>INDEX(Inputs!$P$64:$BB$64,MATCH('Costs &amp; Revenue'!AG$5,Inputs!$P$5:$BB$5,0))</f>
        <v/>
      </c>
      <c r="AH50" s="150">
        <f>INDEX(Inputs!$P$64:$BB$64,MATCH('Costs &amp; Revenue'!AH$5,Inputs!$P$5:$BB$5,0))</f>
        <v/>
      </c>
      <c r="AI50" s="150">
        <f>INDEX(Inputs!$P$64:$BB$64,MATCH('Costs &amp; Revenue'!AI$5,Inputs!$P$5:$BB$5,0))</f>
        <v/>
      </c>
      <c r="AJ50" s="150">
        <f>INDEX(Inputs!$P$64:$BB$64,MATCH('Costs &amp; Revenue'!AJ$5,Inputs!$P$5:$BB$5,0))</f>
        <v/>
      </c>
      <c r="AK50" s="150">
        <f>INDEX(Inputs!$P$64:$BB$64,MATCH('Costs &amp; Revenue'!AK$5,Inputs!$P$5:$BB$5,0))</f>
        <v/>
      </c>
      <c r="AL50" s="150">
        <f>INDEX(Inputs!$P$64:$BB$64,MATCH('Costs &amp; Revenue'!AL$5,Inputs!$P$5:$BB$5,0))</f>
        <v/>
      </c>
      <c r="AM50" s="150">
        <f>INDEX(Inputs!$P$64:$BB$64,MATCH('Costs &amp; Revenue'!AM$5,Inputs!$P$5:$BB$5,0))</f>
        <v/>
      </c>
      <c r="AN50" s="150">
        <f>INDEX(Inputs!$P$64:$BB$64,MATCH('Costs &amp; Revenue'!AN$5,Inputs!$P$5:$BB$5,0))</f>
        <v/>
      </c>
      <c r="AO50" s="150">
        <f>INDEX(Inputs!$P$64:$BB$64,MATCH('Costs &amp; Revenue'!AO$5,Inputs!$P$5:$BB$5,0))</f>
        <v/>
      </c>
      <c r="AP50" s="150">
        <f>INDEX(Inputs!$P$64:$BB$64,MATCH('Costs &amp; Revenue'!AP$5,Inputs!$P$5:$BB$5,0))</f>
        <v/>
      </c>
      <c r="AQ50" s="150">
        <f>INDEX(Inputs!$P$64:$BB$64,MATCH('Costs &amp; Revenue'!AQ$5,Inputs!$P$5:$BB$5,0))</f>
        <v/>
      </c>
      <c r="AR50" s="150">
        <f>INDEX(Inputs!$P$64:$BB$64,MATCH('Costs &amp; Revenue'!AR$5,Inputs!$P$5:$BB$5,0))</f>
        <v/>
      </c>
      <c r="AS50" s="150">
        <f>INDEX(Inputs!$P$64:$BB$64,MATCH('Costs &amp; Revenue'!AS$5,Inputs!$P$5:$BB$5,0))</f>
        <v/>
      </c>
      <c r="AT50" s="150">
        <f>INDEX(Inputs!$P$64:$BB$64,MATCH('Costs &amp; Revenue'!AT$5,Inputs!$P$5:$BB$5,0))</f>
        <v/>
      </c>
      <c r="AU50" s="150">
        <f>INDEX(Inputs!$P$64:$BB$64,MATCH('Costs &amp; Revenue'!AU$5,Inputs!$P$5:$BB$5,0))</f>
        <v/>
      </c>
      <c r="AV50" s="150">
        <f>INDEX(Inputs!$P$64:$BB$64,MATCH('Costs &amp; Revenue'!AV$5,Inputs!$P$5:$BB$5,0))</f>
        <v/>
      </c>
      <c r="AW50" s="150">
        <f>INDEX(Inputs!$P$64:$BB$64,MATCH('Costs &amp; Revenue'!AW$5,Inputs!$P$5:$BB$5,0))</f>
        <v/>
      </c>
      <c r="AX50" s="150">
        <f>INDEX(Inputs!$P$64:$BB$64,MATCH('Costs &amp; Revenue'!AX$5,Inputs!$P$5:$BB$5,0))</f>
        <v/>
      </c>
      <c r="AY50" s="150">
        <f>INDEX(Inputs!$P$64:$BB$64,MATCH('Costs &amp; Revenue'!AY$5,Inputs!$P$5:$BB$5,0))</f>
        <v/>
      </c>
      <c r="AZ50" s="150">
        <f>INDEX(Inputs!$P$64:$BB$64,MATCH('Costs &amp; Revenue'!AZ$5,Inputs!$P$5:$BB$5,0))</f>
        <v/>
      </c>
      <c r="BA50" s="150">
        <f>INDEX(Inputs!$P$64:$BB$64,MATCH('Costs &amp; Revenue'!BA$5,Inputs!$P$5:$BB$5,0))</f>
        <v/>
      </c>
      <c r="BB50" s="150">
        <f>INDEX(Inputs!$P$64:$BB$64,MATCH('Costs &amp; Revenue'!BB$5,Inputs!$P$5:$BB$5,0))</f>
        <v/>
      </c>
    </row>
    <row r="51" ht="15" customHeight="1">
      <c r="A51" s="5" t="n"/>
      <c r="B51" s="5" t="n"/>
      <c r="C51" s="5" t="n"/>
      <c r="D51" s="5" t="n"/>
      <c r="E51" s="21" t="inlineStr">
        <is>
          <t>Partial year Floor adjustment factor</t>
        </is>
      </c>
      <c r="G51" s="5" t="inlineStr">
        <is>
          <t>flag</t>
        </is>
      </c>
      <c r="H51" s="21" t="inlineStr">
        <is>
          <t>PYFt</t>
        </is>
      </c>
      <c r="J51" s="16" t="n"/>
      <c r="K51" s="16" t="n"/>
      <c r="L51" s="16" t="n"/>
      <c r="M51" s="16" t="n"/>
      <c r="N51" s="16" t="n"/>
      <c r="O51" s="33" t="n"/>
      <c r="P51" s="150">
        <f>INDEX(Inputs!$P$72:$BB$72,MATCH('Costs &amp; Revenue'!P$5,Inputs!$P$5:$BB$5,0))</f>
        <v/>
      </c>
      <c r="Q51" s="150">
        <f>INDEX(Inputs!$P$72:$BB$72,MATCH('Costs &amp; Revenue'!Q$5,Inputs!$P$5:$BB$5,0))</f>
        <v/>
      </c>
      <c r="R51" s="150">
        <f>INDEX(Inputs!$P$72:$BB$72,MATCH('Costs &amp; Revenue'!R$5,Inputs!$P$5:$BB$5,0))</f>
        <v/>
      </c>
      <c r="S51" s="150">
        <f>INDEX(Inputs!$P$72:$BB$72,MATCH('Costs &amp; Revenue'!S$5,Inputs!$P$5:$BB$5,0))</f>
        <v/>
      </c>
      <c r="T51" s="150">
        <f>INDEX(Inputs!$P$72:$BB$72,MATCH('Costs &amp; Revenue'!T$5,Inputs!$P$5:$BB$5,0))</f>
        <v/>
      </c>
      <c r="U51" s="150">
        <f>INDEX(Inputs!$P$72:$BB$72,MATCH('Costs &amp; Revenue'!U$5,Inputs!$P$5:$BB$5,0))</f>
        <v/>
      </c>
      <c r="V51" s="150">
        <f>INDEX(Inputs!$P$72:$BB$72,MATCH('Costs &amp; Revenue'!V$5,Inputs!$P$5:$BB$5,0))</f>
        <v/>
      </c>
      <c r="W51" s="150">
        <f>INDEX(Inputs!$P$72:$BB$72,MATCH('Costs &amp; Revenue'!W$5,Inputs!$P$5:$BB$5,0))</f>
        <v/>
      </c>
      <c r="X51" s="150">
        <f>INDEX(Inputs!$P$72:$BB$72,MATCH('Costs &amp; Revenue'!X$5,Inputs!$P$5:$BB$5,0))</f>
        <v/>
      </c>
      <c r="Y51" s="150">
        <f>INDEX(Inputs!$P$72:$BB$72,MATCH('Costs &amp; Revenue'!Y$5,Inputs!$P$5:$BB$5,0))</f>
        <v/>
      </c>
      <c r="Z51" s="150">
        <f>INDEX(Inputs!$P$72:$BB$72,MATCH('Costs &amp; Revenue'!Z$5,Inputs!$P$5:$BB$5,0))</f>
        <v/>
      </c>
      <c r="AA51" s="150">
        <f>INDEX(Inputs!$P$72:$BB$72,MATCH('Costs &amp; Revenue'!AA$5,Inputs!$P$5:$BB$5,0))</f>
        <v/>
      </c>
      <c r="AB51" s="150">
        <f>INDEX(Inputs!$P$72:$BB$72,MATCH('Costs &amp; Revenue'!AB$5,Inputs!$P$5:$BB$5,0))</f>
        <v/>
      </c>
      <c r="AC51" s="150">
        <f>INDEX(Inputs!$P$72:$BB$72,MATCH('Costs &amp; Revenue'!AC$5,Inputs!$P$5:$BB$5,0))</f>
        <v/>
      </c>
      <c r="AD51" s="150">
        <f>INDEX(Inputs!$P$72:$BB$72,MATCH('Costs &amp; Revenue'!AD$5,Inputs!$P$5:$BB$5,0))</f>
        <v/>
      </c>
      <c r="AE51" s="150">
        <f>INDEX(Inputs!$P$72:$BB$72,MATCH('Costs &amp; Revenue'!AE$5,Inputs!$P$5:$BB$5,0))</f>
        <v/>
      </c>
      <c r="AF51" s="150">
        <f>INDEX(Inputs!$P$72:$BB$72,MATCH('Costs &amp; Revenue'!AF$5,Inputs!$P$5:$BB$5,0))</f>
        <v/>
      </c>
      <c r="AG51" s="150">
        <f>INDEX(Inputs!$P$72:$BB$72,MATCH('Costs &amp; Revenue'!AG$5,Inputs!$P$5:$BB$5,0))</f>
        <v/>
      </c>
      <c r="AH51" s="150">
        <f>INDEX(Inputs!$P$72:$BB$72,MATCH('Costs &amp; Revenue'!AH$5,Inputs!$P$5:$BB$5,0))</f>
        <v/>
      </c>
      <c r="AI51" s="150">
        <f>INDEX(Inputs!$P$72:$BB$72,MATCH('Costs &amp; Revenue'!AI$5,Inputs!$P$5:$BB$5,0))</f>
        <v/>
      </c>
      <c r="AJ51" s="150">
        <f>INDEX(Inputs!$P$72:$BB$72,MATCH('Costs &amp; Revenue'!AJ$5,Inputs!$P$5:$BB$5,0))</f>
        <v/>
      </c>
      <c r="AK51" s="150">
        <f>INDEX(Inputs!$P$72:$BB$72,MATCH('Costs &amp; Revenue'!AK$5,Inputs!$P$5:$BB$5,0))</f>
        <v/>
      </c>
      <c r="AL51" s="150">
        <f>INDEX(Inputs!$P$72:$BB$72,MATCH('Costs &amp; Revenue'!AL$5,Inputs!$P$5:$BB$5,0))</f>
        <v/>
      </c>
      <c r="AM51" s="150">
        <f>INDEX(Inputs!$P$72:$BB$72,MATCH('Costs &amp; Revenue'!AM$5,Inputs!$P$5:$BB$5,0))</f>
        <v/>
      </c>
      <c r="AN51" s="150">
        <f>INDEX(Inputs!$P$72:$BB$72,MATCH('Costs &amp; Revenue'!AN$5,Inputs!$P$5:$BB$5,0))</f>
        <v/>
      </c>
      <c r="AO51" s="150">
        <f>INDEX(Inputs!$P$72:$BB$72,MATCH('Costs &amp; Revenue'!AO$5,Inputs!$P$5:$BB$5,0))</f>
        <v/>
      </c>
      <c r="AP51" s="150">
        <f>INDEX(Inputs!$P$72:$BB$72,MATCH('Costs &amp; Revenue'!AP$5,Inputs!$P$5:$BB$5,0))</f>
        <v/>
      </c>
      <c r="AQ51" s="150">
        <f>INDEX(Inputs!$P$72:$BB$72,MATCH('Costs &amp; Revenue'!AQ$5,Inputs!$P$5:$BB$5,0))</f>
        <v/>
      </c>
      <c r="AR51" s="150">
        <f>INDEX(Inputs!$P$72:$BB$72,MATCH('Costs &amp; Revenue'!AR$5,Inputs!$P$5:$BB$5,0))</f>
        <v/>
      </c>
      <c r="AS51" s="150">
        <f>INDEX(Inputs!$P$72:$BB$72,MATCH('Costs &amp; Revenue'!AS$5,Inputs!$P$5:$BB$5,0))</f>
        <v/>
      </c>
      <c r="AT51" s="150">
        <f>INDEX(Inputs!$P$72:$BB$72,MATCH('Costs &amp; Revenue'!AT$5,Inputs!$P$5:$BB$5,0))</f>
        <v/>
      </c>
      <c r="AU51" s="150">
        <f>INDEX(Inputs!$P$72:$BB$72,MATCH('Costs &amp; Revenue'!AU$5,Inputs!$P$5:$BB$5,0))</f>
        <v/>
      </c>
      <c r="AV51" s="150">
        <f>INDEX(Inputs!$P$72:$BB$72,MATCH('Costs &amp; Revenue'!AV$5,Inputs!$P$5:$BB$5,0))</f>
        <v/>
      </c>
      <c r="AW51" s="150">
        <f>INDEX(Inputs!$P$72:$BB$72,MATCH('Costs &amp; Revenue'!AW$5,Inputs!$P$5:$BB$5,0))</f>
        <v/>
      </c>
      <c r="AX51" s="150">
        <f>INDEX(Inputs!$P$72:$BB$72,MATCH('Costs &amp; Revenue'!AX$5,Inputs!$P$5:$BB$5,0))</f>
        <v/>
      </c>
      <c r="AY51" s="150">
        <f>INDEX(Inputs!$P$72:$BB$72,MATCH('Costs &amp; Revenue'!AY$5,Inputs!$P$5:$BB$5,0))</f>
        <v/>
      </c>
      <c r="AZ51" s="150">
        <f>INDEX(Inputs!$P$72:$BB$72,MATCH('Costs &amp; Revenue'!AZ$5,Inputs!$P$5:$BB$5,0))</f>
        <v/>
      </c>
      <c r="BA51" s="150">
        <f>INDEX(Inputs!$P$72:$BB$72,MATCH('Costs &amp; Revenue'!BA$5,Inputs!$P$5:$BB$5,0))</f>
        <v/>
      </c>
      <c r="BB51" s="150">
        <f>INDEX(Inputs!$P$72:$BB$72,MATCH('Costs &amp; Revenue'!BB$5,Inputs!$P$5:$BB$5,0))</f>
        <v/>
      </c>
    </row>
    <row r="52" ht="15" customHeight="1">
      <c r="A52" s="5" t="n"/>
      <c r="B52" s="5" t="n"/>
      <c r="C52" s="5" t="n"/>
      <c r="D52" s="5" t="n"/>
      <c r="G52" s="5" t="n"/>
      <c r="J52" s="16" t="n"/>
      <c r="K52" s="16" t="n"/>
      <c r="L52" s="16" t="n"/>
      <c r="M52" s="16" t="n"/>
      <c r="N52" s="16" t="n"/>
      <c r="O52" s="67" t="n"/>
      <c r="P52" s="67" t="n"/>
      <c r="Q52" s="67" t="n"/>
      <c r="R52" s="67" t="n"/>
      <c r="S52" s="67" t="n"/>
      <c r="T52" s="67" t="n"/>
      <c r="U52" s="67" t="n"/>
      <c r="V52" s="67" t="n"/>
      <c r="W52" s="67" t="n"/>
      <c r="X52" s="67" t="n"/>
      <c r="Y52" s="67" t="n"/>
      <c r="Z52" s="67" t="n"/>
      <c r="AA52" s="67" t="n"/>
      <c r="AB52" s="67" t="n"/>
      <c r="AC52" s="67" t="n"/>
      <c r="AD52" s="67" t="n"/>
      <c r="AE52" s="67" t="n"/>
      <c r="AF52" s="67" t="n"/>
      <c r="AG52" s="67" t="n"/>
      <c r="AH52" s="67" t="n"/>
      <c r="AI52" s="67" t="n"/>
      <c r="AJ52" s="67" t="n"/>
      <c r="AK52" s="67" t="n"/>
      <c r="AL52" s="67" t="n"/>
      <c r="AM52" s="67" t="n"/>
      <c r="AN52" s="67" t="n"/>
      <c r="AO52" s="67" t="n"/>
      <c r="AP52" s="67" t="n"/>
      <c r="AQ52" s="67" t="n"/>
      <c r="AR52" s="67" t="n"/>
      <c r="AS52" s="67" t="n"/>
      <c r="AT52" s="67" t="n"/>
      <c r="AU52" s="67" t="n"/>
      <c r="AV52" s="67" t="n"/>
      <c r="AW52" s="67" t="n"/>
      <c r="AX52" s="67" t="n"/>
      <c r="AY52" s="67" t="n"/>
      <c r="AZ52" s="67" t="n"/>
      <c r="BA52" s="67" t="n"/>
      <c r="BB52" s="67" t="n"/>
    </row>
    <row r="53" ht="15" customHeight="1">
      <c r="A53" s="5" t="n"/>
      <c r="B53" s="5" t="n"/>
      <c r="C53" s="5" t="n"/>
      <c r="D53" s="5" t="n"/>
      <c r="E53" s="21" t="inlineStr">
        <is>
          <t>Cap (pre-availability incentive)</t>
        </is>
      </c>
      <c r="G53" s="5" t="inlineStr">
        <is>
          <t>£m nominal prices</t>
        </is>
      </c>
      <c r="J53" s="16" t="n"/>
      <c r="K53" s="16" t="n"/>
      <c r="L53" s="16" t="n"/>
      <c r="M53" s="16" t="n"/>
      <c r="N53" s="16" t="n"/>
      <c r="O53" s="33" t="n"/>
      <c r="P53" s="151">
        <f>P32*P50+($I17*P36*$I$35+$I19*P40*$I$39+$I21*P$44*$I$43+$I23*P$45*$I$43+$I25*P$46*$I$43+$I27*P$47*$I$43+$I29*P$48*$I$43)*P$11</f>
        <v/>
      </c>
      <c r="Q53" s="151">
        <f>Q32*Q50+($I17*Q36*$I$35+$I19*Q40*$I$39+$I21*Q$44*$I$43+$I23*Q$45*$I$43+$I25*Q$46*$I$43+$I27*Q$47*$I$43+$I29*Q$48*$I$43)*Q$11</f>
        <v/>
      </c>
      <c r="R53" s="151">
        <f>R32*R50+($I17*R36*$I$35+$I19*R40*$I$39+$I21*R$44*$I$43+$I23*R$45*$I$43+$I25*R$46*$I$43+$I27*R$47*$I$43+$I29*R$48*$I$43)*R$11</f>
        <v/>
      </c>
      <c r="S53" s="151">
        <f>S32*S50+($I17*S36*$I$35+$I19*S40*$I$39+$I21*S$44*$I$43+$I23*S$45*$I$43+$I25*S$46*$I$43+$I27*S$47*$I$43+$I29*S$48*$I$43)*S$11</f>
        <v/>
      </c>
      <c r="T53" s="151">
        <f>T32*T50+($I17*T36*$I$35+$I19*T40*$I$39+$I21*T$44*$I$43+$I23*T$45*$I$43+$I25*T$46*$I$43+$I27*T$47*$I$43+$I29*T$48*$I$43)*T$11</f>
        <v/>
      </c>
      <c r="U53" s="151">
        <f>U32*U50+($I17*U36*$I$35+$I19*U40*$I$39+$I21*U$44*$I$43+$I23*U$45*$I$43+$I25*U$46*$I$43+$I27*U$47*$I$43+$I29*U$48*$I$43)*U$11</f>
        <v/>
      </c>
      <c r="V53" s="151">
        <f>V32*V50+($I17*V36*$I$35+$I19*V40*$I$39+$I21*V$44*$I$43+$I23*V$45*$I$43+$I25*V$46*$I$43+$I27*V$47*$I$43+$I29*V$48*$I$43)*V$11</f>
        <v/>
      </c>
      <c r="W53" s="151">
        <f>W32*W50+($I17*W36*$I$35+$I19*W40*$I$39+$I21*W$44*$I$43+$I23*W$45*$I$43+$I25*W$46*$I$43+$I27*W$47*$I$43+$I29*W$48*$I$43)*W$11</f>
        <v/>
      </c>
      <c r="X53" s="151">
        <f>X32*X50+($I17*X36*$I$35+$I19*X40*$I$39+$I21*X$44*$I$43+$I23*X$45*$I$43+$I25*X$46*$I$43+$I27*X$47*$I$43+$I29*X$48*$I$43)*X$11</f>
        <v/>
      </c>
      <c r="Y53" s="151">
        <f>Y32*Y50+($I17*Y36*$I$35+$I19*Y40*$I$39+$I21*Y$44*$I$43+$I23*Y$45*$I$43+$I25*Y$46*$I$43+$I27*Y$47*$I$43+$I29*Y$48*$I$43)*Y$11</f>
        <v/>
      </c>
      <c r="Z53" s="151">
        <f>Z32*Z50+($I17*Z36*$I$35+$I19*Z40*$I$39+$I21*Z$44*$I$43+$I23*Z$45*$I$43+$I25*Z$46*$I$43+$I27*Z$47*$I$43+$I29*Z$48*$I$43)*Z$11</f>
        <v/>
      </c>
      <c r="AA53" s="151">
        <f>AA32*AA50+($I17*AA36*$I$35+$I19*AA40*$I$39+$I21*AA$44*$I$43+$I23*AA$45*$I$43+$I25*AA$46*$I$43+$I27*AA$47*$I$43+$I29*AA$48*$I$43)*AA$11</f>
        <v/>
      </c>
      <c r="AB53" s="151">
        <f>AB32*AB50+($I17*AB36*$I$35+$I19*AB40*$I$39+$I21*AB$44*$I$43+$I23*AB$45*$I$43+$I25*AB$46*$I$43+$I27*AB$47*$I$43+$I29*AB$48*$I$43)*AB$11</f>
        <v/>
      </c>
      <c r="AC53" s="151">
        <f>AC32*AC50+($I17*AC36*$I$35+$I19*AC40*$I$39+$I21*AC$44*$I$43+$I23*AC$45*$I$43+$I25*AC$46*$I$43+$I27*AC$47*$I$43+$I29*AC$48*$I$43)*AC$11</f>
        <v/>
      </c>
      <c r="AD53" s="151">
        <f>AD32*AD50+($I17*AD36*$I$35+$I19*AD40*$I$39+$I21*AD$44*$I$43+$I23*AD$45*$I$43+$I25*AD$46*$I$43+$I27*AD$47*$I$43+$I29*AD$48*$I$43)*AD$11</f>
        <v/>
      </c>
      <c r="AE53" s="151">
        <f>AE32*AE50+($I17*AE36*$I$35+$I19*AE40*$I$39+$I21*AE$44*$I$43+$I23*AE$45*$I$43+$I25*AE$46*$I$43+$I27*AE$47*$I$43+$I29*AE$48*$I$43)*AE$11</f>
        <v/>
      </c>
      <c r="AF53" s="151">
        <f>AF32*AF50+($I17*AF36*$I$35+$I19*AF40*$I$39+$I21*AF$44*$I$43+$I23*AF$45*$I$43+$I25*AF$46*$I$43+$I27*AF$47*$I$43+$I29*AF$48*$I$43)*AF$11</f>
        <v/>
      </c>
      <c r="AG53" s="151">
        <f>AG32*AG50+($I17*AG36*$I$35+$I19*AG40*$I$39+$I21*AG$44*$I$43+$I23*AG$45*$I$43+$I25*AG$46*$I$43+$I27*AG$47*$I$43+$I29*AG$48*$I$43)*AG$11</f>
        <v/>
      </c>
      <c r="AH53" s="151">
        <f>AH32*AH50+($I17*AH36*$I$35+$I19*AH40*$I$39+$I21*AH$44*$I$43+$I23*AH$45*$I$43+$I25*AH$46*$I$43+$I27*AH$47*$I$43+$I29*AH$48*$I$43)*AH$11</f>
        <v/>
      </c>
      <c r="AI53" s="151">
        <f>AI32*AI50+($I17*AI36*$I$35+$I19*AI40*$I$39+$I21*AI$44*$I$43+$I23*AI$45*$I$43+$I25*AI$46*$I$43+$I27*AI$47*$I$43+$I29*AI$48*$I$43)*AI$11</f>
        <v/>
      </c>
      <c r="AJ53" s="151">
        <f>AJ32*AJ50+($I17*AJ36*$I$35+$I19*AJ40*$I$39+$I21*AJ$44*$I$43+$I23*AJ$45*$I$43+$I25*AJ$46*$I$43+$I27*AJ$47*$I$43+$I29*AJ$48*$I$43)*AJ$11</f>
        <v/>
      </c>
      <c r="AK53" s="151">
        <f>AK32*AK50+($I17*AK36*$I$35+$I19*AK40*$I$39+$I21*AK$44*$I$43+$I23*AK$45*$I$43+$I25*AK$46*$I$43+$I27*AK$47*$I$43+$I29*AK$48*$I$43)*AK$11</f>
        <v/>
      </c>
      <c r="AL53" s="151">
        <f>AL32*AL50+($I17*AL36*$I$35+$I19*AL40*$I$39+$I21*AL$44*$I$43+$I23*AL$45*$I$43+$I25*AL$46*$I$43+$I27*AL$47*$I$43+$I29*AL$48*$I$43)*AL$11</f>
        <v/>
      </c>
      <c r="AM53" s="151">
        <f>AM32*AM50+($I17*AM36*$I$35+$I19*AM40*$I$39+$I21*AM$44*$I$43+$I23*AM$45*$I$43+$I25*AM$46*$I$43+$I27*AM$47*$I$43+$I29*AM$48*$I$43)*AM$11</f>
        <v/>
      </c>
      <c r="AN53" s="151">
        <f>AN32*AN50+($I17*AN36*$I$35+$I19*AN40*$I$39+$I21*AN$44*$I$43+$I23*AN$45*$I$43+$I25*AN$46*$I$43+$I27*AN$47*$I$43+$I29*AN$48*$I$43)*AN$11</f>
        <v/>
      </c>
      <c r="AO53" s="151">
        <f>AO32*AO50+($I17*AO36*$I$35+$I19*AO40*$I$39+$I21*AO$44*$I$43+$I23*AO$45*$I$43+$I25*AO$46*$I$43+$I27*AO$47*$I$43+$I29*AO$48*$I$43)*AO$11</f>
        <v/>
      </c>
      <c r="AP53" s="151">
        <f>AP32*AP50+($I17*AP36*$I$35+$I19*AP40*$I$39+$I21*AP$44*$I$43+$I23*AP$45*$I$43+$I25*AP$46*$I$43+$I27*AP$47*$I$43+$I29*AP$48*$I$43)*AP$11</f>
        <v/>
      </c>
      <c r="AQ53" s="151">
        <f>AQ32*AQ50+($I17*AQ36*$I$35+$I19*AQ40*$I$39+$I21*AQ$44*$I$43+$I23*AQ$45*$I$43+$I25*AQ$46*$I$43+$I27*AQ$47*$I$43+$I29*AQ$48*$I$43)*AQ$11</f>
        <v/>
      </c>
      <c r="AR53" s="151">
        <f>AR32*AR50+($I17*AR36*$I$35+$I19*AR40*$I$39+$I21*AR$44*$I$43+$I23*AR$45*$I$43+$I25*AR$46*$I$43+$I27*AR$47*$I$43+$I29*AR$48*$I$43)*AR$11</f>
        <v/>
      </c>
      <c r="AS53" s="151">
        <f>AS32*AS50+($I17*AS36*$I$35+$I19*AS40*$I$39+$I21*AS$44*$I$43+$I23*AS$45*$I$43+$I25*AS$46*$I$43+$I27*AS$47*$I$43+$I29*AS$48*$I$43)*AS$11</f>
        <v/>
      </c>
      <c r="AT53" s="151">
        <f>AT32*AT50+($I17*AT36*$I$35+$I19*AT40*$I$39+$I21*AT$44*$I$43+$I23*AT$45*$I$43+$I25*AT$46*$I$43+$I27*AT$47*$I$43+$I29*AT$48*$I$43)*AT$11</f>
        <v/>
      </c>
      <c r="AU53" s="151">
        <f>AU32*AU50+($I17*AU36*$I$35+$I19*AU40*$I$39+$I21*AU$44*$I$43+$I23*AU$45*$I$43+$I25*AU$46*$I$43+$I27*AU$47*$I$43+$I29*AU$48*$I$43)*AU$11</f>
        <v/>
      </c>
      <c r="AV53" s="151">
        <f>AV32*AV50+($I17*AV36*$I$35+$I19*AV40*$I$39+$I21*AV$44*$I$43+$I23*AV$45*$I$43+$I25*AV$46*$I$43+$I27*AV$47*$I$43+$I29*AV$48*$I$43)*AV$11</f>
        <v/>
      </c>
      <c r="AW53" s="151">
        <f>AW32*AW50+($I17*AW36*$I$35+$I19*AW40*$I$39+$I21*AW$44*$I$43+$I23*AW$45*$I$43+$I25*AW$46*$I$43+$I27*AW$47*$I$43+$I29*AW$48*$I$43)*AW$11</f>
        <v/>
      </c>
      <c r="AX53" s="151">
        <f>AX32*AX50+($I17*AX36*$I$35+$I19*AX40*$I$39+$I21*AX$44*$I$43+$I23*AX$45*$I$43+$I25*AX$46*$I$43+$I27*AX$47*$I$43+$I29*AX$48*$I$43)*AX$11</f>
        <v/>
      </c>
      <c r="AY53" s="151">
        <f>AY32*AY50+($I17*AY36*$I$35+$I19*AY40*$I$39+$I21*AY$44*$I$43+$I23*AY$45*$I$43+$I25*AY$46*$I$43+$I27*AY$47*$I$43+$I29*AY$48*$I$43)*AY$11</f>
        <v/>
      </c>
      <c r="AZ53" s="151">
        <f>AZ32*AZ50+($I17*AZ36*$I$35+$I19*AZ40*$I$39+$I21*AZ$44*$I$43+$I23*AZ$45*$I$43+$I25*AZ$46*$I$43+$I27*AZ$47*$I$43+$I29*AZ$48*$I$43)*AZ$11</f>
        <v/>
      </c>
      <c r="BA53" s="151">
        <f>BA32*BA50+($I17*BA36*$I$35+$I19*BA40*$I$39+$I21*BA$44*$I$43+$I23*BA$45*$I$43+$I25*BA$46*$I$43+$I27*BA$47*$I$43+$I29*BA$48*$I$43)*BA$11</f>
        <v/>
      </c>
      <c r="BB53" s="151">
        <f>BB32*BB50+($I17*BB36*$I$35+$I19*BB40*$I$39+$I21*BB$44*$I$43+$I23*BB$45*$I$43+$I25*BB$46*$I$43+$I27*BB$47*$I$43+$I29*BB$48*$I$43)*BB$11</f>
        <v/>
      </c>
    </row>
    <row r="54" ht="15" customHeight="1">
      <c r="A54" s="5" t="n"/>
      <c r="B54" s="5" t="n"/>
      <c r="C54" s="5" t="n"/>
      <c r="D54" s="5" t="n"/>
      <c r="E54" s="21" t="inlineStr">
        <is>
          <t>Notional Floor (pre-availability incentive)</t>
        </is>
      </c>
      <c r="G54" s="5" t="inlineStr">
        <is>
          <t>£m nominal prices</t>
        </is>
      </c>
      <c r="H54" s="21" t="inlineStr">
        <is>
          <t>NFLt</t>
        </is>
      </c>
      <c r="J54" s="16" t="n"/>
      <c r="K54" s="16" t="n"/>
      <c r="L54" s="16" t="n"/>
      <c r="M54" s="16" t="n"/>
      <c r="N54" s="16" t="n"/>
      <c r="O54" s="33" t="n"/>
      <c r="P54" s="151">
        <f>P33*P51+($I18*P37*$I$35+$I20*P41*$I$39+$I22*P$44*$I$43+$I24*P$45*$I$43+$I26*P$46*$I$43+$I28*P$47*$I$43+$I30*P$48*$I$43)*P$11</f>
        <v/>
      </c>
      <c r="Q54" s="151">
        <f>Q33*Q51+($I18*Q37*$I$35+$I20*Q41*$I$39+$I22*Q$44*$I$43+$I24*Q$45*$I$43+$I26*Q$46*$I$43+$I28*Q$47*$I$43+$I30*Q$48*$I$43)*Q$11</f>
        <v/>
      </c>
      <c r="R54" s="151">
        <f>R33*R51+($I18*R37*$I$35+$I20*R41*$I$39+$I22*R$44*$I$43+$I24*R$45*$I$43+$I26*R$46*$I$43+$I28*R$47*$I$43+$I30*R$48*$I$43)*R$11</f>
        <v/>
      </c>
      <c r="S54" s="151">
        <f>S33*S51+($I18*S37*$I$35+$I20*S41*$I$39+$I22*S$44*$I$43+$I24*S$45*$I$43+$I26*S$46*$I$43+$I28*S$47*$I$43+$I30*S$48*$I$43)*S$11</f>
        <v/>
      </c>
      <c r="T54" s="151">
        <f>T33*T51+($I18*T37*$I$35+$I20*T41*$I$39+$I22*T$44*$I$43+$I24*T$45*$I$43+$I26*T$46*$I$43+$I28*T$47*$I$43+$I30*T$48*$I$43)*T$11</f>
        <v/>
      </c>
      <c r="U54" s="151">
        <f>U33*U51+($I18*U37*$I$35+$I20*U41*$I$39+$I22*U$44*$I$43+$I24*U$45*$I$43+$I26*U$46*$I$43+$I28*U$47*$I$43+$I30*U$48*$I$43)*U$11</f>
        <v/>
      </c>
      <c r="V54" s="151">
        <f>V33*V51+($I18*V37*$I$35+$I20*V41*$I$39+$I22*V$44*$I$43+$I24*V$45*$I$43+$I26*V$46*$I$43+$I28*V$47*$I$43+$I30*V$48*$I$43)*V$11</f>
        <v/>
      </c>
      <c r="W54" s="151">
        <f>W33*W51+($I18*W37*$I$35+$I20*W41*$I$39+$I22*W$44*$I$43+$I24*W$45*$I$43+$I26*W$46*$I$43+$I28*W$47*$I$43+$I30*W$48*$I$43)*W$11</f>
        <v/>
      </c>
      <c r="X54" s="151">
        <f>X33*X51+($I18*X37*$I$35+$I20*X41*$I$39+$I22*X$44*$I$43+$I24*X$45*$I$43+$I26*X$46*$I$43+$I28*X$47*$I$43+$I30*X$48*$I$43)*X$11</f>
        <v/>
      </c>
      <c r="Y54" s="151">
        <f>Y33*Y51+($I18*Y37*$I$35+$I20*Y41*$I$39+$I22*Y$44*$I$43+$I24*Y$45*$I$43+$I26*Y$46*$I$43+$I28*Y$47*$I$43+$I30*Y$48*$I$43)*Y$11</f>
        <v/>
      </c>
      <c r="Z54" s="151">
        <f>Z33*Z51+($I18*Z37*$I$35+$I20*Z41*$I$39+$I22*Z$44*$I$43+$I24*Z$45*$I$43+$I26*Z$46*$I$43+$I28*Z$47*$I$43+$I30*Z$48*$I$43)*Z$11</f>
        <v/>
      </c>
      <c r="AA54" s="151">
        <f>AA33*AA51+($I18*AA37*$I$35+$I20*AA41*$I$39+$I22*AA$44*$I$43+$I24*AA$45*$I$43+$I26*AA$46*$I$43+$I28*AA$47*$I$43+$I30*AA$48*$I$43)*AA$11</f>
        <v/>
      </c>
      <c r="AB54" s="151">
        <f>AB33*AB51+($I18*AB37*$I$35+$I20*AB41*$I$39+$I22*AB$44*$I$43+$I24*AB$45*$I$43+$I26*AB$46*$I$43+$I28*AB$47*$I$43+$I30*AB$48*$I$43)*AB$11</f>
        <v/>
      </c>
      <c r="AC54" s="151">
        <f>AC33*AC51+($I18*AC37*$I$35+$I20*AC41*$I$39+$I22*AC$44*$I$43+$I24*AC$45*$I$43+$I26*AC$46*$I$43+$I28*AC$47*$I$43+$I30*AC$48*$I$43)*AC$11</f>
        <v/>
      </c>
      <c r="AD54" s="151">
        <f>AD33*AD51+($I18*AD37*$I$35+$I20*AD41*$I$39+$I22*AD$44*$I$43+$I24*AD$45*$I$43+$I26*AD$46*$I$43+$I28*AD$47*$I$43+$I30*AD$48*$I$43)*AD$11</f>
        <v/>
      </c>
      <c r="AE54" s="151">
        <f>AE33*AE51+($I18*AE37*$I$35+$I20*AE41*$I$39+$I22*AE$44*$I$43+$I24*AE$45*$I$43+$I26*AE$46*$I$43+$I28*AE$47*$I$43+$I30*AE$48*$I$43)*AE$11</f>
        <v/>
      </c>
      <c r="AF54" s="151">
        <f>AF33*AF51+($I18*AF37*$I$35+$I20*AF41*$I$39+$I22*AF$44*$I$43+$I24*AF$45*$I$43+$I26*AF$46*$I$43+$I28*AF$47*$I$43+$I30*AF$48*$I$43)*AF$11</f>
        <v/>
      </c>
      <c r="AG54" s="151">
        <f>AG33*AG51+($I18*AG37*$I$35+$I20*AG41*$I$39+$I22*AG$44*$I$43+$I24*AG$45*$I$43+$I26*AG$46*$I$43+$I28*AG$47*$I$43+$I30*AG$48*$I$43)*AG$11</f>
        <v/>
      </c>
      <c r="AH54" s="151">
        <f>AH33*AH51+($I18*AH37*$I$35+$I20*AH41*$I$39+$I22*AH$44*$I$43+$I24*AH$45*$I$43+$I26*AH$46*$I$43+$I28*AH$47*$I$43+$I30*AH$48*$I$43)*AH$11</f>
        <v/>
      </c>
      <c r="AI54" s="151">
        <f>AI33*AI51+($I18*AI37*$I$35+$I20*AI41*$I$39+$I22*AI$44*$I$43+$I24*AI$45*$I$43+$I26*AI$46*$I$43+$I28*AI$47*$I$43+$I30*AI$48*$I$43)*AI$11</f>
        <v/>
      </c>
      <c r="AJ54" s="151">
        <f>AJ33*AJ51+($I18*AJ37*$I$35+$I20*AJ41*$I$39+$I22*AJ$44*$I$43+$I24*AJ$45*$I$43+$I26*AJ$46*$I$43+$I28*AJ$47*$I$43+$I30*AJ$48*$I$43)*AJ$11</f>
        <v/>
      </c>
      <c r="AK54" s="151">
        <f>AK33*AK51+($I18*AK37*$I$35+$I20*AK41*$I$39+$I22*AK$44*$I$43+$I24*AK$45*$I$43+$I26*AK$46*$I$43+$I28*AK$47*$I$43+$I30*AK$48*$I$43)*AK$11</f>
        <v/>
      </c>
      <c r="AL54" s="151">
        <f>AL33*AL51+($I18*AL37*$I$35+$I20*AL41*$I$39+$I22*AL$44*$I$43+$I24*AL$45*$I$43+$I26*AL$46*$I$43+$I28*AL$47*$I$43+$I30*AL$48*$I$43)*AL$11</f>
        <v/>
      </c>
      <c r="AM54" s="151">
        <f>AM33*AM51+($I18*AM37*$I$35+$I20*AM41*$I$39+$I22*AM$44*$I$43+$I24*AM$45*$I$43+$I26*AM$46*$I$43+$I28*AM$47*$I$43+$I30*AM$48*$I$43)*AM$11</f>
        <v/>
      </c>
      <c r="AN54" s="151">
        <f>AN33*AN51+($I18*AN37*$I$35+$I20*AN41*$I$39+$I22*AN$44*$I$43+$I24*AN$45*$I$43+$I26*AN$46*$I$43+$I28*AN$47*$I$43+$I30*AN$48*$I$43)*AN$11</f>
        <v/>
      </c>
      <c r="AO54" s="151">
        <f>AO33*AO51+($I18*AO37*$I$35+$I20*AO41*$I$39+$I22*AO$44*$I$43+$I24*AO$45*$I$43+$I26*AO$46*$I$43+$I28*AO$47*$I$43+$I30*AO$48*$I$43)*AO$11</f>
        <v/>
      </c>
      <c r="AP54" s="151">
        <f>AP33*AP51+($I18*AP37*$I$35+$I20*AP41*$I$39+$I22*AP$44*$I$43+$I24*AP$45*$I$43+$I26*AP$46*$I$43+$I28*AP$47*$I$43+$I30*AP$48*$I$43)*AP$11</f>
        <v/>
      </c>
      <c r="AQ54" s="151">
        <f>AQ33*AQ51+($I18*AQ37*$I$35+$I20*AQ41*$I$39+$I22*AQ$44*$I$43+$I24*AQ$45*$I$43+$I26*AQ$46*$I$43+$I28*AQ$47*$I$43+$I30*AQ$48*$I$43)*AQ$11</f>
        <v/>
      </c>
      <c r="AR54" s="151">
        <f>AR33*AR51+($I18*AR37*$I$35+$I20*AR41*$I$39+$I22*AR$44*$I$43+$I24*AR$45*$I$43+$I26*AR$46*$I$43+$I28*AR$47*$I$43+$I30*AR$48*$I$43)*AR$11</f>
        <v/>
      </c>
      <c r="AS54" s="151">
        <f>AS33*AS51+($I18*AS37*$I$35+$I20*AS41*$I$39+$I22*AS$44*$I$43+$I24*AS$45*$I$43+$I26*AS$46*$I$43+$I28*AS$47*$I$43+$I30*AS$48*$I$43)*AS$11</f>
        <v/>
      </c>
      <c r="AT54" s="151">
        <f>AT33*AT51+($I18*AT37*$I$35+$I20*AT41*$I$39+$I22*AT$44*$I$43+$I24*AT$45*$I$43+$I26*AT$46*$I$43+$I28*AT$47*$I$43+$I30*AT$48*$I$43)*AT$11</f>
        <v/>
      </c>
      <c r="AU54" s="151">
        <f>AU33*AU51+($I18*AU37*$I$35+$I20*AU41*$I$39+$I22*AU$44*$I$43+$I24*AU$45*$I$43+$I26*AU$46*$I$43+$I28*AU$47*$I$43+$I30*AU$48*$I$43)*AU$11</f>
        <v/>
      </c>
      <c r="AV54" s="151">
        <f>AV33*AV51+($I18*AV37*$I$35+$I20*AV41*$I$39+$I22*AV$44*$I$43+$I24*AV$45*$I$43+$I26*AV$46*$I$43+$I28*AV$47*$I$43+$I30*AV$48*$I$43)*AV$11</f>
        <v/>
      </c>
      <c r="AW54" s="151">
        <f>AW33*AW51+($I18*AW37*$I$35+$I20*AW41*$I$39+$I22*AW$44*$I$43+$I24*AW$45*$I$43+$I26*AW$46*$I$43+$I28*AW$47*$I$43+$I30*AW$48*$I$43)*AW$11</f>
        <v/>
      </c>
      <c r="AX54" s="151">
        <f>AX33*AX51+($I18*AX37*$I$35+$I20*AX41*$I$39+$I22*AX$44*$I$43+$I24*AX$45*$I$43+$I26*AX$46*$I$43+$I28*AX$47*$I$43+$I30*AX$48*$I$43)*AX$11</f>
        <v/>
      </c>
      <c r="AY54" s="151">
        <f>AY33*AY51+($I18*AY37*$I$35+$I20*AY41*$I$39+$I22*AY$44*$I$43+$I24*AY$45*$I$43+$I26*AY$46*$I$43+$I28*AY$47*$I$43+$I30*AY$48*$I$43)*AY$11</f>
        <v/>
      </c>
      <c r="AZ54" s="151">
        <f>AZ33*AZ51+($I18*AZ37*$I$35+$I20*AZ41*$I$39+$I22*AZ$44*$I$43+$I24*AZ$45*$I$43+$I26*AZ$46*$I$43+$I28*AZ$47*$I$43+$I30*AZ$48*$I$43)*AZ$11</f>
        <v/>
      </c>
      <c r="BA54" s="151">
        <f>BA33*BA51+($I18*BA37*$I$35+$I20*BA41*$I$39+$I22*BA$44*$I$43+$I24*BA$45*$I$43+$I26*BA$46*$I$43+$I28*BA$47*$I$43+$I30*BA$48*$I$43)*BA$11</f>
        <v/>
      </c>
      <c r="BB54" s="151">
        <f>BB33*BB51+($I18*BB37*$I$35+$I20*BB41*$I$39+$I22*BB$44*$I$43+$I24*BB$45*$I$43+$I26*BB$46*$I$43+$I28*BB$47*$I$43+$I30*BB$48*$I$43)*BB$11</f>
        <v/>
      </c>
    </row>
    <row r="55" ht="15" customHeight="1">
      <c r="A55" s="5" t="n"/>
      <c r="B55" s="5" t="n"/>
      <c r="C55" s="5" t="n"/>
      <c r="D55" s="5" t="n"/>
      <c r="J55" s="16" t="n"/>
      <c r="K55" s="16" t="n"/>
      <c r="L55" s="16" t="n"/>
      <c r="M55" s="16" t="n"/>
      <c r="N55" s="16" t="n"/>
      <c r="O55" s="16" t="n"/>
      <c r="P55" s="16" t="n"/>
      <c r="Q55" s="16" t="n"/>
      <c r="R55" s="16" t="n"/>
      <c r="S55" s="16" t="n"/>
      <c r="T55" s="16" t="n"/>
      <c r="U55" s="16" t="n"/>
      <c r="V55" s="16" t="n"/>
      <c r="W55" s="16" t="n"/>
      <c r="X55" s="16" t="n"/>
      <c r="Y55" s="16" t="n"/>
      <c r="Z55" s="16" t="n"/>
      <c r="AA55" s="17" t="n"/>
      <c r="AB55" s="17" t="n"/>
      <c r="AC55" s="17" t="n"/>
      <c r="AD55" s="17" t="n"/>
      <c r="AE55" s="17" t="n"/>
      <c r="AF55" s="17" t="n"/>
      <c r="AG55" s="17" t="n"/>
      <c r="AH55" s="17" t="n"/>
      <c r="AI55" s="17" t="n"/>
      <c r="AJ55" s="17" t="n"/>
      <c r="AK55" s="17" t="n"/>
      <c r="AL55" s="17" t="n"/>
      <c r="AM55" s="17" t="n"/>
      <c r="AN55" s="17" t="n"/>
      <c r="AO55" s="17" t="n"/>
      <c r="AP55" s="17" t="n"/>
      <c r="AQ55" s="17" t="n"/>
      <c r="AR55" s="17" t="n"/>
      <c r="AS55" s="17" t="n"/>
      <c r="AT55" s="17" t="n"/>
      <c r="AU55" s="17" t="n"/>
      <c r="AV55" s="17" t="n"/>
      <c r="AW55" s="17" t="n"/>
      <c r="AX55" s="17" t="n"/>
      <c r="AY55" s="17" t="n"/>
      <c r="AZ55" s="17" t="n"/>
      <c r="BA55" s="17" t="n"/>
      <c r="BB55" s="17" t="n"/>
    </row>
    <row r="56" ht="15" customFormat="1" customHeight="1" s="4">
      <c r="B56" s="8" t="inlineStr">
        <is>
          <t>End of sheet</t>
        </is>
      </c>
      <c r="C56" s="8" t="n"/>
      <c r="D56" s="8" t="n"/>
      <c r="E56" s="8" t="n"/>
      <c r="F56" s="8" t="n"/>
      <c r="G56" s="8" t="n"/>
      <c r="H56" s="8" t="n"/>
      <c r="I56" s="8" t="n"/>
      <c r="J56" s="8" t="n"/>
      <c r="K56" s="8" t="n"/>
      <c r="L56" s="8" t="n"/>
      <c r="M56" s="8" t="n"/>
      <c r="N56" s="8" t="n"/>
      <c r="O56" s="8" t="n"/>
      <c r="P56" s="8" t="n"/>
      <c r="Q56" s="8" t="n"/>
      <c r="R56" s="8" t="n"/>
      <c r="S56" s="8" t="n"/>
      <c r="T56" s="8" t="n"/>
      <c r="U56" s="8" t="n"/>
      <c r="V56" s="8" t="n"/>
      <c r="W56" s="8" t="n"/>
      <c r="X56" s="8" t="n"/>
      <c r="Y56" s="8" t="n"/>
      <c r="Z56" s="8" t="n"/>
      <c r="AA56" s="8" t="n"/>
      <c r="AB56" s="8" t="n"/>
      <c r="AC56" s="8" t="n"/>
      <c r="AD56" s="8" t="n"/>
      <c r="AE56" s="8" t="n"/>
      <c r="AF56" s="8" t="n"/>
      <c r="AG56" s="8" t="n"/>
      <c r="AH56" s="8" t="n"/>
      <c r="AI56" s="8" t="n"/>
      <c r="AJ56" s="8" t="n"/>
      <c r="AK56" s="8" t="n"/>
      <c r="AL56" s="8" t="n"/>
      <c r="AM56" s="8" t="n"/>
      <c r="AN56" s="8" t="n"/>
      <c r="AO56" s="8" t="n"/>
      <c r="AP56" s="8" t="n"/>
      <c r="AQ56" s="8" t="n"/>
      <c r="AR56" s="8" t="n"/>
      <c r="AS56" s="8" t="n"/>
      <c r="AT56" s="8" t="n"/>
      <c r="AU56" s="8" t="n"/>
      <c r="AV56" s="8" t="n"/>
      <c r="AW56" s="8" t="n"/>
      <c r="AX56" s="8" t="n"/>
      <c r="AY56" s="8" t="n"/>
      <c r="AZ56" s="8" t="n"/>
      <c r="BA56" s="8" t="n"/>
      <c r="BB56" s="8" t="n"/>
    </row>
    <row r="57" ht="15" customHeight="1"/>
  </sheetData>
  <pageMargins left="0.2362204724409449" right="0.2362204724409449" top="0.7480314960629921" bottom="0.7480314960629921" header="0.3149606299212598" footer="0.3149606299212598"/>
  <pageSetup orientation="landscape" paperSize="8" scale="42"/>
</worksheet>
</file>

<file path=xl/worksheets/sheet8.xml><?xml version="1.0" encoding="utf-8"?>
<worksheet xmlns="http://schemas.openxmlformats.org/spreadsheetml/2006/main">
  <sheetPr codeName="Sheet15">
    <tabColor theme="7" tint="0.5999938962981048"/>
    <outlinePr summaryBelow="1" summaryRight="1"/>
    <pageSetUpPr fitToPage="1"/>
  </sheetPr>
  <dimension ref="A1:BC82"/>
  <sheetViews>
    <sheetView zoomScaleNormal="100" workbookViewId="0">
      <pane xSplit="10" ySplit="5" topLeftCell="K57" activePane="bottomRight" state="frozen"/>
      <selection pane="topRight" activeCell="A1" sqref="A1"/>
      <selection pane="bottomLeft" activeCell="A1" sqref="A1"/>
      <selection pane="bottomRight" activeCell="A80" sqref="A80:XFD80"/>
    </sheetView>
  </sheetViews>
  <sheetFormatPr baseColWidth="10" defaultColWidth="0" defaultRowHeight="15" customHeight="1" zeroHeight="1"/>
  <cols>
    <col width="2.59765625" customWidth="1" style="21" min="1" max="4"/>
    <col width="50.59765625" customWidth="1" style="21" min="5" max="5"/>
    <col width="1.59765625" customWidth="1" style="21" min="6" max="6"/>
    <col width="15.59765625" customWidth="1" style="21" min="7" max="7"/>
    <col width="11.59765625" customWidth="1" style="21" min="8" max="8"/>
    <col width="13.59765625" customWidth="1" style="21" min="9" max="9"/>
    <col width="1.59765625" customWidth="1" style="21" min="10" max="14"/>
    <col width="10.59765625" customWidth="1" style="21" min="15" max="54"/>
    <col width="2.59765625" customWidth="1" style="21" min="55" max="55"/>
    <col hidden="1" width="9" customWidth="1" style="21" min="56" max="56"/>
    <col hidden="1" width="9" customWidth="1" style="21" min="57" max="16384"/>
  </cols>
  <sheetData>
    <row r="1" ht="14.5" customFormat="1" customHeight="1" s="10">
      <c r="A1" s="126" t="inlineStr">
        <is>
          <t>DC Adjustment</t>
        </is>
      </c>
      <c r="H1" s="9" t="inlineStr">
        <is>
          <t>Licence</t>
        </is>
      </c>
      <c r="J1" s="61" t="n"/>
      <c r="K1" s="61" t="n"/>
      <c r="L1" s="61" t="n"/>
      <c r="M1" s="61" t="n"/>
      <c r="N1" s="61" t="n"/>
      <c r="O1" s="61" t="n"/>
      <c r="P1" s="61" t="n"/>
      <c r="Q1" s="61" t="n"/>
      <c r="R1" s="61" t="n"/>
      <c r="S1" s="61" t="n"/>
      <c r="T1" s="61" t="n"/>
      <c r="U1" s="61" t="n"/>
      <c r="V1" s="61" t="n"/>
      <c r="W1" s="61" t="n"/>
      <c r="X1" s="61" t="n"/>
      <c r="Y1" s="61" t="n"/>
      <c r="Z1" s="61" t="n"/>
      <c r="AA1" s="61" t="n"/>
      <c r="AB1" s="61" t="n"/>
      <c r="AC1" s="61" t="n"/>
      <c r="AD1" s="61" t="n"/>
      <c r="AE1" s="61" t="n"/>
      <c r="AF1" s="61" t="n"/>
      <c r="AG1" s="61" t="n"/>
      <c r="AH1" s="61" t="n"/>
      <c r="AI1" s="61" t="n"/>
      <c r="AJ1" s="61" t="n"/>
    </row>
    <row r="2" ht="15" customFormat="1" customHeight="1" s="10">
      <c r="E2" s="9" t="inlineStr">
        <is>
          <t>Parameter</t>
        </is>
      </c>
      <c r="F2" s="9" t="n"/>
      <c r="G2" s="9" t="inlineStr">
        <is>
          <t>Units</t>
        </is>
      </c>
      <c r="H2" s="9" t="inlineStr">
        <is>
          <t>Terminology</t>
        </is>
      </c>
      <c r="I2" s="13" t="inlineStr">
        <is>
          <t>Constant</t>
        </is>
      </c>
      <c r="O2" s="9" t="inlineStr">
        <is>
          <t>Annual values</t>
        </is>
      </c>
    </row>
    <row r="3" ht="15" customFormat="1" customHeight="1" s="10">
      <c r="E3" s="52" t="inlineStr">
        <is>
          <t>Year commencing</t>
        </is>
      </c>
      <c r="F3" s="9" t="n"/>
      <c r="G3" s="9" t="n"/>
      <c r="H3" s="9" t="n"/>
      <c r="I3" s="9" t="n"/>
      <c r="O3" s="62">
        <f>INDEX(Inputs!$O3:$BB3,MATCH('Costs &amp; Revenue'!O$5,Inputs!$O$5:$BB$5,0))</f>
        <v/>
      </c>
      <c r="P3" s="62">
        <f>INDEX(Inputs!$O3:$BB3,MATCH('Costs &amp; Revenue'!P$5,Inputs!$O$5:$BB$5,0))</f>
        <v/>
      </c>
      <c r="Q3" s="62">
        <f>INDEX(Inputs!$O3:$BB3,MATCH('Costs &amp; Revenue'!Q$5,Inputs!$O$5:$BB$5,0))</f>
        <v/>
      </c>
      <c r="R3" s="62">
        <f>INDEX(Inputs!$O3:$BB3,MATCH('Costs &amp; Revenue'!R$5,Inputs!$O$5:$BB$5,0))</f>
        <v/>
      </c>
      <c r="S3" s="62">
        <f>INDEX(Inputs!$O3:$BB3,MATCH('Costs &amp; Revenue'!S$5,Inputs!$O$5:$BB$5,0))</f>
        <v/>
      </c>
      <c r="T3" s="62">
        <f>INDEX(Inputs!$O3:$BB3,MATCH('Costs &amp; Revenue'!T$5,Inputs!$O$5:$BB$5,0))</f>
        <v/>
      </c>
      <c r="U3" s="62">
        <f>INDEX(Inputs!$O3:$BB3,MATCH('Costs &amp; Revenue'!U$5,Inputs!$O$5:$BB$5,0))</f>
        <v/>
      </c>
      <c r="V3" s="62">
        <f>INDEX(Inputs!$O3:$BB3,MATCH('Costs &amp; Revenue'!V$5,Inputs!$O$5:$BB$5,0))</f>
        <v/>
      </c>
      <c r="W3" s="62">
        <f>INDEX(Inputs!$O3:$BB3,MATCH('Costs &amp; Revenue'!W$5,Inputs!$O$5:$BB$5,0))</f>
        <v/>
      </c>
      <c r="X3" s="62">
        <f>INDEX(Inputs!$O3:$BB3,MATCH('Costs &amp; Revenue'!X$5,Inputs!$O$5:$BB$5,0))</f>
        <v/>
      </c>
      <c r="Y3" s="62">
        <f>INDEX(Inputs!$O3:$BB3,MATCH('Costs &amp; Revenue'!Y$5,Inputs!$O$5:$BB$5,0))</f>
        <v/>
      </c>
      <c r="Z3" s="62">
        <f>INDEX(Inputs!$O3:$BB3,MATCH('Costs &amp; Revenue'!Z$5,Inputs!$O$5:$BB$5,0))</f>
        <v/>
      </c>
      <c r="AA3" s="62">
        <f>INDEX(Inputs!$O3:$BB3,MATCH('Costs &amp; Revenue'!AA$5,Inputs!$O$5:$BB$5,0))</f>
        <v/>
      </c>
      <c r="AB3" s="62">
        <f>INDEX(Inputs!$O3:$BB3,MATCH('Costs &amp; Revenue'!AB$5,Inputs!$O$5:$BB$5,0))</f>
        <v/>
      </c>
      <c r="AC3" s="62">
        <f>INDEX(Inputs!$O3:$BB3,MATCH('Costs &amp; Revenue'!AC$5,Inputs!$O$5:$BB$5,0))</f>
        <v/>
      </c>
      <c r="AD3" s="62">
        <f>INDEX(Inputs!$O3:$BB3,MATCH('Costs &amp; Revenue'!AD$5,Inputs!$O$5:$BB$5,0))</f>
        <v/>
      </c>
      <c r="AE3" s="62">
        <f>INDEX(Inputs!$O3:$BB3,MATCH('Costs &amp; Revenue'!AE$5,Inputs!$O$5:$BB$5,0))</f>
        <v/>
      </c>
      <c r="AF3" s="62">
        <f>INDEX(Inputs!$O3:$BB3,MATCH('Costs &amp; Revenue'!AF$5,Inputs!$O$5:$BB$5,0))</f>
        <v/>
      </c>
      <c r="AG3" s="62">
        <f>INDEX(Inputs!$O3:$BB3,MATCH('Costs &amp; Revenue'!AG$5,Inputs!$O$5:$BB$5,0))</f>
        <v/>
      </c>
      <c r="AH3" s="62">
        <f>INDEX(Inputs!$O3:$BB3,MATCH('Costs &amp; Revenue'!AH$5,Inputs!$O$5:$BB$5,0))</f>
        <v/>
      </c>
      <c r="AI3" s="62">
        <f>INDEX(Inputs!$O3:$BB3,MATCH('Costs &amp; Revenue'!AI$5,Inputs!$O$5:$BB$5,0))</f>
        <v/>
      </c>
      <c r="AJ3" s="62">
        <f>INDEX(Inputs!$O3:$BB3,MATCH('Costs &amp; Revenue'!AJ$5,Inputs!$O$5:$BB$5,0))</f>
        <v/>
      </c>
      <c r="AK3" s="62">
        <f>INDEX(Inputs!$O3:$BB3,MATCH('Costs &amp; Revenue'!AK$5,Inputs!$O$5:$BB$5,0))</f>
        <v/>
      </c>
      <c r="AL3" s="62">
        <f>INDEX(Inputs!$O3:$BB3,MATCH('Costs &amp; Revenue'!AL$5,Inputs!$O$5:$BB$5,0))</f>
        <v/>
      </c>
      <c r="AM3" s="62">
        <f>INDEX(Inputs!$O3:$BB3,MATCH('Costs &amp; Revenue'!AM$5,Inputs!$O$5:$BB$5,0))</f>
        <v/>
      </c>
      <c r="AN3" s="62">
        <f>INDEX(Inputs!$O3:$BB3,MATCH('Costs &amp; Revenue'!AN$5,Inputs!$O$5:$BB$5,0))</f>
        <v/>
      </c>
      <c r="AO3" s="62">
        <f>INDEX(Inputs!$O3:$BB3,MATCH('Costs &amp; Revenue'!AO$5,Inputs!$O$5:$BB$5,0))</f>
        <v/>
      </c>
      <c r="AP3" s="62">
        <f>INDEX(Inputs!$O3:$BB3,MATCH('Costs &amp; Revenue'!AP$5,Inputs!$O$5:$BB$5,0))</f>
        <v/>
      </c>
      <c r="AQ3" s="62">
        <f>INDEX(Inputs!$O3:$BB3,MATCH('Costs &amp; Revenue'!AQ$5,Inputs!$O$5:$BB$5,0))</f>
        <v/>
      </c>
      <c r="AR3" s="62">
        <f>INDEX(Inputs!$O3:$BB3,MATCH('Costs &amp; Revenue'!AR$5,Inputs!$O$5:$BB$5,0))</f>
        <v/>
      </c>
      <c r="AS3" s="62">
        <f>INDEX(Inputs!$O3:$BB3,MATCH('Costs &amp; Revenue'!AS$5,Inputs!$O$5:$BB$5,0))</f>
        <v/>
      </c>
      <c r="AT3" s="62">
        <f>INDEX(Inputs!$O3:$BB3,MATCH('Costs &amp; Revenue'!AT$5,Inputs!$O$5:$BB$5,0))</f>
        <v/>
      </c>
      <c r="AU3" s="62">
        <f>INDEX(Inputs!$O3:$BB3,MATCH('Costs &amp; Revenue'!AU$5,Inputs!$O$5:$BB$5,0))</f>
        <v/>
      </c>
      <c r="AV3" s="62">
        <f>INDEX(Inputs!$O3:$BB3,MATCH('Costs &amp; Revenue'!AV$5,Inputs!$O$5:$BB$5,0))</f>
        <v/>
      </c>
      <c r="AW3" s="62">
        <f>INDEX(Inputs!$O3:$BB3,MATCH('Costs &amp; Revenue'!AW$5,Inputs!$O$5:$BB$5,0))</f>
        <v/>
      </c>
      <c r="AX3" s="62">
        <f>INDEX(Inputs!$O3:$BB3,MATCH('Costs &amp; Revenue'!AX$5,Inputs!$O$5:$BB$5,0))</f>
        <v/>
      </c>
      <c r="AY3" s="62">
        <f>INDEX(Inputs!$O3:$BB3,MATCH('Costs &amp; Revenue'!AY$5,Inputs!$O$5:$BB$5,0))</f>
        <v/>
      </c>
      <c r="AZ3" s="62">
        <f>INDEX(Inputs!$O3:$BB3,MATCH('Costs &amp; Revenue'!AZ$5,Inputs!$O$5:$BB$5,0))</f>
        <v/>
      </c>
      <c r="BA3" s="62">
        <f>INDEX(Inputs!$O3:$BB3,MATCH('Costs &amp; Revenue'!BA$5,Inputs!$O$5:$BB$5,0))</f>
        <v/>
      </c>
      <c r="BB3" s="62">
        <f>INDEX(Inputs!$O3:$BB3,MATCH('Costs &amp; Revenue'!BB$5,Inputs!$O$5:$BB$5,0))</f>
        <v/>
      </c>
    </row>
    <row r="4" ht="15" customFormat="1" customHeight="1" s="52">
      <c r="E4" s="52" t="inlineStr">
        <is>
          <t>Year ending</t>
        </is>
      </c>
      <c r="O4" s="62">
        <f>INDEX(Inputs!$O4:$BB4,MATCH('Costs &amp; Revenue'!O$5,Inputs!$O$5:$BB$5,0))</f>
        <v/>
      </c>
      <c r="P4" s="62">
        <f>INDEX(Inputs!$O4:$BB4,MATCH('Costs &amp; Revenue'!P$5,Inputs!$O$5:$BB$5,0))</f>
        <v/>
      </c>
      <c r="Q4" s="62">
        <f>INDEX(Inputs!$O4:$BB4,MATCH('Costs &amp; Revenue'!Q$5,Inputs!$O$5:$BB$5,0))</f>
        <v/>
      </c>
      <c r="R4" s="62">
        <f>INDEX(Inputs!$O4:$BB4,MATCH('Costs &amp; Revenue'!R$5,Inputs!$O$5:$BB$5,0))</f>
        <v/>
      </c>
      <c r="S4" s="62">
        <f>INDEX(Inputs!$O4:$BB4,MATCH('Costs &amp; Revenue'!S$5,Inputs!$O$5:$BB$5,0))</f>
        <v/>
      </c>
      <c r="T4" s="62">
        <f>INDEX(Inputs!$O4:$BB4,MATCH('Costs &amp; Revenue'!T$5,Inputs!$O$5:$BB$5,0))</f>
        <v/>
      </c>
      <c r="U4" s="62">
        <f>INDEX(Inputs!$O4:$BB4,MATCH('Costs &amp; Revenue'!U$5,Inputs!$O$5:$BB$5,0))</f>
        <v/>
      </c>
      <c r="V4" s="62">
        <f>INDEX(Inputs!$O4:$BB4,MATCH('Costs &amp; Revenue'!V$5,Inputs!$O$5:$BB$5,0))</f>
        <v/>
      </c>
      <c r="W4" s="62">
        <f>INDEX(Inputs!$O4:$BB4,MATCH('Costs &amp; Revenue'!W$5,Inputs!$O$5:$BB$5,0))</f>
        <v/>
      </c>
      <c r="X4" s="62">
        <f>INDEX(Inputs!$O4:$BB4,MATCH('Costs &amp; Revenue'!X$5,Inputs!$O$5:$BB$5,0))</f>
        <v/>
      </c>
      <c r="Y4" s="62">
        <f>INDEX(Inputs!$O4:$BB4,MATCH('Costs &amp; Revenue'!Y$5,Inputs!$O$5:$BB$5,0))</f>
        <v/>
      </c>
      <c r="Z4" s="62">
        <f>INDEX(Inputs!$O4:$BB4,MATCH('Costs &amp; Revenue'!Z$5,Inputs!$O$5:$BB$5,0))</f>
        <v/>
      </c>
      <c r="AA4" s="62">
        <f>INDEX(Inputs!$O4:$BB4,MATCH('Costs &amp; Revenue'!AA$5,Inputs!$O$5:$BB$5,0))</f>
        <v/>
      </c>
      <c r="AB4" s="62">
        <f>INDEX(Inputs!$O4:$BB4,MATCH('Costs &amp; Revenue'!AB$5,Inputs!$O$5:$BB$5,0))</f>
        <v/>
      </c>
      <c r="AC4" s="62">
        <f>INDEX(Inputs!$O4:$BB4,MATCH('Costs &amp; Revenue'!AC$5,Inputs!$O$5:$BB$5,0))</f>
        <v/>
      </c>
      <c r="AD4" s="62">
        <f>INDEX(Inputs!$O4:$BB4,MATCH('Costs &amp; Revenue'!AD$5,Inputs!$O$5:$BB$5,0))</f>
        <v/>
      </c>
      <c r="AE4" s="62">
        <f>INDEX(Inputs!$O4:$BB4,MATCH('Costs &amp; Revenue'!AE$5,Inputs!$O$5:$BB$5,0))</f>
        <v/>
      </c>
      <c r="AF4" s="62">
        <f>INDEX(Inputs!$O4:$BB4,MATCH('Costs &amp; Revenue'!AF$5,Inputs!$O$5:$BB$5,0))</f>
        <v/>
      </c>
      <c r="AG4" s="62">
        <f>INDEX(Inputs!$O4:$BB4,MATCH('Costs &amp; Revenue'!AG$5,Inputs!$O$5:$BB$5,0))</f>
        <v/>
      </c>
      <c r="AH4" s="62">
        <f>INDEX(Inputs!$O4:$BB4,MATCH('Costs &amp; Revenue'!AH$5,Inputs!$O$5:$BB$5,0))</f>
        <v/>
      </c>
      <c r="AI4" s="62">
        <f>INDEX(Inputs!$O4:$BB4,MATCH('Costs &amp; Revenue'!AI$5,Inputs!$O$5:$BB$5,0))</f>
        <v/>
      </c>
      <c r="AJ4" s="62">
        <f>INDEX(Inputs!$O4:$BB4,MATCH('Costs &amp; Revenue'!AJ$5,Inputs!$O$5:$BB$5,0))</f>
        <v/>
      </c>
      <c r="AK4" s="62">
        <f>INDEX(Inputs!$O4:$BB4,MATCH('Costs &amp; Revenue'!AK$5,Inputs!$O$5:$BB$5,0))</f>
        <v/>
      </c>
      <c r="AL4" s="62">
        <f>INDEX(Inputs!$O4:$BB4,MATCH('Costs &amp; Revenue'!AL$5,Inputs!$O$5:$BB$5,0))</f>
        <v/>
      </c>
      <c r="AM4" s="62">
        <f>INDEX(Inputs!$O4:$BB4,MATCH('Costs &amp; Revenue'!AM$5,Inputs!$O$5:$BB$5,0))</f>
        <v/>
      </c>
      <c r="AN4" s="62">
        <f>INDEX(Inputs!$O4:$BB4,MATCH('Costs &amp; Revenue'!AN$5,Inputs!$O$5:$BB$5,0))</f>
        <v/>
      </c>
      <c r="AO4" s="62">
        <f>INDEX(Inputs!$O4:$BB4,MATCH('Costs &amp; Revenue'!AO$5,Inputs!$O$5:$BB$5,0))</f>
        <v/>
      </c>
      <c r="AP4" s="62">
        <f>INDEX(Inputs!$O4:$BB4,MATCH('Costs &amp; Revenue'!AP$5,Inputs!$O$5:$BB$5,0))</f>
        <v/>
      </c>
      <c r="AQ4" s="62">
        <f>INDEX(Inputs!$O4:$BB4,MATCH('Costs &amp; Revenue'!AQ$5,Inputs!$O$5:$BB$5,0))</f>
        <v/>
      </c>
      <c r="AR4" s="62">
        <f>INDEX(Inputs!$O4:$BB4,MATCH('Costs &amp; Revenue'!AR$5,Inputs!$O$5:$BB$5,0))</f>
        <v/>
      </c>
      <c r="AS4" s="62">
        <f>INDEX(Inputs!$O4:$BB4,MATCH('Costs &amp; Revenue'!AS$5,Inputs!$O$5:$BB$5,0))</f>
        <v/>
      </c>
      <c r="AT4" s="62">
        <f>INDEX(Inputs!$O4:$BB4,MATCH('Costs &amp; Revenue'!AT$5,Inputs!$O$5:$BB$5,0))</f>
        <v/>
      </c>
      <c r="AU4" s="62">
        <f>INDEX(Inputs!$O4:$BB4,MATCH('Costs &amp; Revenue'!AU$5,Inputs!$O$5:$BB$5,0))</f>
        <v/>
      </c>
      <c r="AV4" s="62">
        <f>INDEX(Inputs!$O4:$BB4,MATCH('Costs &amp; Revenue'!AV$5,Inputs!$O$5:$BB$5,0))</f>
        <v/>
      </c>
      <c r="AW4" s="62">
        <f>INDEX(Inputs!$O4:$BB4,MATCH('Costs &amp; Revenue'!AW$5,Inputs!$O$5:$BB$5,0))</f>
        <v/>
      </c>
      <c r="AX4" s="62">
        <f>INDEX(Inputs!$O4:$BB4,MATCH('Costs &amp; Revenue'!AX$5,Inputs!$O$5:$BB$5,0))</f>
        <v/>
      </c>
      <c r="AY4" s="62">
        <f>INDEX(Inputs!$O4:$BB4,MATCH('Costs &amp; Revenue'!AY$5,Inputs!$O$5:$BB$5,0))</f>
        <v/>
      </c>
      <c r="AZ4" s="62">
        <f>INDEX(Inputs!$O4:$BB4,MATCH('Costs &amp; Revenue'!AZ$5,Inputs!$O$5:$BB$5,0))</f>
        <v/>
      </c>
      <c r="BA4" s="62">
        <f>INDEX(Inputs!$O4:$BB4,MATCH('Costs &amp; Revenue'!BA$5,Inputs!$O$5:$BB$5,0))</f>
        <v/>
      </c>
      <c r="BB4" s="62">
        <f>INDEX(Inputs!$O4:$BB4,MATCH('Costs &amp; Revenue'!BB$5,Inputs!$O$5:$BB$5,0))</f>
        <v/>
      </c>
      <c r="BC4" s="62" t="n"/>
    </row>
    <row r="5" ht="15" customFormat="1" customHeight="1" s="52">
      <c r="E5" s="52" t="inlineStr">
        <is>
          <t>Operational year</t>
        </is>
      </c>
      <c r="O5" s="11">
        <f>Inputs!O5</f>
        <v/>
      </c>
      <c r="P5" s="11">
        <f>Inputs!P5</f>
        <v/>
      </c>
      <c r="Q5" s="11">
        <f>Inputs!Q5</f>
        <v/>
      </c>
      <c r="R5" s="11">
        <f>Inputs!R5</f>
        <v/>
      </c>
      <c r="S5" s="11">
        <f>Inputs!S5</f>
        <v/>
      </c>
      <c r="T5" s="11">
        <f>Inputs!T5</f>
        <v/>
      </c>
      <c r="U5" s="11">
        <f>Inputs!U5</f>
        <v/>
      </c>
      <c r="V5" s="11">
        <f>Inputs!V5</f>
        <v/>
      </c>
      <c r="W5" s="11">
        <f>Inputs!W5</f>
        <v/>
      </c>
      <c r="X5" s="11">
        <f>Inputs!X5</f>
        <v/>
      </c>
      <c r="Y5" s="11">
        <f>Inputs!Y5</f>
        <v/>
      </c>
      <c r="Z5" s="11">
        <f>Inputs!Z5</f>
        <v/>
      </c>
      <c r="AA5" s="11">
        <f>Inputs!AA5</f>
        <v/>
      </c>
      <c r="AB5" s="11">
        <f>Inputs!AB5</f>
        <v/>
      </c>
      <c r="AC5" s="11">
        <f>Inputs!AC5</f>
        <v/>
      </c>
      <c r="AD5" s="11">
        <f>Inputs!AD5</f>
        <v/>
      </c>
      <c r="AE5" s="11">
        <f>Inputs!AE5</f>
        <v/>
      </c>
      <c r="AF5" s="11">
        <f>Inputs!AF5</f>
        <v/>
      </c>
      <c r="AG5" s="11">
        <f>Inputs!AG5</f>
        <v/>
      </c>
      <c r="AH5" s="11">
        <f>Inputs!AH5</f>
        <v/>
      </c>
      <c r="AI5" s="11">
        <f>Inputs!AI5</f>
        <v/>
      </c>
      <c r="AJ5" s="11">
        <f>Inputs!AJ5</f>
        <v/>
      </c>
      <c r="AK5" s="11">
        <f>Inputs!AK5</f>
        <v/>
      </c>
      <c r="AL5" s="11">
        <f>Inputs!AL5</f>
        <v/>
      </c>
      <c r="AM5" s="11">
        <f>Inputs!AM5</f>
        <v/>
      </c>
      <c r="AN5" s="11">
        <f>Inputs!AN5</f>
        <v/>
      </c>
      <c r="AO5" s="11">
        <f>Inputs!AO5</f>
        <v/>
      </c>
      <c r="AP5" s="11">
        <f>Inputs!AP5</f>
        <v/>
      </c>
      <c r="AQ5" s="11">
        <f>Inputs!AQ5</f>
        <v/>
      </c>
      <c r="AR5" s="11">
        <f>Inputs!AR5</f>
        <v/>
      </c>
      <c r="AS5" s="11">
        <f>Inputs!AS5</f>
        <v/>
      </c>
      <c r="AT5" s="11">
        <f>Inputs!AT5</f>
        <v/>
      </c>
      <c r="AU5" s="11">
        <f>Inputs!AU5</f>
        <v/>
      </c>
      <c r="AV5" s="11">
        <f>Inputs!AV5</f>
        <v/>
      </c>
      <c r="AW5" s="11">
        <f>Inputs!AW5</f>
        <v/>
      </c>
      <c r="AX5" s="11">
        <f>Inputs!AX5</f>
        <v/>
      </c>
      <c r="AY5" s="11">
        <f>Inputs!AY5</f>
        <v/>
      </c>
      <c r="AZ5" s="11">
        <f>Inputs!AZ5</f>
        <v/>
      </c>
      <c r="BA5" s="11">
        <f>Inputs!BA5</f>
        <v/>
      </c>
      <c r="BB5" s="11">
        <f>Inputs!BB5</f>
        <v/>
      </c>
      <c r="BC5" s="62" t="n"/>
    </row>
    <row r="6" ht="15" customHeight="1"/>
    <row r="7" ht="15" customFormat="1" customHeight="1" s="4">
      <c r="B7" s="8" t="inlineStr">
        <is>
          <t>Decommissioning costs</t>
        </is>
      </c>
      <c r="C7" s="8" t="n"/>
      <c r="D7" s="8" t="n"/>
      <c r="E7" s="8" t="n"/>
      <c r="F7" s="8" t="n"/>
      <c r="G7" s="8" t="n"/>
      <c r="H7" s="8" t="n"/>
      <c r="I7" s="8" t="n"/>
      <c r="J7" s="8" t="n"/>
      <c r="K7" s="8" t="n"/>
      <c r="L7" s="8" t="n"/>
      <c r="M7" s="8" t="n"/>
      <c r="N7" s="8" t="n"/>
      <c r="O7" s="8" t="n"/>
      <c r="P7" s="8" t="n"/>
      <c r="Q7" s="8" t="n"/>
      <c r="R7" s="8" t="n"/>
      <c r="S7" s="8" t="n"/>
      <c r="T7" s="8" t="n"/>
      <c r="U7" s="8" t="n"/>
      <c r="V7" s="8" t="n"/>
      <c r="W7" s="8" t="n"/>
      <c r="X7" s="8" t="n"/>
      <c r="Y7" s="8" t="n"/>
      <c r="Z7" s="8" t="n"/>
      <c r="AA7" s="8" t="n"/>
      <c r="AB7" s="8" t="n"/>
      <c r="AC7" s="8" t="n"/>
      <c r="AD7" s="8" t="n"/>
      <c r="AE7" s="8" t="n"/>
      <c r="AF7" s="8" t="n"/>
      <c r="AG7" s="8" t="n"/>
      <c r="AH7" s="8" t="n"/>
      <c r="AI7" s="8" t="n"/>
      <c r="AJ7" s="8" t="n"/>
      <c r="AK7" s="8" t="n"/>
      <c r="AL7" s="8" t="n"/>
      <c r="AM7" s="8" t="n"/>
      <c r="AN7" s="8" t="n"/>
      <c r="AO7" s="8" t="n"/>
      <c r="AP7" s="8" t="n"/>
      <c r="AQ7" s="8" t="n"/>
      <c r="AR7" s="8" t="n"/>
      <c r="AS7" s="8" t="n"/>
      <c r="AT7" s="8" t="n"/>
      <c r="AU7" s="8" t="n"/>
      <c r="AV7" s="8" t="n"/>
      <c r="AW7" s="8" t="n"/>
      <c r="AX7" s="8" t="n"/>
      <c r="AY7" s="8" t="n"/>
      <c r="AZ7" s="8" t="n"/>
      <c r="BA7" s="8" t="n"/>
      <c r="BB7" s="8" t="n"/>
    </row>
    <row r="8" ht="15" customHeight="1"/>
    <row r="9" ht="15" customFormat="1" customHeight="1" s="63">
      <c r="C9" s="40" t="inlineStr">
        <is>
          <t>Original decommissioning costs allowance from PCR stage</t>
        </is>
      </c>
      <c r="D9" s="40" t="n"/>
      <c r="E9" s="40" t="n"/>
      <c r="F9" s="40" t="n"/>
      <c r="G9" s="40" t="n"/>
      <c r="H9" s="40" t="n"/>
      <c r="I9" s="40" t="n"/>
      <c r="J9" s="40" t="n"/>
      <c r="K9" s="40" t="n"/>
      <c r="L9" s="40" t="n"/>
      <c r="M9" s="40" t="n"/>
      <c r="N9" s="40" t="n"/>
      <c r="O9" s="40" t="n"/>
      <c r="P9" s="40" t="n"/>
      <c r="Q9" s="40" t="n"/>
      <c r="R9" s="40" t="n"/>
      <c r="S9" s="40" t="n"/>
      <c r="T9" s="40" t="n"/>
      <c r="U9" s="40" t="n"/>
      <c r="V9" s="40" t="n"/>
      <c r="W9" s="40" t="n"/>
      <c r="X9" s="40" t="n"/>
      <c r="Y9" s="40" t="n"/>
      <c r="Z9" s="40" t="n"/>
      <c r="AA9" s="40" t="n"/>
      <c r="AB9" s="40" t="n"/>
      <c r="AC9" s="40" t="n"/>
      <c r="AD9" s="40" t="n"/>
      <c r="AE9" s="40" t="n"/>
      <c r="AF9" s="40" t="n"/>
      <c r="AG9" s="40" t="n"/>
      <c r="AH9" s="40" t="n"/>
      <c r="AI9" s="40" t="n"/>
      <c r="AJ9" s="40" t="n"/>
      <c r="AK9" s="40" t="n"/>
      <c r="AL9" s="40" t="n"/>
      <c r="AM9" s="40" t="n"/>
      <c r="AN9" s="40" t="n"/>
      <c r="AO9" s="40" t="n"/>
      <c r="AP9" s="40" t="n"/>
      <c r="AQ9" s="40" t="n"/>
      <c r="AR9" s="40" t="n"/>
      <c r="AS9" s="40" t="n"/>
      <c r="AT9" s="40" t="n"/>
      <c r="AU9" s="40" t="n"/>
      <c r="AV9" s="40" t="n"/>
      <c r="AW9" s="40" t="n"/>
      <c r="AX9" s="40" t="n"/>
      <c r="AY9" s="40" t="n"/>
      <c r="AZ9" s="40" t="n"/>
      <c r="BA9" s="40" t="n"/>
      <c r="BB9" s="40" t="n"/>
    </row>
    <row r="10" ht="15" customHeight="1">
      <c r="O10" s="16" t="n"/>
      <c r="P10" s="16" t="n"/>
      <c r="Q10" s="16" t="n"/>
      <c r="R10" s="16" t="n"/>
      <c r="S10" s="16" t="n"/>
      <c r="T10" s="16" t="n"/>
      <c r="U10" s="16" t="n"/>
      <c r="V10" s="16" t="n"/>
      <c r="W10" s="16" t="n"/>
      <c r="X10" s="16" t="n"/>
      <c r="Y10" s="16" t="n"/>
      <c r="Z10" s="16" t="n"/>
      <c r="AA10" s="16" t="n"/>
      <c r="AB10" s="16" t="n"/>
      <c r="AC10" s="16" t="n"/>
      <c r="AD10" s="16" t="n"/>
      <c r="AE10" s="16" t="n"/>
      <c r="AF10" s="16" t="n"/>
      <c r="AG10" s="16" t="n"/>
      <c r="AH10" s="16" t="n"/>
      <c r="AI10" s="16" t="n"/>
      <c r="AJ10" s="16" t="n"/>
      <c r="AK10" s="16" t="n"/>
      <c r="AL10" s="16" t="n"/>
      <c r="AM10" s="16" t="n"/>
      <c r="AN10" s="16" t="n"/>
      <c r="AO10" s="16" t="n"/>
      <c r="AP10" s="16" t="n"/>
      <c r="AQ10" s="16" t="n"/>
      <c r="AR10" s="16" t="n"/>
      <c r="AS10" s="16" t="n"/>
      <c r="AT10" s="16" t="n"/>
      <c r="AU10" s="16" t="n"/>
      <c r="AV10" s="16" t="n"/>
      <c r="AW10" s="16" t="n"/>
      <c r="AX10" s="16" t="n"/>
      <c r="AY10" s="16" t="n"/>
      <c r="AZ10" s="16" t="n"/>
      <c r="BA10" s="16" t="n"/>
      <c r="BB10" s="16" t="n"/>
    </row>
    <row r="11" ht="15" customHeight="1">
      <c r="E11" s="21" t="inlineStr">
        <is>
          <t>Decommissioning costs (baseline)</t>
        </is>
      </c>
      <c r="G11" s="5">
        <f>base_year</f>
        <v/>
      </c>
      <c r="O11" s="33" t="n"/>
      <c r="P11" s="84">
        <f>INDEX(Inputs!$P$34:$BB$34,MATCH('Costs &amp; Revenue'!P$5,Inputs!$P$5:$BB$5,0))</f>
        <v/>
      </c>
      <c r="Q11" s="84">
        <f>INDEX(Inputs!$P$34:$BB$34,MATCH('Costs &amp; Revenue'!Q$5,Inputs!$P$5:$BB$5,0))</f>
        <v/>
      </c>
      <c r="R11" s="84">
        <f>INDEX(Inputs!$P$34:$BB$34,MATCH('Costs &amp; Revenue'!R$5,Inputs!$P$5:$BB$5,0))</f>
        <v/>
      </c>
      <c r="S11" s="84">
        <f>INDEX(Inputs!$P$34:$BB$34,MATCH('Costs &amp; Revenue'!S$5,Inputs!$P$5:$BB$5,0))</f>
        <v/>
      </c>
      <c r="T11" s="84">
        <f>INDEX(Inputs!$P$34:$BB$34,MATCH('Costs &amp; Revenue'!T$5,Inputs!$P$5:$BB$5,0))</f>
        <v/>
      </c>
      <c r="U11" s="84">
        <f>INDEX(Inputs!$P$34:$BB$34,MATCH('Costs &amp; Revenue'!U$5,Inputs!$P$5:$BB$5,0))</f>
        <v/>
      </c>
      <c r="V11" s="84">
        <f>INDEX(Inputs!$P$34:$BB$34,MATCH('Costs &amp; Revenue'!V$5,Inputs!$P$5:$BB$5,0))</f>
        <v/>
      </c>
      <c r="W11" s="84">
        <f>INDEX(Inputs!$P$34:$BB$34,MATCH('Costs &amp; Revenue'!W$5,Inputs!$P$5:$BB$5,0))</f>
        <v/>
      </c>
      <c r="X11" s="84">
        <f>INDEX(Inputs!$P$34:$BB$34,MATCH('Costs &amp; Revenue'!X$5,Inputs!$P$5:$BB$5,0))</f>
        <v/>
      </c>
      <c r="Y11" s="84">
        <f>INDEX(Inputs!$P$34:$BB$34,MATCH('Costs &amp; Revenue'!Y$5,Inputs!$P$5:$BB$5,0))</f>
        <v/>
      </c>
      <c r="Z11" s="84">
        <f>INDEX(Inputs!$P$34:$BB$34,MATCH('Costs &amp; Revenue'!Z$5,Inputs!$P$5:$BB$5,0))</f>
        <v/>
      </c>
      <c r="AA11" s="84">
        <f>INDEX(Inputs!$P$34:$BB$34,MATCH('Costs &amp; Revenue'!AA$5,Inputs!$P$5:$BB$5,0))</f>
        <v/>
      </c>
      <c r="AB11" s="84">
        <f>INDEX(Inputs!$P$34:$BB$34,MATCH('Costs &amp; Revenue'!AB$5,Inputs!$P$5:$BB$5,0))</f>
        <v/>
      </c>
      <c r="AC11" s="84">
        <f>INDEX(Inputs!$P$34:$BB$34,MATCH('Costs &amp; Revenue'!AC$5,Inputs!$P$5:$BB$5,0))</f>
        <v/>
      </c>
      <c r="AD11" s="84">
        <f>INDEX(Inputs!$P$34:$BB$34,MATCH('Costs &amp; Revenue'!AD$5,Inputs!$P$5:$BB$5,0))</f>
        <v/>
      </c>
      <c r="AE11" s="84">
        <f>INDEX(Inputs!$P$34:$BB$34,MATCH('Costs &amp; Revenue'!AE$5,Inputs!$P$5:$BB$5,0))</f>
        <v/>
      </c>
      <c r="AF11" s="84">
        <f>INDEX(Inputs!$P$34:$BB$34,MATCH('Costs &amp; Revenue'!AF$5,Inputs!$P$5:$BB$5,0))</f>
        <v/>
      </c>
      <c r="AG11" s="84">
        <f>INDEX(Inputs!$P$34:$BB$34,MATCH('Costs &amp; Revenue'!AG$5,Inputs!$P$5:$BB$5,0))</f>
        <v/>
      </c>
      <c r="AH11" s="84">
        <f>INDEX(Inputs!$P$34:$BB$34,MATCH('Costs &amp; Revenue'!AH$5,Inputs!$P$5:$BB$5,0))</f>
        <v/>
      </c>
      <c r="AI11" s="84">
        <f>INDEX(Inputs!$P$34:$BB$34,MATCH('Costs &amp; Revenue'!AI$5,Inputs!$P$5:$BB$5,0))</f>
        <v/>
      </c>
      <c r="AJ11" s="84">
        <f>INDEX(Inputs!$P$34:$BB$34,MATCH('Costs &amp; Revenue'!AJ$5,Inputs!$P$5:$BB$5,0))</f>
        <v/>
      </c>
      <c r="AK11" s="84">
        <f>INDEX(Inputs!$P$34:$BB$34,MATCH('Costs &amp; Revenue'!AK$5,Inputs!$P$5:$BB$5,0))</f>
        <v/>
      </c>
      <c r="AL11" s="84">
        <f>INDEX(Inputs!$P$34:$BB$34,MATCH('Costs &amp; Revenue'!AL$5,Inputs!$P$5:$BB$5,0))</f>
        <v/>
      </c>
      <c r="AM11" s="84">
        <f>INDEX(Inputs!$P$34:$BB$34,MATCH('Costs &amp; Revenue'!AM$5,Inputs!$P$5:$BB$5,0))</f>
        <v/>
      </c>
      <c r="AN11" s="84">
        <f>INDEX(Inputs!$P$34:$BB$34,MATCH('Costs &amp; Revenue'!AN$5,Inputs!$P$5:$BB$5,0))</f>
        <v/>
      </c>
      <c r="AO11" s="84">
        <f>INDEX(Inputs!$P$34:$BB$34,MATCH('Costs &amp; Revenue'!AO$5,Inputs!$P$5:$BB$5,0))</f>
        <v/>
      </c>
      <c r="AP11" s="84">
        <f>INDEX(Inputs!$P$34:$BB$34,MATCH('Costs &amp; Revenue'!AP$5,Inputs!$P$5:$BB$5,0))</f>
        <v/>
      </c>
      <c r="AQ11" s="84">
        <f>INDEX(Inputs!$P$34:$BB$34,MATCH('Costs &amp; Revenue'!AQ$5,Inputs!$P$5:$BB$5,0))</f>
        <v/>
      </c>
      <c r="AR11" s="84">
        <f>INDEX(Inputs!$P$34:$BB$34,MATCH('Costs &amp; Revenue'!AR$5,Inputs!$P$5:$BB$5,0))</f>
        <v/>
      </c>
      <c r="AS11" s="84">
        <f>INDEX(Inputs!$P$34:$BB$34,MATCH('Costs &amp; Revenue'!AS$5,Inputs!$P$5:$BB$5,0))</f>
        <v/>
      </c>
      <c r="AT11" s="84">
        <f>INDEX(Inputs!$P$34:$BB$34,MATCH('Costs &amp; Revenue'!AT$5,Inputs!$P$5:$BB$5,0))</f>
        <v/>
      </c>
      <c r="AU11" s="84">
        <f>INDEX(Inputs!$P$34:$BB$34,MATCH('Costs &amp; Revenue'!AU$5,Inputs!$P$5:$BB$5,0))</f>
        <v/>
      </c>
      <c r="AV11" s="84">
        <f>INDEX(Inputs!$P$34:$BB$34,MATCH('Costs &amp; Revenue'!AV$5,Inputs!$P$5:$BB$5,0))</f>
        <v/>
      </c>
      <c r="AW11" s="84">
        <f>INDEX(Inputs!$P$34:$BB$34,MATCH('Costs &amp; Revenue'!AW$5,Inputs!$P$5:$BB$5,0))</f>
        <v/>
      </c>
      <c r="AX11" s="84">
        <f>INDEX(Inputs!$P$34:$BB$34,MATCH('Costs &amp; Revenue'!AX$5,Inputs!$P$5:$BB$5,0))</f>
        <v/>
      </c>
      <c r="AY11" s="84">
        <f>INDEX(Inputs!$P$34:$BB$34,MATCH('Costs &amp; Revenue'!AY$5,Inputs!$P$5:$BB$5,0))</f>
        <v/>
      </c>
      <c r="AZ11" s="84">
        <f>INDEX(Inputs!$P$34:$BB$34,MATCH('Costs &amp; Revenue'!AZ$5,Inputs!$P$5:$BB$5,0))</f>
        <v/>
      </c>
      <c r="BA11" s="84">
        <f>INDEX(Inputs!$P$34:$BB$34,MATCH('Costs &amp; Revenue'!BA$5,Inputs!$P$5:$BB$5,0))</f>
        <v/>
      </c>
      <c r="BB11" s="84">
        <f>INDEX(Inputs!$P$34:$BB$34,MATCH('Costs &amp; Revenue'!BB$5,Inputs!$P$5:$BB$5,0))</f>
        <v/>
      </c>
    </row>
    <row r="12" ht="15" customHeight="1"/>
    <row r="13" ht="15" customFormat="1" customHeight="1" s="63">
      <c r="C13" s="40" t="inlineStr">
        <is>
          <t>Revised decommissioning costs allowance from latest DC submission</t>
        </is>
      </c>
      <c r="D13" s="40" t="n"/>
      <c r="E13" s="40" t="n"/>
      <c r="F13" s="40" t="n"/>
      <c r="G13" s="40" t="n"/>
      <c r="H13" s="40" t="n"/>
      <c r="I13" s="40" t="n"/>
      <c r="J13" s="40" t="n"/>
      <c r="K13" s="40" t="n"/>
      <c r="L13" s="40" t="n"/>
      <c r="M13" s="40" t="n"/>
      <c r="N13" s="40" t="n"/>
      <c r="O13" s="40" t="n"/>
      <c r="P13" s="40" t="n"/>
      <c r="Q13" s="40" t="n"/>
      <c r="R13" s="40" t="n"/>
      <c r="S13" s="40" t="n"/>
      <c r="T13" s="40" t="n"/>
      <c r="U13" s="40" t="n"/>
      <c r="V13" s="40" t="n"/>
      <c r="W13" s="40" t="n"/>
      <c r="X13" s="40" t="n"/>
      <c r="Y13" s="40" t="n"/>
      <c r="Z13" s="40" t="n"/>
      <c r="AA13" s="40" t="n"/>
      <c r="AB13" s="40" t="n"/>
      <c r="AC13" s="40" t="n"/>
      <c r="AD13" s="40" t="n"/>
      <c r="AE13" s="40" t="n"/>
      <c r="AF13" s="40" t="n"/>
      <c r="AG13" s="40" t="n"/>
      <c r="AH13" s="40" t="n"/>
      <c r="AI13" s="40" t="n"/>
      <c r="AJ13" s="40" t="n"/>
      <c r="AK13" s="40" t="n"/>
      <c r="AL13" s="40" t="n"/>
      <c r="AM13" s="40" t="n"/>
      <c r="AN13" s="40" t="n"/>
      <c r="AO13" s="40" t="n"/>
      <c r="AP13" s="40" t="n"/>
      <c r="AQ13" s="40" t="n"/>
      <c r="AR13" s="40" t="n"/>
      <c r="AS13" s="40" t="n"/>
      <c r="AT13" s="40" t="n"/>
      <c r="AU13" s="40" t="n"/>
      <c r="AV13" s="40" t="n"/>
      <c r="AW13" s="40" t="n"/>
      <c r="AX13" s="40" t="n"/>
      <c r="AY13" s="40" t="n"/>
      <c r="AZ13" s="40" t="n"/>
      <c r="BA13" s="40" t="n"/>
      <c r="BB13" s="40" t="n"/>
    </row>
    <row r="14" ht="15" customHeight="1"/>
    <row r="15" ht="15" customHeight="1">
      <c r="E15" s="21" t="inlineStr">
        <is>
          <t>Decommissioning costs (latest DC submission)</t>
        </is>
      </c>
      <c r="G15" s="5">
        <f>base_year</f>
        <v/>
      </c>
      <c r="O15" s="33" t="n"/>
      <c r="P15" s="84">
        <f>INDEX(Inputs!$P$178:$BB$178,MATCH('Costs &amp; Revenue'!P$5,Inputs!$P$5:$BB$5,0))</f>
        <v/>
      </c>
      <c r="Q15" s="84">
        <f>INDEX(Inputs!$P$178:$BB$178,MATCH('Costs &amp; Revenue'!Q$5,Inputs!$P$5:$BB$5,0))</f>
        <v/>
      </c>
      <c r="R15" s="84">
        <f>INDEX(Inputs!$P$178:$BB$178,MATCH('Costs &amp; Revenue'!R$5,Inputs!$P$5:$BB$5,0))</f>
        <v/>
      </c>
      <c r="S15" s="84">
        <f>INDEX(Inputs!$P$178:$BB$178,MATCH('Costs &amp; Revenue'!S$5,Inputs!$P$5:$BB$5,0))</f>
        <v/>
      </c>
      <c r="T15" s="84">
        <f>INDEX(Inputs!$P$178:$BB$178,MATCH('Costs &amp; Revenue'!T$5,Inputs!$P$5:$BB$5,0))</f>
        <v/>
      </c>
      <c r="U15" s="84">
        <f>INDEX(Inputs!$P$178:$BB$178,MATCH('Costs &amp; Revenue'!U$5,Inputs!$P$5:$BB$5,0))</f>
        <v/>
      </c>
      <c r="V15" s="84">
        <f>INDEX(Inputs!$P$178:$BB$178,MATCH('Costs &amp; Revenue'!V$5,Inputs!$P$5:$BB$5,0))</f>
        <v/>
      </c>
      <c r="W15" s="84">
        <f>INDEX(Inputs!$P$178:$BB$178,MATCH('Costs &amp; Revenue'!W$5,Inputs!$P$5:$BB$5,0))</f>
        <v/>
      </c>
      <c r="X15" s="84">
        <f>INDEX(Inputs!$P$178:$BB$178,MATCH('Costs &amp; Revenue'!X$5,Inputs!$P$5:$BB$5,0))</f>
        <v/>
      </c>
      <c r="Y15" s="84">
        <f>INDEX(Inputs!$P$178:$BB$178,MATCH('Costs &amp; Revenue'!Y$5,Inputs!$P$5:$BB$5,0))</f>
        <v/>
      </c>
      <c r="Z15" s="84">
        <f>INDEX(Inputs!$P$178:$BB$178,MATCH('Costs &amp; Revenue'!Z$5,Inputs!$P$5:$BB$5,0))</f>
        <v/>
      </c>
      <c r="AA15" s="84">
        <f>INDEX(Inputs!$P$178:$BB$178,MATCH('Costs &amp; Revenue'!AA$5,Inputs!$P$5:$BB$5,0))</f>
        <v/>
      </c>
      <c r="AB15" s="84">
        <f>INDEX(Inputs!$P$178:$BB$178,MATCH('Costs &amp; Revenue'!AB$5,Inputs!$P$5:$BB$5,0))</f>
        <v/>
      </c>
      <c r="AC15" s="84">
        <f>INDEX(Inputs!$P$178:$BB$178,MATCH('Costs &amp; Revenue'!AC$5,Inputs!$P$5:$BB$5,0))</f>
        <v/>
      </c>
      <c r="AD15" s="84">
        <f>INDEX(Inputs!$P$178:$BB$178,MATCH('Costs &amp; Revenue'!AD$5,Inputs!$P$5:$BB$5,0))</f>
        <v/>
      </c>
      <c r="AE15" s="84">
        <f>INDEX(Inputs!$P$178:$BB$178,MATCH('Costs &amp; Revenue'!AE$5,Inputs!$P$5:$BB$5,0))</f>
        <v/>
      </c>
      <c r="AF15" s="84">
        <f>INDEX(Inputs!$P$178:$BB$178,MATCH('Costs &amp; Revenue'!AF$5,Inputs!$P$5:$BB$5,0))</f>
        <v/>
      </c>
      <c r="AG15" s="84">
        <f>INDEX(Inputs!$P$178:$BB$178,MATCH('Costs &amp; Revenue'!AG$5,Inputs!$P$5:$BB$5,0))</f>
        <v/>
      </c>
      <c r="AH15" s="84">
        <f>INDEX(Inputs!$P$178:$BB$178,MATCH('Costs &amp; Revenue'!AH$5,Inputs!$P$5:$BB$5,0))</f>
        <v/>
      </c>
      <c r="AI15" s="84">
        <f>INDEX(Inputs!$P$178:$BB$178,MATCH('Costs &amp; Revenue'!AI$5,Inputs!$P$5:$BB$5,0))</f>
        <v/>
      </c>
      <c r="AJ15" s="84">
        <f>INDEX(Inputs!$P$178:$BB$178,MATCH('Costs &amp; Revenue'!AJ$5,Inputs!$P$5:$BB$5,0))</f>
        <v/>
      </c>
      <c r="AK15" s="84">
        <f>INDEX(Inputs!$P$178:$BB$178,MATCH('Costs &amp; Revenue'!AK$5,Inputs!$P$5:$BB$5,0))</f>
        <v/>
      </c>
      <c r="AL15" s="84">
        <f>INDEX(Inputs!$P$178:$BB$178,MATCH('Costs &amp; Revenue'!AL$5,Inputs!$P$5:$BB$5,0))</f>
        <v/>
      </c>
      <c r="AM15" s="84">
        <f>INDEX(Inputs!$P$178:$BB$178,MATCH('Costs &amp; Revenue'!AM$5,Inputs!$P$5:$BB$5,0))</f>
        <v/>
      </c>
      <c r="AN15" s="84">
        <f>INDEX(Inputs!$P$178:$BB$178,MATCH('Costs &amp; Revenue'!AN$5,Inputs!$P$5:$BB$5,0))</f>
        <v/>
      </c>
      <c r="AO15" s="84">
        <f>INDEX(Inputs!$P$178:$BB$178,MATCH('Costs &amp; Revenue'!AO$5,Inputs!$P$5:$BB$5,0))</f>
        <v/>
      </c>
      <c r="AP15" s="84">
        <f>INDEX(Inputs!$P$178:$BB$178,MATCH('Costs &amp; Revenue'!AP$5,Inputs!$P$5:$BB$5,0))</f>
        <v/>
      </c>
      <c r="AQ15" s="84">
        <f>INDEX(Inputs!$P$178:$BB$178,MATCH('Costs &amp; Revenue'!AQ$5,Inputs!$P$5:$BB$5,0))</f>
        <v/>
      </c>
      <c r="AR15" s="84">
        <f>INDEX(Inputs!$P$178:$BB$178,MATCH('Costs &amp; Revenue'!AR$5,Inputs!$P$5:$BB$5,0))</f>
        <v/>
      </c>
      <c r="AS15" s="84">
        <f>INDEX(Inputs!$P$178:$BB$178,MATCH('Costs &amp; Revenue'!AS$5,Inputs!$P$5:$BB$5,0))</f>
        <v/>
      </c>
      <c r="AT15" s="84">
        <f>INDEX(Inputs!$P$178:$BB$178,MATCH('Costs &amp; Revenue'!AT$5,Inputs!$P$5:$BB$5,0))</f>
        <v/>
      </c>
      <c r="AU15" s="84">
        <f>INDEX(Inputs!$P$178:$BB$178,MATCH('Costs &amp; Revenue'!AU$5,Inputs!$P$5:$BB$5,0))</f>
        <v/>
      </c>
      <c r="AV15" s="84">
        <f>INDEX(Inputs!$P$178:$BB$178,MATCH('Costs &amp; Revenue'!AV$5,Inputs!$P$5:$BB$5,0))</f>
        <v/>
      </c>
      <c r="AW15" s="84">
        <f>INDEX(Inputs!$P$178:$BB$178,MATCH('Costs &amp; Revenue'!AW$5,Inputs!$P$5:$BB$5,0))</f>
        <v/>
      </c>
      <c r="AX15" s="84">
        <f>INDEX(Inputs!$P$178:$BB$178,MATCH('Costs &amp; Revenue'!AX$5,Inputs!$P$5:$BB$5,0))</f>
        <v/>
      </c>
      <c r="AY15" s="84">
        <f>INDEX(Inputs!$P$178:$BB$178,MATCH('Costs &amp; Revenue'!AY$5,Inputs!$P$5:$BB$5,0))</f>
        <v/>
      </c>
      <c r="AZ15" s="84">
        <f>INDEX(Inputs!$P$178:$BB$178,MATCH('Costs &amp; Revenue'!AZ$5,Inputs!$P$5:$BB$5,0))</f>
        <v/>
      </c>
      <c r="BA15" s="84">
        <f>INDEX(Inputs!$P$178:$BB$178,MATCH('Costs &amp; Revenue'!BA$5,Inputs!$P$5:$BB$5,0))</f>
        <v/>
      </c>
      <c r="BB15" s="84">
        <f>INDEX(Inputs!$P$178:$BB$178,MATCH('Costs &amp; Revenue'!BB$5,Inputs!$P$5:$BB$5,0))</f>
        <v/>
      </c>
    </row>
    <row r="16" ht="15" customHeight="1"/>
    <row r="17" ht="15" customFormat="1" customHeight="1" s="63">
      <c r="C17" s="40" t="inlineStr">
        <is>
          <t>All DCC adjustments (Cap)</t>
        </is>
      </c>
      <c r="D17" s="40" t="n"/>
      <c r="E17" s="40" t="n"/>
      <c r="F17" s="40" t="n"/>
      <c r="G17" s="40" t="n"/>
      <c r="H17" s="40" t="n"/>
      <c r="I17" s="40" t="n"/>
      <c r="J17" s="40" t="n"/>
      <c r="K17" s="40" t="n"/>
      <c r="L17" s="40" t="n"/>
      <c r="M17" s="40" t="n"/>
      <c r="N17" s="40" t="n"/>
      <c r="O17" s="40" t="n"/>
      <c r="P17" s="40" t="n"/>
      <c r="Q17" s="40" t="n"/>
      <c r="R17" s="40" t="n"/>
      <c r="S17" s="40" t="n"/>
      <c r="T17" s="40" t="n"/>
      <c r="U17" s="40" t="n"/>
      <c r="V17" s="40" t="n"/>
      <c r="W17" s="40" t="n"/>
      <c r="X17" s="40" t="n"/>
      <c r="Y17" s="40" t="n"/>
      <c r="Z17" s="40" t="n"/>
      <c r="AA17" s="40" t="n"/>
      <c r="AB17" s="40" t="n"/>
      <c r="AC17" s="40" t="n"/>
      <c r="AD17" s="40" t="n"/>
      <c r="AE17" s="40" t="n"/>
      <c r="AF17" s="40" t="n"/>
      <c r="AG17" s="40" t="n"/>
      <c r="AH17" s="40" t="n"/>
      <c r="AI17" s="40" t="n"/>
      <c r="AJ17" s="40" t="n"/>
      <c r="AK17" s="40" t="n"/>
      <c r="AL17" s="40" t="n"/>
      <c r="AM17" s="40" t="n"/>
      <c r="AN17" s="40" t="n"/>
      <c r="AO17" s="40" t="n"/>
      <c r="AP17" s="40" t="n"/>
      <c r="AQ17" s="40" t="n"/>
      <c r="AR17" s="40" t="n"/>
      <c r="AS17" s="40" t="n"/>
      <c r="AT17" s="40" t="n"/>
      <c r="AU17" s="40" t="n"/>
      <c r="AV17" s="40" t="n"/>
      <c r="AW17" s="40" t="n"/>
      <c r="AX17" s="40" t="n"/>
      <c r="AY17" s="40" t="n"/>
      <c r="AZ17" s="40" t="n"/>
      <c r="BA17" s="40" t="n"/>
      <c r="BB17" s="40" t="n"/>
    </row>
    <row r="18" ht="15" customHeight="1"/>
    <row r="19" ht="15" customHeight="1">
      <c r="E19" s="86" t="inlineStr">
        <is>
          <t>First DCCt adjustment</t>
        </is>
      </c>
    </row>
    <row r="20" ht="15" customHeight="1">
      <c r="E20" s="21" t="inlineStr">
        <is>
          <t>Value</t>
        </is>
      </c>
      <c r="G20" s="5">
        <f>base_year</f>
        <v/>
      </c>
      <c r="I20" s="84">
        <f>Inputs!I187</f>
        <v/>
      </c>
    </row>
    <row r="21" ht="15" customHeight="1">
      <c r="E21" s="21" t="inlineStr">
        <is>
          <t>Activity flag</t>
        </is>
      </c>
      <c r="G21" s="21" t="inlineStr">
        <is>
          <t>flag</t>
        </is>
      </c>
      <c r="I21" s="65" t="n"/>
      <c r="O21" s="33" t="n"/>
      <c r="P21" s="84">
        <f>INDEX(Inputs!$P$208:$BB$208,MATCH('Costs &amp; Revenue'!P$5,Inputs!$P$5:$BB$5,0))</f>
        <v/>
      </c>
      <c r="Q21" s="84">
        <f>INDEX(Inputs!$P$208:$BB$208,MATCH('Costs &amp; Revenue'!Q$5,Inputs!$P$5:$BB$5,0))</f>
        <v/>
      </c>
      <c r="R21" s="84">
        <f>INDEX(Inputs!$P$208:$BB$208,MATCH('Costs &amp; Revenue'!R$5,Inputs!$P$5:$BB$5,0))</f>
        <v/>
      </c>
      <c r="S21" s="84">
        <f>INDEX(Inputs!$P$208:$BB$208,MATCH('Costs &amp; Revenue'!S$5,Inputs!$P$5:$BB$5,0))</f>
        <v/>
      </c>
      <c r="T21" s="84">
        <f>INDEX(Inputs!$P$208:$BB$208,MATCH('Costs &amp; Revenue'!T$5,Inputs!$P$5:$BB$5,0))</f>
        <v/>
      </c>
      <c r="U21" s="84">
        <f>INDEX(Inputs!$P$208:$BB$208,MATCH('Costs &amp; Revenue'!U$5,Inputs!$P$5:$BB$5,0))</f>
        <v/>
      </c>
      <c r="V21" s="84">
        <f>INDEX(Inputs!$P$208:$BB$208,MATCH('Costs &amp; Revenue'!V$5,Inputs!$P$5:$BB$5,0))</f>
        <v/>
      </c>
      <c r="W21" s="84">
        <f>INDEX(Inputs!$P$208:$BB$208,MATCH('Costs &amp; Revenue'!W$5,Inputs!$P$5:$BB$5,0))</f>
        <v/>
      </c>
      <c r="X21" s="84">
        <f>INDEX(Inputs!$P$208:$BB$208,MATCH('Costs &amp; Revenue'!X$5,Inputs!$P$5:$BB$5,0))</f>
        <v/>
      </c>
      <c r="Y21" s="84">
        <f>INDEX(Inputs!$P$208:$BB$208,MATCH('Costs &amp; Revenue'!Y$5,Inputs!$P$5:$BB$5,0))</f>
        <v/>
      </c>
      <c r="Z21" s="84">
        <f>INDEX(Inputs!$P$208:$BB$208,MATCH('Costs &amp; Revenue'!Z$5,Inputs!$P$5:$BB$5,0))</f>
        <v/>
      </c>
      <c r="AA21" s="84">
        <f>INDEX(Inputs!$P$208:$BB$208,MATCH('Costs &amp; Revenue'!AA$5,Inputs!$P$5:$BB$5,0))</f>
        <v/>
      </c>
      <c r="AB21" s="84">
        <f>INDEX(Inputs!$P$208:$BB$208,MATCH('Costs &amp; Revenue'!AB$5,Inputs!$P$5:$BB$5,0))</f>
        <v/>
      </c>
      <c r="AC21" s="84">
        <f>INDEX(Inputs!$P$208:$BB$208,MATCH('Costs &amp; Revenue'!AC$5,Inputs!$P$5:$BB$5,0))</f>
        <v/>
      </c>
      <c r="AD21" s="84">
        <f>INDEX(Inputs!$P$208:$BB$208,MATCH('Costs &amp; Revenue'!AD$5,Inputs!$P$5:$BB$5,0))</f>
        <v/>
      </c>
      <c r="AE21" s="84">
        <f>INDEX(Inputs!$P$208:$BB$208,MATCH('Costs &amp; Revenue'!AE$5,Inputs!$P$5:$BB$5,0))</f>
        <v/>
      </c>
      <c r="AF21" s="84">
        <f>INDEX(Inputs!$P$208:$BB$208,MATCH('Costs &amp; Revenue'!AF$5,Inputs!$P$5:$BB$5,0))</f>
        <v/>
      </c>
      <c r="AG21" s="84">
        <f>INDEX(Inputs!$P$208:$BB$208,MATCH('Costs &amp; Revenue'!AG$5,Inputs!$P$5:$BB$5,0))</f>
        <v/>
      </c>
      <c r="AH21" s="84">
        <f>INDEX(Inputs!$P$208:$BB$208,MATCH('Costs &amp; Revenue'!AH$5,Inputs!$P$5:$BB$5,0))</f>
        <v/>
      </c>
      <c r="AI21" s="84">
        <f>INDEX(Inputs!$P$208:$BB$208,MATCH('Costs &amp; Revenue'!AI$5,Inputs!$P$5:$BB$5,0))</f>
        <v/>
      </c>
      <c r="AJ21" s="84">
        <f>INDEX(Inputs!$P$208:$BB$208,MATCH('Costs &amp; Revenue'!AJ$5,Inputs!$P$5:$BB$5,0))</f>
        <v/>
      </c>
      <c r="AK21" s="84">
        <f>INDEX(Inputs!$P$208:$BB$208,MATCH('Costs &amp; Revenue'!AK$5,Inputs!$P$5:$BB$5,0))</f>
        <v/>
      </c>
      <c r="AL21" s="84">
        <f>INDEX(Inputs!$P$208:$BB$208,MATCH('Costs &amp; Revenue'!AL$5,Inputs!$P$5:$BB$5,0))</f>
        <v/>
      </c>
      <c r="AM21" s="84">
        <f>INDEX(Inputs!$P$208:$BB$208,MATCH('Costs &amp; Revenue'!AM$5,Inputs!$P$5:$BB$5,0))</f>
        <v/>
      </c>
      <c r="AN21" s="84">
        <f>INDEX(Inputs!$P$208:$BB$208,MATCH('Costs &amp; Revenue'!AN$5,Inputs!$P$5:$BB$5,0))</f>
        <v/>
      </c>
      <c r="AO21" s="84">
        <f>INDEX(Inputs!$P$208:$BB$208,MATCH('Costs &amp; Revenue'!AO$5,Inputs!$P$5:$BB$5,0))</f>
        <v/>
      </c>
      <c r="AP21" s="84">
        <f>INDEX(Inputs!$P$208:$BB$208,MATCH('Costs &amp; Revenue'!AP$5,Inputs!$P$5:$BB$5,0))</f>
        <v/>
      </c>
      <c r="AQ21" s="84">
        <f>INDEX(Inputs!$P$208:$BB$208,MATCH('Costs &amp; Revenue'!AQ$5,Inputs!$P$5:$BB$5,0))</f>
        <v/>
      </c>
      <c r="AR21" s="84">
        <f>INDEX(Inputs!$P$208:$BB$208,MATCH('Costs &amp; Revenue'!AR$5,Inputs!$P$5:$BB$5,0))</f>
        <v/>
      </c>
      <c r="AS21" s="84">
        <f>INDEX(Inputs!$P$208:$BB$208,MATCH('Costs &amp; Revenue'!AS$5,Inputs!$P$5:$BB$5,0))</f>
        <v/>
      </c>
      <c r="AT21" s="84">
        <f>INDEX(Inputs!$P$208:$BB$208,MATCH('Costs &amp; Revenue'!AT$5,Inputs!$P$5:$BB$5,0))</f>
        <v/>
      </c>
      <c r="AU21" s="84">
        <f>INDEX(Inputs!$P$208:$BB$208,MATCH('Costs &amp; Revenue'!AU$5,Inputs!$P$5:$BB$5,0))</f>
        <v/>
      </c>
      <c r="AV21" s="84">
        <f>INDEX(Inputs!$P$208:$BB$208,MATCH('Costs &amp; Revenue'!AV$5,Inputs!$P$5:$BB$5,0))</f>
        <v/>
      </c>
      <c r="AW21" s="84">
        <f>INDEX(Inputs!$P$208:$BB$208,MATCH('Costs &amp; Revenue'!AW$5,Inputs!$P$5:$BB$5,0))</f>
        <v/>
      </c>
      <c r="AX21" s="84">
        <f>INDEX(Inputs!$P$208:$BB$208,MATCH('Costs &amp; Revenue'!AX$5,Inputs!$P$5:$BB$5,0))</f>
        <v/>
      </c>
      <c r="AY21" s="84">
        <f>INDEX(Inputs!$P$208:$BB$208,MATCH('Costs &amp; Revenue'!AY$5,Inputs!$P$5:$BB$5,0))</f>
        <v/>
      </c>
      <c r="AZ21" s="84">
        <f>INDEX(Inputs!$P$208:$BB$208,MATCH('Costs &amp; Revenue'!AZ$5,Inputs!$P$5:$BB$5,0))</f>
        <v/>
      </c>
      <c r="BA21" s="84">
        <f>INDEX(Inputs!$P$208:$BB$208,MATCH('Costs &amp; Revenue'!BA$5,Inputs!$P$5:$BB$5,0))</f>
        <v/>
      </c>
      <c r="BB21" s="84">
        <f>INDEX(Inputs!$P$208:$BB$208,MATCH('Costs &amp; Revenue'!BB$5,Inputs!$P$5:$BB$5,0))</f>
        <v/>
      </c>
    </row>
    <row r="22" ht="15" customHeight="1">
      <c r="I22" s="65" t="n"/>
      <c r="O22" s="5" t="n"/>
      <c r="P22" s="45" t="n"/>
      <c r="Q22" s="45" t="n"/>
      <c r="R22" s="45" t="n"/>
      <c r="S22" s="45" t="n"/>
      <c r="T22" s="45" t="n"/>
      <c r="U22" s="45" t="n"/>
      <c r="V22" s="45" t="n"/>
      <c r="W22" s="45" t="n"/>
      <c r="X22" s="45" t="n"/>
      <c r="Y22" s="45" t="n"/>
      <c r="Z22" s="45" t="n"/>
      <c r="AA22" s="45" t="n"/>
      <c r="AB22" s="45" t="n"/>
      <c r="AC22" s="45" t="n"/>
      <c r="AD22" s="45" t="n"/>
      <c r="AE22" s="45" t="n"/>
      <c r="AF22" s="45" t="n"/>
      <c r="AG22" s="45" t="n"/>
      <c r="AH22" s="45" t="n"/>
      <c r="AI22" s="45" t="n"/>
      <c r="AJ22" s="45" t="n"/>
      <c r="AK22" s="45" t="n"/>
      <c r="AL22" s="45" t="n"/>
      <c r="AM22" s="45" t="n"/>
      <c r="AN22" s="45" t="n"/>
      <c r="AO22" s="45" t="n"/>
      <c r="AP22" s="45" t="n"/>
      <c r="AQ22" s="45" t="n"/>
      <c r="AR22" s="45" t="n"/>
      <c r="AS22" s="45" t="n"/>
      <c r="AT22" s="45" t="n"/>
      <c r="AU22" s="45" t="n"/>
      <c r="AV22" s="45" t="n"/>
      <c r="AW22" s="45" t="n"/>
      <c r="AX22" s="45" t="n"/>
      <c r="AY22" s="45" t="n"/>
      <c r="AZ22" s="45" t="n"/>
      <c r="BA22" s="45" t="n"/>
      <c r="BB22" s="45" t="n"/>
    </row>
    <row r="23" ht="15" customHeight="1">
      <c r="E23" s="86" t="inlineStr">
        <is>
          <t>Second DCCt adjustment</t>
        </is>
      </c>
      <c r="I23" s="65" t="n"/>
      <c r="P23" s="45" t="n"/>
      <c r="Q23" s="45" t="n"/>
      <c r="R23" s="45" t="n"/>
      <c r="S23" s="45" t="n"/>
      <c r="T23" s="45" t="n"/>
      <c r="U23" s="45" t="n"/>
      <c r="V23" s="45" t="n"/>
      <c r="W23" s="45" t="n"/>
      <c r="X23" s="45" t="n"/>
      <c r="Y23" s="45" t="n"/>
      <c r="Z23" s="45" t="n"/>
      <c r="AA23" s="45" t="n"/>
      <c r="AB23" s="45" t="n"/>
      <c r="AC23" s="45" t="n"/>
      <c r="AD23" s="45" t="n"/>
      <c r="AE23" s="45" t="n"/>
      <c r="AF23" s="45" t="n"/>
      <c r="AG23" s="45" t="n"/>
      <c r="AH23" s="45" t="n"/>
      <c r="AI23" s="45" t="n"/>
      <c r="AJ23" s="45" t="n"/>
      <c r="AK23" s="45" t="n"/>
      <c r="AL23" s="45" t="n"/>
      <c r="AM23" s="45" t="n"/>
      <c r="AN23" s="45" t="n"/>
      <c r="AO23" s="45" t="n"/>
      <c r="AP23" s="45" t="n"/>
      <c r="AQ23" s="45" t="n"/>
      <c r="AR23" s="45" t="n"/>
      <c r="AS23" s="45" t="n"/>
      <c r="AT23" s="45" t="n"/>
      <c r="AU23" s="45" t="n"/>
      <c r="AV23" s="45" t="n"/>
      <c r="AW23" s="45" t="n"/>
      <c r="AX23" s="45" t="n"/>
      <c r="AY23" s="45" t="n"/>
      <c r="AZ23" s="45" t="n"/>
      <c r="BA23" s="45" t="n"/>
      <c r="BB23" s="45" t="n"/>
    </row>
    <row r="24" ht="15" customHeight="1">
      <c r="E24" s="21" t="inlineStr">
        <is>
          <t>Value</t>
        </is>
      </c>
      <c r="G24" s="5">
        <f>base_year</f>
        <v/>
      </c>
      <c r="I24" s="84">
        <f>Inputs!I192</f>
        <v/>
      </c>
      <c r="P24" s="45" t="n"/>
      <c r="Q24" s="45" t="n"/>
      <c r="R24" s="45" t="n"/>
      <c r="S24" s="45" t="n"/>
      <c r="T24" s="45" t="n"/>
      <c r="U24" s="45" t="n"/>
      <c r="V24" s="45" t="n"/>
      <c r="W24" s="45" t="n"/>
      <c r="X24" s="45" t="n"/>
      <c r="Y24" s="45" t="n"/>
      <c r="Z24" s="45" t="n"/>
      <c r="AA24" s="45" t="n"/>
      <c r="AB24" s="45" t="n"/>
      <c r="AC24" s="45" t="n"/>
      <c r="AD24" s="45" t="n"/>
      <c r="AE24" s="45" t="n"/>
      <c r="AF24" s="45" t="n"/>
      <c r="AG24" s="45" t="n"/>
      <c r="AH24" s="45" t="n"/>
      <c r="AI24" s="45" t="n"/>
      <c r="AJ24" s="45" t="n"/>
      <c r="AK24" s="45" t="n"/>
      <c r="AL24" s="45" t="n"/>
      <c r="AM24" s="45" t="n"/>
      <c r="AN24" s="45" t="n"/>
      <c r="AO24" s="45" t="n"/>
      <c r="AP24" s="45" t="n"/>
      <c r="AQ24" s="45" t="n"/>
      <c r="AR24" s="45" t="n"/>
      <c r="AS24" s="45" t="n"/>
      <c r="AT24" s="45" t="n"/>
      <c r="AU24" s="45" t="n"/>
      <c r="AV24" s="45" t="n"/>
      <c r="AW24" s="45" t="n"/>
      <c r="AX24" s="45" t="n"/>
      <c r="AY24" s="45" t="n"/>
      <c r="AZ24" s="45" t="n"/>
      <c r="BA24" s="45" t="n"/>
      <c r="BB24" s="45" t="n"/>
    </row>
    <row r="25" ht="15" customHeight="1">
      <c r="E25" s="21" t="inlineStr">
        <is>
          <t>Activity flag</t>
        </is>
      </c>
      <c r="G25" s="21" t="inlineStr">
        <is>
          <t>flag</t>
        </is>
      </c>
      <c r="I25" s="65" t="n"/>
      <c r="O25" s="33" t="n"/>
      <c r="P25" s="84">
        <f>INDEX(Inputs!$P$209:$BB$209,MATCH('Costs &amp; Revenue'!P$5,Inputs!$P$5:$BB$5,0))</f>
        <v/>
      </c>
      <c r="Q25" s="84">
        <f>INDEX(Inputs!$P$209:$BB$209,MATCH('Costs &amp; Revenue'!Q$5,Inputs!$P$5:$BB$5,0))</f>
        <v/>
      </c>
      <c r="R25" s="84">
        <f>INDEX(Inputs!$P$209:$BB$209,MATCH('Costs &amp; Revenue'!R$5,Inputs!$P$5:$BB$5,0))</f>
        <v/>
      </c>
      <c r="S25" s="84">
        <f>INDEX(Inputs!$P$209:$BB$209,MATCH('Costs &amp; Revenue'!S$5,Inputs!$P$5:$BB$5,0))</f>
        <v/>
      </c>
      <c r="T25" s="84">
        <f>INDEX(Inputs!$P$209:$BB$209,MATCH('Costs &amp; Revenue'!T$5,Inputs!$P$5:$BB$5,0))</f>
        <v/>
      </c>
      <c r="U25" s="84">
        <f>INDEX(Inputs!$P$209:$BB$209,MATCH('Costs &amp; Revenue'!U$5,Inputs!$P$5:$BB$5,0))</f>
        <v/>
      </c>
      <c r="V25" s="84">
        <f>INDEX(Inputs!$P$209:$BB$209,MATCH('Costs &amp; Revenue'!V$5,Inputs!$P$5:$BB$5,0))</f>
        <v/>
      </c>
      <c r="W25" s="84">
        <f>INDEX(Inputs!$P$209:$BB$209,MATCH('Costs &amp; Revenue'!W$5,Inputs!$P$5:$BB$5,0))</f>
        <v/>
      </c>
      <c r="X25" s="84">
        <f>INDEX(Inputs!$P$209:$BB$209,MATCH('Costs &amp; Revenue'!X$5,Inputs!$P$5:$BB$5,0))</f>
        <v/>
      </c>
      <c r="Y25" s="84">
        <f>INDEX(Inputs!$P$209:$BB$209,MATCH('Costs &amp; Revenue'!Y$5,Inputs!$P$5:$BB$5,0))</f>
        <v/>
      </c>
      <c r="Z25" s="84">
        <f>INDEX(Inputs!$P$209:$BB$209,MATCH('Costs &amp; Revenue'!Z$5,Inputs!$P$5:$BB$5,0))</f>
        <v/>
      </c>
      <c r="AA25" s="84">
        <f>INDEX(Inputs!$P$209:$BB$209,MATCH('Costs &amp; Revenue'!AA$5,Inputs!$P$5:$BB$5,0))</f>
        <v/>
      </c>
      <c r="AB25" s="84">
        <f>INDEX(Inputs!$P$209:$BB$209,MATCH('Costs &amp; Revenue'!AB$5,Inputs!$P$5:$BB$5,0))</f>
        <v/>
      </c>
      <c r="AC25" s="84">
        <f>INDEX(Inputs!$P$209:$BB$209,MATCH('Costs &amp; Revenue'!AC$5,Inputs!$P$5:$BB$5,0))</f>
        <v/>
      </c>
      <c r="AD25" s="84">
        <f>INDEX(Inputs!$P$209:$BB$209,MATCH('Costs &amp; Revenue'!AD$5,Inputs!$P$5:$BB$5,0))</f>
        <v/>
      </c>
      <c r="AE25" s="84">
        <f>INDEX(Inputs!$P$209:$BB$209,MATCH('Costs &amp; Revenue'!AE$5,Inputs!$P$5:$BB$5,0))</f>
        <v/>
      </c>
      <c r="AF25" s="84">
        <f>INDEX(Inputs!$P$209:$BB$209,MATCH('Costs &amp; Revenue'!AF$5,Inputs!$P$5:$BB$5,0))</f>
        <v/>
      </c>
      <c r="AG25" s="84">
        <f>INDEX(Inputs!$P$209:$BB$209,MATCH('Costs &amp; Revenue'!AG$5,Inputs!$P$5:$BB$5,0))</f>
        <v/>
      </c>
      <c r="AH25" s="84">
        <f>INDEX(Inputs!$P$209:$BB$209,MATCH('Costs &amp; Revenue'!AH$5,Inputs!$P$5:$BB$5,0))</f>
        <v/>
      </c>
      <c r="AI25" s="84">
        <f>INDEX(Inputs!$P$209:$BB$209,MATCH('Costs &amp; Revenue'!AI$5,Inputs!$P$5:$BB$5,0))</f>
        <v/>
      </c>
      <c r="AJ25" s="84">
        <f>INDEX(Inputs!$P$209:$BB$209,MATCH('Costs &amp; Revenue'!AJ$5,Inputs!$P$5:$BB$5,0))</f>
        <v/>
      </c>
      <c r="AK25" s="84">
        <f>INDEX(Inputs!$P$209:$BB$209,MATCH('Costs &amp; Revenue'!AK$5,Inputs!$P$5:$BB$5,0))</f>
        <v/>
      </c>
      <c r="AL25" s="84">
        <f>INDEX(Inputs!$P$209:$BB$209,MATCH('Costs &amp; Revenue'!AL$5,Inputs!$P$5:$BB$5,0))</f>
        <v/>
      </c>
      <c r="AM25" s="84">
        <f>INDEX(Inputs!$P$209:$BB$209,MATCH('Costs &amp; Revenue'!AM$5,Inputs!$P$5:$BB$5,0))</f>
        <v/>
      </c>
      <c r="AN25" s="84">
        <f>INDEX(Inputs!$P$209:$BB$209,MATCH('Costs &amp; Revenue'!AN$5,Inputs!$P$5:$BB$5,0))</f>
        <v/>
      </c>
      <c r="AO25" s="84">
        <f>INDEX(Inputs!$P$209:$BB$209,MATCH('Costs &amp; Revenue'!AO$5,Inputs!$P$5:$BB$5,0))</f>
        <v/>
      </c>
      <c r="AP25" s="84">
        <f>INDEX(Inputs!$P$209:$BB$209,MATCH('Costs &amp; Revenue'!AP$5,Inputs!$P$5:$BB$5,0))</f>
        <v/>
      </c>
      <c r="AQ25" s="84">
        <f>INDEX(Inputs!$P$209:$BB$209,MATCH('Costs &amp; Revenue'!AQ$5,Inputs!$P$5:$BB$5,0))</f>
        <v/>
      </c>
      <c r="AR25" s="84">
        <f>INDEX(Inputs!$P$209:$BB$209,MATCH('Costs &amp; Revenue'!AR$5,Inputs!$P$5:$BB$5,0))</f>
        <v/>
      </c>
      <c r="AS25" s="84">
        <f>INDEX(Inputs!$P$209:$BB$209,MATCH('Costs &amp; Revenue'!AS$5,Inputs!$P$5:$BB$5,0))</f>
        <v/>
      </c>
      <c r="AT25" s="84">
        <f>INDEX(Inputs!$P$209:$BB$209,MATCH('Costs &amp; Revenue'!AT$5,Inputs!$P$5:$BB$5,0))</f>
        <v/>
      </c>
      <c r="AU25" s="84">
        <f>INDEX(Inputs!$P$209:$BB$209,MATCH('Costs &amp; Revenue'!AU$5,Inputs!$P$5:$BB$5,0))</f>
        <v/>
      </c>
      <c r="AV25" s="84">
        <f>INDEX(Inputs!$P$209:$BB$209,MATCH('Costs &amp; Revenue'!AV$5,Inputs!$P$5:$BB$5,0))</f>
        <v/>
      </c>
      <c r="AW25" s="84">
        <f>INDEX(Inputs!$P$209:$BB$209,MATCH('Costs &amp; Revenue'!AW$5,Inputs!$P$5:$BB$5,0))</f>
        <v/>
      </c>
      <c r="AX25" s="84">
        <f>INDEX(Inputs!$P$209:$BB$209,MATCH('Costs &amp; Revenue'!AX$5,Inputs!$P$5:$BB$5,0))</f>
        <v/>
      </c>
      <c r="AY25" s="84">
        <f>INDEX(Inputs!$P$209:$BB$209,MATCH('Costs &amp; Revenue'!AY$5,Inputs!$P$5:$BB$5,0))</f>
        <v/>
      </c>
      <c r="AZ25" s="84">
        <f>INDEX(Inputs!$P$209:$BB$209,MATCH('Costs &amp; Revenue'!AZ$5,Inputs!$P$5:$BB$5,0))</f>
        <v/>
      </c>
      <c r="BA25" s="84">
        <f>INDEX(Inputs!$P$209:$BB$209,MATCH('Costs &amp; Revenue'!BA$5,Inputs!$P$5:$BB$5,0))</f>
        <v/>
      </c>
      <c r="BB25" s="84">
        <f>INDEX(Inputs!$P$209:$BB$209,MATCH('Costs &amp; Revenue'!BB$5,Inputs!$P$5:$BB$5,0))</f>
        <v/>
      </c>
    </row>
    <row r="26" ht="15" customHeight="1">
      <c r="I26" s="65" t="n"/>
      <c r="O26" s="5" t="n"/>
      <c r="P26" s="45" t="n"/>
      <c r="Q26" s="45" t="n"/>
      <c r="R26" s="45" t="n"/>
      <c r="S26" s="45" t="n"/>
      <c r="T26" s="45" t="n"/>
      <c r="U26" s="45" t="n"/>
      <c r="V26" s="45" t="n"/>
      <c r="W26" s="45" t="n"/>
      <c r="X26" s="45" t="n"/>
      <c r="Y26" s="45" t="n"/>
      <c r="Z26" s="45" t="n"/>
      <c r="AA26" s="45" t="n"/>
      <c r="AB26" s="45" t="n"/>
      <c r="AC26" s="45" t="n"/>
      <c r="AD26" s="45" t="n"/>
      <c r="AE26" s="45" t="n"/>
      <c r="AF26" s="45" t="n"/>
      <c r="AG26" s="45" t="n"/>
      <c r="AH26" s="45" t="n"/>
      <c r="AI26" s="45" t="n"/>
      <c r="AJ26" s="45" t="n"/>
      <c r="AK26" s="45" t="n"/>
      <c r="AL26" s="45" t="n"/>
      <c r="AM26" s="45" t="n"/>
      <c r="AN26" s="45" t="n"/>
      <c r="AO26" s="45" t="n"/>
      <c r="AP26" s="45" t="n"/>
      <c r="AQ26" s="45" t="n"/>
      <c r="AR26" s="45" t="n"/>
      <c r="AS26" s="45" t="n"/>
      <c r="AT26" s="45" t="n"/>
      <c r="AU26" s="45" t="n"/>
      <c r="AV26" s="45" t="n"/>
      <c r="AW26" s="45" t="n"/>
      <c r="AX26" s="45" t="n"/>
      <c r="AY26" s="45" t="n"/>
      <c r="AZ26" s="45" t="n"/>
      <c r="BA26" s="45" t="n"/>
      <c r="BB26" s="45" t="n"/>
    </row>
    <row r="27" ht="15" customHeight="1">
      <c r="E27" s="86" t="inlineStr">
        <is>
          <t>Third DCCt adjustment</t>
        </is>
      </c>
      <c r="I27" s="65" t="n"/>
      <c r="P27" s="45" t="n"/>
      <c r="Q27" s="45" t="n"/>
      <c r="R27" s="45" t="n"/>
      <c r="S27" s="45" t="n"/>
      <c r="T27" s="45" t="n"/>
      <c r="U27" s="45" t="n"/>
      <c r="V27" s="45" t="n"/>
      <c r="W27" s="45" t="n"/>
      <c r="X27" s="45" t="n"/>
      <c r="Y27" s="45" t="n"/>
      <c r="Z27" s="45" t="n"/>
      <c r="AA27" s="45" t="n"/>
      <c r="AB27" s="45" t="n"/>
      <c r="AC27" s="45" t="n"/>
      <c r="AD27" s="45" t="n"/>
      <c r="AE27" s="45" t="n"/>
      <c r="AF27" s="45" t="n"/>
      <c r="AG27" s="45" t="n"/>
      <c r="AH27" s="45" t="n"/>
      <c r="AI27" s="45" t="n"/>
      <c r="AJ27" s="45" t="n"/>
      <c r="AK27" s="45" t="n"/>
      <c r="AL27" s="45" t="n"/>
      <c r="AM27" s="45" t="n"/>
      <c r="AN27" s="45" t="n"/>
      <c r="AO27" s="45" t="n"/>
      <c r="AP27" s="45" t="n"/>
      <c r="AQ27" s="45" t="n"/>
      <c r="AR27" s="45" t="n"/>
      <c r="AS27" s="45" t="n"/>
      <c r="AT27" s="45" t="n"/>
      <c r="AU27" s="45" t="n"/>
      <c r="AV27" s="45" t="n"/>
      <c r="AW27" s="45" t="n"/>
      <c r="AX27" s="45" t="n"/>
      <c r="AY27" s="45" t="n"/>
      <c r="AZ27" s="45" t="n"/>
      <c r="BA27" s="45" t="n"/>
      <c r="BB27" s="45" t="n"/>
    </row>
    <row r="28" ht="15" customHeight="1">
      <c r="E28" s="21" t="inlineStr">
        <is>
          <t>Value</t>
        </is>
      </c>
      <c r="G28" s="5">
        <f>base_year</f>
        <v/>
      </c>
      <c r="I28" s="84">
        <f>Inputs!I197</f>
        <v/>
      </c>
      <c r="P28" s="45" t="n"/>
      <c r="Q28" s="45" t="n"/>
      <c r="R28" s="45" t="n"/>
      <c r="S28" s="45" t="n"/>
      <c r="T28" s="45" t="n"/>
      <c r="U28" s="45" t="n"/>
      <c r="V28" s="45" t="n"/>
      <c r="W28" s="45" t="n"/>
      <c r="X28" s="45" t="n"/>
      <c r="Y28" s="45" t="n"/>
      <c r="Z28" s="45" t="n"/>
      <c r="AA28" s="45" t="n"/>
      <c r="AB28" s="45" t="n"/>
      <c r="AC28" s="45" t="n"/>
      <c r="AD28" s="45" t="n"/>
      <c r="AE28" s="45" t="n"/>
      <c r="AF28" s="45" t="n"/>
      <c r="AG28" s="45" t="n"/>
      <c r="AH28" s="45" t="n"/>
      <c r="AI28" s="45" t="n"/>
      <c r="AJ28" s="45" t="n"/>
      <c r="AK28" s="45" t="n"/>
      <c r="AL28" s="45" t="n"/>
      <c r="AM28" s="45" t="n"/>
      <c r="AN28" s="45" t="n"/>
      <c r="AO28" s="45" t="n"/>
      <c r="AP28" s="45" t="n"/>
      <c r="AQ28" s="45" t="n"/>
      <c r="AR28" s="45" t="n"/>
      <c r="AS28" s="45" t="n"/>
      <c r="AT28" s="45" t="n"/>
      <c r="AU28" s="45" t="n"/>
      <c r="AV28" s="45" t="n"/>
      <c r="AW28" s="45" t="n"/>
      <c r="AX28" s="45" t="n"/>
      <c r="AY28" s="45" t="n"/>
      <c r="AZ28" s="45" t="n"/>
      <c r="BA28" s="45" t="n"/>
      <c r="BB28" s="45" t="n"/>
    </row>
    <row r="29" ht="15" customHeight="1">
      <c r="E29" s="21" t="inlineStr">
        <is>
          <t>Activity flag</t>
        </is>
      </c>
      <c r="G29" s="21" t="inlineStr">
        <is>
          <t>flag</t>
        </is>
      </c>
      <c r="I29" s="65" t="n"/>
      <c r="O29" s="33" t="n"/>
      <c r="P29" s="84">
        <f>INDEX(Inputs!$P$210:$BB$210,MATCH('Costs &amp; Revenue'!P$5,Inputs!$P$5:$BB$5,0))</f>
        <v/>
      </c>
      <c r="Q29" s="84">
        <f>INDEX(Inputs!$P$210:$BB$210,MATCH('Costs &amp; Revenue'!Q$5,Inputs!$P$5:$BB$5,0))</f>
        <v/>
      </c>
      <c r="R29" s="84">
        <f>INDEX(Inputs!$P$210:$BB$210,MATCH('Costs &amp; Revenue'!R$5,Inputs!$P$5:$BB$5,0))</f>
        <v/>
      </c>
      <c r="S29" s="84">
        <f>INDEX(Inputs!$P$210:$BB$210,MATCH('Costs &amp; Revenue'!S$5,Inputs!$P$5:$BB$5,0))</f>
        <v/>
      </c>
      <c r="T29" s="84">
        <f>INDEX(Inputs!$P$210:$BB$210,MATCH('Costs &amp; Revenue'!T$5,Inputs!$P$5:$BB$5,0))</f>
        <v/>
      </c>
      <c r="U29" s="84">
        <f>INDEX(Inputs!$P$210:$BB$210,MATCH('Costs &amp; Revenue'!U$5,Inputs!$P$5:$BB$5,0))</f>
        <v/>
      </c>
      <c r="V29" s="84">
        <f>INDEX(Inputs!$P$210:$BB$210,MATCH('Costs &amp; Revenue'!V$5,Inputs!$P$5:$BB$5,0))</f>
        <v/>
      </c>
      <c r="W29" s="84">
        <f>INDEX(Inputs!$P$210:$BB$210,MATCH('Costs &amp; Revenue'!W$5,Inputs!$P$5:$BB$5,0))</f>
        <v/>
      </c>
      <c r="X29" s="84">
        <f>INDEX(Inputs!$P$210:$BB$210,MATCH('Costs &amp; Revenue'!X$5,Inputs!$P$5:$BB$5,0))</f>
        <v/>
      </c>
      <c r="Y29" s="84">
        <f>INDEX(Inputs!$P$210:$BB$210,MATCH('Costs &amp; Revenue'!Y$5,Inputs!$P$5:$BB$5,0))</f>
        <v/>
      </c>
      <c r="Z29" s="84">
        <f>INDEX(Inputs!$P$210:$BB$210,MATCH('Costs &amp; Revenue'!Z$5,Inputs!$P$5:$BB$5,0))</f>
        <v/>
      </c>
      <c r="AA29" s="84">
        <f>INDEX(Inputs!$P$210:$BB$210,MATCH('Costs &amp; Revenue'!AA$5,Inputs!$P$5:$BB$5,0))</f>
        <v/>
      </c>
      <c r="AB29" s="84">
        <f>INDEX(Inputs!$P$210:$BB$210,MATCH('Costs &amp; Revenue'!AB$5,Inputs!$P$5:$BB$5,0))</f>
        <v/>
      </c>
      <c r="AC29" s="84">
        <f>INDEX(Inputs!$P$210:$BB$210,MATCH('Costs &amp; Revenue'!AC$5,Inputs!$P$5:$BB$5,0))</f>
        <v/>
      </c>
      <c r="AD29" s="84">
        <f>INDEX(Inputs!$P$210:$BB$210,MATCH('Costs &amp; Revenue'!AD$5,Inputs!$P$5:$BB$5,0))</f>
        <v/>
      </c>
      <c r="AE29" s="84">
        <f>INDEX(Inputs!$P$210:$BB$210,MATCH('Costs &amp; Revenue'!AE$5,Inputs!$P$5:$BB$5,0))</f>
        <v/>
      </c>
      <c r="AF29" s="84">
        <f>INDEX(Inputs!$P$210:$BB$210,MATCH('Costs &amp; Revenue'!AF$5,Inputs!$P$5:$BB$5,0))</f>
        <v/>
      </c>
      <c r="AG29" s="84">
        <f>INDEX(Inputs!$P$210:$BB$210,MATCH('Costs &amp; Revenue'!AG$5,Inputs!$P$5:$BB$5,0))</f>
        <v/>
      </c>
      <c r="AH29" s="84">
        <f>INDEX(Inputs!$P$210:$BB$210,MATCH('Costs &amp; Revenue'!AH$5,Inputs!$P$5:$BB$5,0))</f>
        <v/>
      </c>
      <c r="AI29" s="84">
        <f>INDEX(Inputs!$P$210:$BB$210,MATCH('Costs &amp; Revenue'!AI$5,Inputs!$P$5:$BB$5,0))</f>
        <v/>
      </c>
      <c r="AJ29" s="84">
        <f>INDEX(Inputs!$P$210:$BB$210,MATCH('Costs &amp; Revenue'!AJ$5,Inputs!$P$5:$BB$5,0))</f>
        <v/>
      </c>
      <c r="AK29" s="84">
        <f>INDEX(Inputs!$P$210:$BB$210,MATCH('Costs &amp; Revenue'!AK$5,Inputs!$P$5:$BB$5,0))</f>
        <v/>
      </c>
      <c r="AL29" s="84">
        <f>INDEX(Inputs!$P$210:$BB$210,MATCH('Costs &amp; Revenue'!AL$5,Inputs!$P$5:$BB$5,0))</f>
        <v/>
      </c>
      <c r="AM29" s="84">
        <f>INDEX(Inputs!$P$210:$BB$210,MATCH('Costs &amp; Revenue'!AM$5,Inputs!$P$5:$BB$5,0))</f>
        <v/>
      </c>
      <c r="AN29" s="84">
        <f>INDEX(Inputs!$P$210:$BB$210,MATCH('Costs &amp; Revenue'!AN$5,Inputs!$P$5:$BB$5,0))</f>
        <v/>
      </c>
      <c r="AO29" s="84">
        <f>INDEX(Inputs!$P$210:$BB$210,MATCH('Costs &amp; Revenue'!AO$5,Inputs!$P$5:$BB$5,0))</f>
        <v/>
      </c>
      <c r="AP29" s="84">
        <f>INDEX(Inputs!$P$210:$BB$210,MATCH('Costs &amp; Revenue'!AP$5,Inputs!$P$5:$BB$5,0))</f>
        <v/>
      </c>
      <c r="AQ29" s="84">
        <f>INDEX(Inputs!$P$210:$BB$210,MATCH('Costs &amp; Revenue'!AQ$5,Inputs!$P$5:$BB$5,0))</f>
        <v/>
      </c>
      <c r="AR29" s="84">
        <f>INDEX(Inputs!$P$210:$BB$210,MATCH('Costs &amp; Revenue'!AR$5,Inputs!$P$5:$BB$5,0))</f>
        <v/>
      </c>
      <c r="AS29" s="84">
        <f>INDEX(Inputs!$P$210:$BB$210,MATCH('Costs &amp; Revenue'!AS$5,Inputs!$P$5:$BB$5,0))</f>
        <v/>
      </c>
      <c r="AT29" s="84">
        <f>INDEX(Inputs!$P$210:$BB$210,MATCH('Costs &amp; Revenue'!AT$5,Inputs!$P$5:$BB$5,0))</f>
        <v/>
      </c>
      <c r="AU29" s="84">
        <f>INDEX(Inputs!$P$210:$BB$210,MATCH('Costs &amp; Revenue'!AU$5,Inputs!$P$5:$BB$5,0))</f>
        <v/>
      </c>
      <c r="AV29" s="84">
        <f>INDEX(Inputs!$P$210:$BB$210,MATCH('Costs &amp; Revenue'!AV$5,Inputs!$P$5:$BB$5,0))</f>
        <v/>
      </c>
      <c r="AW29" s="84">
        <f>INDEX(Inputs!$P$210:$BB$210,MATCH('Costs &amp; Revenue'!AW$5,Inputs!$P$5:$BB$5,0))</f>
        <v/>
      </c>
      <c r="AX29" s="84">
        <f>INDEX(Inputs!$P$210:$BB$210,MATCH('Costs &amp; Revenue'!AX$5,Inputs!$P$5:$BB$5,0))</f>
        <v/>
      </c>
      <c r="AY29" s="84">
        <f>INDEX(Inputs!$P$210:$BB$210,MATCH('Costs &amp; Revenue'!AY$5,Inputs!$P$5:$BB$5,0))</f>
        <v/>
      </c>
      <c r="AZ29" s="84">
        <f>INDEX(Inputs!$P$210:$BB$210,MATCH('Costs &amp; Revenue'!AZ$5,Inputs!$P$5:$BB$5,0))</f>
        <v/>
      </c>
      <c r="BA29" s="84">
        <f>INDEX(Inputs!$P$210:$BB$210,MATCH('Costs &amp; Revenue'!BA$5,Inputs!$P$5:$BB$5,0))</f>
        <v/>
      </c>
      <c r="BB29" s="84">
        <f>INDEX(Inputs!$P$210:$BB$210,MATCH('Costs &amp; Revenue'!BB$5,Inputs!$P$5:$BB$5,0))</f>
        <v/>
      </c>
    </row>
    <row r="30" ht="15" customHeight="1">
      <c r="I30" s="65" t="n"/>
      <c r="O30" s="5" t="n"/>
      <c r="P30" s="45" t="n"/>
      <c r="Q30" s="45" t="n"/>
      <c r="R30" s="45" t="n"/>
      <c r="S30" s="45" t="n"/>
      <c r="T30" s="45" t="n"/>
      <c r="U30" s="45" t="n"/>
      <c r="V30" s="45" t="n"/>
      <c r="W30" s="45" t="n"/>
      <c r="X30" s="45" t="n"/>
      <c r="Y30" s="45" t="n"/>
      <c r="Z30" s="45" t="n"/>
      <c r="AA30" s="45" t="n"/>
      <c r="AB30" s="45" t="n"/>
      <c r="AC30" s="45" t="n"/>
      <c r="AD30" s="45" t="n"/>
      <c r="AE30" s="45" t="n"/>
      <c r="AF30" s="45" t="n"/>
      <c r="AG30" s="45" t="n"/>
      <c r="AH30" s="45" t="n"/>
      <c r="AI30" s="45" t="n"/>
      <c r="AJ30" s="45" t="n"/>
      <c r="AK30" s="45" t="n"/>
      <c r="AL30" s="45" t="n"/>
      <c r="AM30" s="45" t="n"/>
      <c r="AN30" s="45" t="n"/>
      <c r="AO30" s="45" t="n"/>
      <c r="AP30" s="45" t="n"/>
      <c r="AQ30" s="45" t="n"/>
      <c r="AR30" s="45" t="n"/>
      <c r="AS30" s="45" t="n"/>
      <c r="AT30" s="45" t="n"/>
      <c r="AU30" s="45" t="n"/>
      <c r="AV30" s="45" t="n"/>
      <c r="AW30" s="45" t="n"/>
      <c r="AX30" s="45" t="n"/>
      <c r="AY30" s="45" t="n"/>
      <c r="AZ30" s="45" t="n"/>
      <c r="BA30" s="45" t="n"/>
      <c r="BB30" s="45" t="n"/>
    </row>
    <row r="31" ht="15" customHeight="1">
      <c r="E31" s="86" t="inlineStr">
        <is>
          <t>Fourth DCCt adjustment</t>
        </is>
      </c>
      <c r="I31" s="65" t="n"/>
      <c r="P31" s="45" t="n"/>
      <c r="Q31" s="45" t="n"/>
      <c r="R31" s="45" t="n"/>
      <c r="S31" s="45" t="n"/>
      <c r="T31" s="45" t="n"/>
      <c r="U31" s="45" t="n"/>
      <c r="V31" s="45" t="n"/>
      <c r="W31" s="45" t="n"/>
      <c r="X31" s="45" t="n"/>
      <c r="Y31" s="45" t="n"/>
      <c r="Z31" s="45" t="n"/>
      <c r="AA31" s="45" t="n"/>
      <c r="AB31" s="45" t="n"/>
      <c r="AC31" s="45" t="n"/>
      <c r="AD31" s="45" t="n"/>
      <c r="AE31" s="45" t="n"/>
      <c r="AF31" s="45" t="n"/>
      <c r="AG31" s="45" t="n"/>
      <c r="AH31" s="45" t="n"/>
      <c r="AI31" s="45" t="n"/>
      <c r="AJ31" s="45" t="n"/>
      <c r="AK31" s="45" t="n"/>
      <c r="AL31" s="45" t="n"/>
      <c r="AM31" s="45" t="n"/>
      <c r="AN31" s="45" t="n"/>
      <c r="AO31" s="45" t="n"/>
      <c r="AP31" s="45" t="n"/>
      <c r="AQ31" s="45" t="n"/>
      <c r="AR31" s="45" t="n"/>
      <c r="AS31" s="45" t="n"/>
      <c r="AT31" s="45" t="n"/>
      <c r="AU31" s="45" t="n"/>
      <c r="AV31" s="45" t="n"/>
      <c r="AW31" s="45" t="n"/>
      <c r="AX31" s="45" t="n"/>
      <c r="AY31" s="45" t="n"/>
      <c r="AZ31" s="45" t="n"/>
      <c r="BA31" s="45" t="n"/>
      <c r="BB31" s="45" t="n"/>
    </row>
    <row r="32" ht="15" customHeight="1">
      <c r="E32" s="21" t="inlineStr">
        <is>
          <t>Value</t>
        </is>
      </c>
      <c r="G32" s="5">
        <f>base_year</f>
        <v/>
      </c>
      <c r="I32" s="84">
        <f>Inputs!I202</f>
        <v/>
      </c>
      <c r="P32" s="45" t="n"/>
      <c r="Q32" s="45" t="n"/>
      <c r="R32" s="45" t="n"/>
      <c r="S32" s="45" t="n"/>
      <c r="T32" s="45" t="n"/>
      <c r="U32" s="45" t="n"/>
      <c r="V32" s="45" t="n"/>
      <c r="W32" s="45" t="n"/>
      <c r="X32" s="45" t="n"/>
      <c r="Y32" s="45" t="n"/>
      <c r="Z32" s="45" t="n"/>
      <c r="AA32" s="45" t="n"/>
      <c r="AB32" s="45" t="n"/>
      <c r="AC32" s="45" t="n"/>
      <c r="AD32" s="45" t="n"/>
      <c r="AE32" s="45" t="n"/>
      <c r="AF32" s="45" t="n"/>
      <c r="AG32" s="45" t="n"/>
      <c r="AH32" s="45" t="n"/>
      <c r="AI32" s="45" t="n"/>
      <c r="AJ32" s="45" t="n"/>
      <c r="AK32" s="45" t="n"/>
      <c r="AL32" s="45" t="n"/>
      <c r="AM32" s="45" t="n"/>
      <c r="AN32" s="45" t="n"/>
      <c r="AO32" s="45" t="n"/>
      <c r="AP32" s="45" t="n"/>
      <c r="AQ32" s="45" t="n"/>
      <c r="AR32" s="45" t="n"/>
      <c r="AS32" s="45" t="n"/>
      <c r="AT32" s="45" t="n"/>
      <c r="AU32" s="45" t="n"/>
      <c r="AV32" s="45" t="n"/>
      <c r="AW32" s="45" t="n"/>
      <c r="AX32" s="45" t="n"/>
      <c r="AY32" s="45" t="n"/>
      <c r="AZ32" s="45" t="n"/>
      <c r="BA32" s="45" t="n"/>
      <c r="BB32" s="45" t="n"/>
    </row>
    <row r="33" ht="15" customHeight="1">
      <c r="E33" s="21" t="inlineStr">
        <is>
          <t>Activity flag</t>
        </is>
      </c>
      <c r="G33" s="21" t="inlineStr">
        <is>
          <t>flag</t>
        </is>
      </c>
      <c r="O33" s="33" t="n"/>
      <c r="P33" s="84">
        <f>INDEX(Inputs!$P$211:$BB$211,MATCH('Costs &amp; Revenue'!P$5,Inputs!$P$5:$BB$5,0))</f>
        <v/>
      </c>
      <c r="Q33" s="84">
        <f>INDEX(Inputs!$P$211:$BB$211,MATCH('Costs &amp; Revenue'!Q$5,Inputs!$P$5:$BB$5,0))</f>
        <v/>
      </c>
      <c r="R33" s="84">
        <f>INDEX(Inputs!$P$211:$BB$211,MATCH('Costs &amp; Revenue'!R$5,Inputs!$P$5:$BB$5,0))</f>
        <v/>
      </c>
      <c r="S33" s="84">
        <f>INDEX(Inputs!$P$211:$BB$211,MATCH('Costs &amp; Revenue'!S$5,Inputs!$P$5:$BB$5,0))</f>
        <v/>
      </c>
      <c r="T33" s="84">
        <f>INDEX(Inputs!$P$211:$BB$211,MATCH('Costs &amp; Revenue'!T$5,Inputs!$P$5:$BB$5,0))</f>
        <v/>
      </c>
      <c r="U33" s="84">
        <f>INDEX(Inputs!$P$211:$BB$211,MATCH('Costs &amp; Revenue'!U$5,Inputs!$P$5:$BB$5,0))</f>
        <v/>
      </c>
      <c r="V33" s="84">
        <f>INDEX(Inputs!$P$211:$BB$211,MATCH('Costs &amp; Revenue'!V$5,Inputs!$P$5:$BB$5,0))</f>
        <v/>
      </c>
      <c r="W33" s="84">
        <f>INDEX(Inputs!$P$211:$BB$211,MATCH('Costs &amp; Revenue'!W$5,Inputs!$P$5:$BB$5,0))</f>
        <v/>
      </c>
      <c r="X33" s="84">
        <f>INDEX(Inputs!$P$211:$BB$211,MATCH('Costs &amp; Revenue'!X$5,Inputs!$P$5:$BB$5,0))</f>
        <v/>
      </c>
      <c r="Y33" s="84">
        <f>INDEX(Inputs!$P$211:$BB$211,MATCH('Costs &amp; Revenue'!Y$5,Inputs!$P$5:$BB$5,0))</f>
        <v/>
      </c>
      <c r="Z33" s="84">
        <f>INDEX(Inputs!$P$211:$BB$211,MATCH('Costs &amp; Revenue'!Z$5,Inputs!$P$5:$BB$5,0))</f>
        <v/>
      </c>
      <c r="AA33" s="84">
        <f>INDEX(Inputs!$P$211:$BB$211,MATCH('Costs &amp; Revenue'!AA$5,Inputs!$P$5:$BB$5,0))</f>
        <v/>
      </c>
      <c r="AB33" s="84">
        <f>INDEX(Inputs!$P$211:$BB$211,MATCH('Costs &amp; Revenue'!AB$5,Inputs!$P$5:$BB$5,0))</f>
        <v/>
      </c>
      <c r="AC33" s="84">
        <f>INDEX(Inputs!$P$211:$BB$211,MATCH('Costs &amp; Revenue'!AC$5,Inputs!$P$5:$BB$5,0))</f>
        <v/>
      </c>
      <c r="AD33" s="84">
        <f>INDEX(Inputs!$P$211:$BB$211,MATCH('Costs &amp; Revenue'!AD$5,Inputs!$P$5:$BB$5,0))</f>
        <v/>
      </c>
      <c r="AE33" s="84">
        <f>INDEX(Inputs!$P$211:$BB$211,MATCH('Costs &amp; Revenue'!AE$5,Inputs!$P$5:$BB$5,0))</f>
        <v/>
      </c>
      <c r="AF33" s="84">
        <f>INDEX(Inputs!$P$211:$BB$211,MATCH('Costs &amp; Revenue'!AF$5,Inputs!$P$5:$BB$5,0))</f>
        <v/>
      </c>
      <c r="AG33" s="84">
        <f>INDEX(Inputs!$P$211:$BB$211,MATCH('Costs &amp; Revenue'!AG$5,Inputs!$P$5:$BB$5,0))</f>
        <v/>
      </c>
      <c r="AH33" s="84">
        <f>INDEX(Inputs!$P$211:$BB$211,MATCH('Costs &amp; Revenue'!AH$5,Inputs!$P$5:$BB$5,0))</f>
        <v/>
      </c>
      <c r="AI33" s="84">
        <f>INDEX(Inputs!$P$211:$BB$211,MATCH('Costs &amp; Revenue'!AI$5,Inputs!$P$5:$BB$5,0))</f>
        <v/>
      </c>
      <c r="AJ33" s="84">
        <f>INDEX(Inputs!$P$211:$BB$211,MATCH('Costs &amp; Revenue'!AJ$5,Inputs!$P$5:$BB$5,0))</f>
        <v/>
      </c>
      <c r="AK33" s="84">
        <f>INDEX(Inputs!$P$211:$BB$211,MATCH('Costs &amp; Revenue'!AK$5,Inputs!$P$5:$BB$5,0))</f>
        <v/>
      </c>
      <c r="AL33" s="84">
        <f>INDEX(Inputs!$P$211:$BB$211,MATCH('Costs &amp; Revenue'!AL$5,Inputs!$P$5:$BB$5,0))</f>
        <v/>
      </c>
      <c r="AM33" s="84">
        <f>INDEX(Inputs!$P$211:$BB$211,MATCH('Costs &amp; Revenue'!AM$5,Inputs!$P$5:$BB$5,0))</f>
        <v/>
      </c>
      <c r="AN33" s="84">
        <f>INDEX(Inputs!$P$211:$BB$211,MATCH('Costs &amp; Revenue'!AN$5,Inputs!$P$5:$BB$5,0))</f>
        <v/>
      </c>
      <c r="AO33" s="84">
        <f>INDEX(Inputs!$P$211:$BB$211,MATCH('Costs &amp; Revenue'!AO$5,Inputs!$P$5:$BB$5,0))</f>
        <v/>
      </c>
      <c r="AP33" s="84">
        <f>INDEX(Inputs!$P$211:$BB$211,MATCH('Costs &amp; Revenue'!AP$5,Inputs!$P$5:$BB$5,0))</f>
        <v/>
      </c>
      <c r="AQ33" s="84">
        <f>INDEX(Inputs!$P$211:$BB$211,MATCH('Costs &amp; Revenue'!AQ$5,Inputs!$P$5:$BB$5,0))</f>
        <v/>
      </c>
      <c r="AR33" s="84">
        <f>INDEX(Inputs!$P$211:$BB$211,MATCH('Costs &amp; Revenue'!AR$5,Inputs!$P$5:$BB$5,0))</f>
        <v/>
      </c>
      <c r="AS33" s="84">
        <f>INDEX(Inputs!$P$211:$BB$211,MATCH('Costs &amp; Revenue'!AS$5,Inputs!$P$5:$BB$5,0))</f>
        <v/>
      </c>
      <c r="AT33" s="84">
        <f>INDEX(Inputs!$P$211:$BB$211,MATCH('Costs &amp; Revenue'!AT$5,Inputs!$P$5:$BB$5,0))</f>
        <v/>
      </c>
      <c r="AU33" s="84">
        <f>INDEX(Inputs!$P$211:$BB$211,MATCH('Costs &amp; Revenue'!AU$5,Inputs!$P$5:$BB$5,0))</f>
        <v/>
      </c>
      <c r="AV33" s="84">
        <f>INDEX(Inputs!$P$211:$BB$211,MATCH('Costs &amp; Revenue'!AV$5,Inputs!$P$5:$BB$5,0))</f>
        <v/>
      </c>
      <c r="AW33" s="84">
        <f>INDEX(Inputs!$P$211:$BB$211,MATCH('Costs &amp; Revenue'!AW$5,Inputs!$P$5:$BB$5,0))</f>
        <v/>
      </c>
      <c r="AX33" s="84">
        <f>INDEX(Inputs!$P$211:$BB$211,MATCH('Costs &amp; Revenue'!AX$5,Inputs!$P$5:$BB$5,0))</f>
        <v/>
      </c>
      <c r="AY33" s="84">
        <f>INDEX(Inputs!$P$211:$BB$211,MATCH('Costs &amp; Revenue'!AY$5,Inputs!$P$5:$BB$5,0))</f>
        <v/>
      </c>
      <c r="AZ33" s="84">
        <f>INDEX(Inputs!$P$211:$BB$211,MATCH('Costs &amp; Revenue'!AZ$5,Inputs!$P$5:$BB$5,0))</f>
        <v/>
      </c>
      <c r="BA33" s="84">
        <f>INDEX(Inputs!$P$211:$BB$211,MATCH('Costs &amp; Revenue'!BA$5,Inputs!$P$5:$BB$5,0))</f>
        <v/>
      </c>
      <c r="BB33" s="84">
        <f>INDEX(Inputs!$P$211:$BB$211,MATCH('Costs &amp; Revenue'!BB$5,Inputs!$P$5:$BB$5,0))</f>
        <v/>
      </c>
    </row>
    <row r="34" ht="15" customHeight="1"/>
    <row r="35" ht="15" customFormat="1" customHeight="1" s="63">
      <c r="C35" s="40" t="inlineStr">
        <is>
          <t>All DCF adjustments (Floor)</t>
        </is>
      </c>
      <c r="D35" s="40" t="n"/>
      <c r="E35" s="40" t="n"/>
      <c r="F35" s="40" t="n"/>
      <c r="G35" s="40" t="n"/>
      <c r="H35" s="40" t="n"/>
      <c r="I35" s="40" t="n"/>
      <c r="J35" s="40" t="n"/>
      <c r="K35" s="40" t="n"/>
      <c r="L35" s="40" t="n"/>
      <c r="M35" s="40" t="n"/>
      <c r="N35" s="40" t="n"/>
      <c r="O35" s="40" t="n"/>
      <c r="P35" s="40" t="n"/>
      <c r="Q35" s="40" t="n"/>
      <c r="R35" s="40" t="n"/>
      <c r="S35" s="40" t="n"/>
      <c r="T35" s="40" t="n"/>
      <c r="U35" s="40" t="n"/>
      <c r="V35" s="40" t="n"/>
      <c r="W35" s="40" t="n"/>
      <c r="X35" s="40" t="n"/>
      <c r="Y35" s="40" t="n"/>
      <c r="Z35" s="40" t="n"/>
      <c r="AA35" s="40" t="n"/>
      <c r="AB35" s="40" t="n"/>
      <c r="AC35" s="40" t="n"/>
      <c r="AD35" s="40" t="n"/>
      <c r="AE35" s="40" t="n"/>
      <c r="AF35" s="40" t="n"/>
      <c r="AG35" s="40" t="n"/>
      <c r="AH35" s="40" t="n"/>
      <c r="AI35" s="40" t="n"/>
      <c r="AJ35" s="40" t="n"/>
      <c r="AK35" s="40" t="n"/>
      <c r="AL35" s="40" t="n"/>
      <c r="AM35" s="40" t="n"/>
      <c r="AN35" s="40" t="n"/>
      <c r="AO35" s="40" t="n"/>
      <c r="AP35" s="40" t="n"/>
      <c r="AQ35" s="40" t="n"/>
      <c r="AR35" s="40" t="n"/>
      <c r="AS35" s="40" t="n"/>
      <c r="AT35" s="40" t="n"/>
      <c r="AU35" s="40" t="n"/>
      <c r="AV35" s="40" t="n"/>
      <c r="AW35" s="40" t="n"/>
      <c r="AX35" s="40" t="n"/>
      <c r="AY35" s="40" t="n"/>
      <c r="AZ35" s="40" t="n"/>
      <c r="BA35" s="40" t="n"/>
      <c r="BB35" s="40" t="n"/>
    </row>
    <row r="36" ht="15" customHeight="1"/>
    <row r="37" ht="15" customHeight="1">
      <c r="E37" s="86" t="inlineStr">
        <is>
          <t>First DCFt adjustment</t>
        </is>
      </c>
    </row>
    <row r="38" ht="15" customHeight="1">
      <c r="E38" s="21" t="inlineStr">
        <is>
          <t>Value</t>
        </is>
      </c>
      <c r="G38" s="5">
        <f>base_year</f>
        <v/>
      </c>
      <c r="I38" s="84">
        <f>Inputs!I188</f>
        <v/>
      </c>
    </row>
    <row r="39" ht="15" customHeight="1">
      <c r="E39" s="21" t="inlineStr">
        <is>
          <t>Activity flag</t>
        </is>
      </c>
      <c r="G39" s="21" t="inlineStr">
        <is>
          <t>flag</t>
        </is>
      </c>
      <c r="I39" s="65" t="n"/>
      <c r="O39" s="33" t="n"/>
      <c r="P39" s="84">
        <f>INDEX(Inputs!$P$208:$BB$208,MATCH('Costs &amp; Revenue'!P$5,Inputs!$P$5:$BB$5,0))</f>
        <v/>
      </c>
      <c r="Q39" s="84">
        <f>INDEX(Inputs!$P$208:$BB$208,MATCH('Costs &amp; Revenue'!Q$5,Inputs!$P$5:$BB$5,0))</f>
        <v/>
      </c>
      <c r="R39" s="84">
        <f>INDEX(Inputs!$P$208:$BB$208,MATCH('Costs &amp; Revenue'!R$5,Inputs!$P$5:$BB$5,0))</f>
        <v/>
      </c>
      <c r="S39" s="84">
        <f>INDEX(Inputs!$P$208:$BB$208,MATCH('Costs &amp; Revenue'!S$5,Inputs!$P$5:$BB$5,0))</f>
        <v/>
      </c>
      <c r="T39" s="84">
        <f>INDEX(Inputs!$P$208:$BB$208,MATCH('Costs &amp; Revenue'!T$5,Inputs!$P$5:$BB$5,0))</f>
        <v/>
      </c>
      <c r="U39" s="84">
        <f>INDEX(Inputs!$P$208:$BB$208,MATCH('Costs &amp; Revenue'!U$5,Inputs!$P$5:$BB$5,0))</f>
        <v/>
      </c>
      <c r="V39" s="84">
        <f>INDEX(Inputs!$P$208:$BB$208,MATCH('Costs &amp; Revenue'!V$5,Inputs!$P$5:$BB$5,0))</f>
        <v/>
      </c>
      <c r="W39" s="84">
        <f>INDEX(Inputs!$P$208:$BB$208,MATCH('Costs &amp; Revenue'!W$5,Inputs!$P$5:$BB$5,0))</f>
        <v/>
      </c>
      <c r="X39" s="84">
        <f>INDEX(Inputs!$P$208:$BB$208,MATCH('Costs &amp; Revenue'!X$5,Inputs!$P$5:$BB$5,0))</f>
        <v/>
      </c>
      <c r="Y39" s="84">
        <f>INDEX(Inputs!$P$208:$BB$208,MATCH('Costs &amp; Revenue'!Y$5,Inputs!$P$5:$BB$5,0))</f>
        <v/>
      </c>
      <c r="Z39" s="84">
        <f>INDEX(Inputs!$P$208:$BB$208,MATCH('Costs &amp; Revenue'!Z$5,Inputs!$P$5:$BB$5,0))</f>
        <v/>
      </c>
      <c r="AA39" s="84">
        <f>INDEX(Inputs!$P$208:$BB$208,MATCH('Costs &amp; Revenue'!AA$5,Inputs!$P$5:$BB$5,0))</f>
        <v/>
      </c>
      <c r="AB39" s="84">
        <f>INDEX(Inputs!$P$208:$BB$208,MATCH('Costs &amp; Revenue'!AB$5,Inputs!$P$5:$BB$5,0))</f>
        <v/>
      </c>
      <c r="AC39" s="84">
        <f>INDEX(Inputs!$P$208:$BB$208,MATCH('Costs &amp; Revenue'!AC$5,Inputs!$P$5:$BB$5,0))</f>
        <v/>
      </c>
      <c r="AD39" s="84">
        <f>INDEX(Inputs!$P$208:$BB$208,MATCH('Costs &amp; Revenue'!AD$5,Inputs!$P$5:$BB$5,0))</f>
        <v/>
      </c>
      <c r="AE39" s="84">
        <f>INDEX(Inputs!$P$208:$BB$208,MATCH('Costs &amp; Revenue'!AE$5,Inputs!$P$5:$BB$5,0))</f>
        <v/>
      </c>
      <c r="AF39" s="84">
        <f>INDEX(Inputs!$P$208:$BB$208,MATCH('Costs &amp; Revenue'!AF$5,Inputs!$P$5:$BB$5,0))</f>
        <v/>
      </c>
      <c r="AG39" s="84">
        <f>INDEX(Inputs!$P$208:$BB$208,MATCH('Costs &amp; Revenue'!AG$5,Inputs!$P$5:$BB$5,0))</f>
        <v/>
      </c>
      <c r="AH39" s="84">
        <f>INDEX(Inputs!$P$208:$BB$208,MATCH('Costs &amp; Revenue'!AH$5,Inputs!$P$5:$BB$5,0))</f>
        <v/>
      </c>
      <c r="AI39" s="84">
        <f>INDEX(Inputs!$P$208:$BB$208,MATCH('Costs &amp; Revenue'!AI$5,Inputs!$P$5:$BB$5,0))</f>
        <v/>
      </c>
      <c r="AJ39" s="84">
        <f>INDEX(Inputs!$P$208:$BB$208,MATCH('Costs &amp; Revenue'!AJ$5,Inputs!$P$5:$BB$5,0))</f>
        <v/>
      </c>
      <c r="AK39" s="84">
        <f>INDEX(Inputs!$P$208:$BB$208,MATCH('Costs &amp; Revenue'!AK$5,Inputs!$P$5:$BB$5,0))</f>
        <v/>
      </c>
      <c r="AL39" s="84">
        <f>INDEX(Inputs!$P$208:$BB$208,MATCH('Costs &amp; Revenue'!AL$5,Inputs!$P$5:$BB$5,0))</f>
        <v/>
      </c>
      <c r="AM39" s="84">
        <f>INDEX(Inputs!$P$208:$BB$208,MATCH('Costs &amp; Revenue'!AM$5,Inputs!$P$5:$BB$5,0))</f>
        <v/>
      </c>
      <c r="AN39" s="84">
        <f>INDEX(Inputs!$P$208:$BB$208,MATCH('Costs &amp; Revenue'!AN$5,Inputs!$P$5:$BB$5,0))</f>
        <v/>
      </c>
      <c r="AO39" s="84">
        <f>INDEX(Inputs!$P$208:$BB$208,MATCH('Costs &amp; Revenue'!AO$5,Inputs!$P$5:$BB$5,0))</f>
        <v/>
      </c>
      <c r="AP39" s="84">
        <f>INDEX(Inputs!$P$208:$BB$208,MATCH('Costs &amp; Revenue'!AP$5,Inputs!$P$5:$BB$5,0))</f>
        <v/>
      </c>
      <c r="AQ39" s="84">
        <f>INDEX(Inputs!$P$208:$BB$208,MATCH('Costs &amp; Revenue'!AQ$5,Inputs!$P$5:$BB$5,0))</f>
        <v/>
      </c>
      <c r="AR39" s="84">
        <f>INDEX(Inputs!$P$208:$BB$208,MATCH('Costs &amp; Revenue'!AR$5,Inputs!$P$5:$BB$5,0))</f>
        <v/>
      </c>
      <c r="AS39" s="84">
        <f>INDEX(Inputs!$P$208:$BB$208,MATCH('Costs &amp; Revenue'!AS$5,Inputs!$P$5:$BB$5,0))</f>
        <v/>
      </c>
      <c r="AT39" s="84">
        <f>INDEX(Inputs!$P$208:$BB$208,MATCH('Costs &amp; Revenue'!AT$5,Inputs!$P$5:$BB$5,0))</f>
        <v/>
      </c>
      <c r="AU39" s="84">
        <f>INDEX(Inputs!$P$208:$BB$208,MATCH('Costs &amp; Revenue'!AU$5,Inputs!$P$5:$BB$5,0))</f>
        <v/>
      </c>
      <c r="AV39" s="84">
        <f>INDEX(Inputs!$P$208:$BB$208,MATCH('Costs &amp; Revenue'!AV$5,Inputs!$P$5:$BB$5,0))</f>
        <v/>
      </c>
      <c r="AW39" s="84">
        <f>INDEX(Inputs!$P$208:$BB$208,MATCH('Costs &amp; Revenue'!AW$5,Inputs!$P$5:$BB$5,0))</f>
        <v/>
      </c>
      <c r="AX39" s="84">
        <f>INDEX(Inputs!$P$208:$BB$208,MATCH('Costs &amp; Revenue'!AX$5,Inputs!$P$5:$BB$5,0))</f>
        <v/>
      </c>
      <c r="AY39" s="84">
        <f>INDEX(Inputs!$P$208:$BB$208,MATCH('Costs &amp; Revenue'!AY$5,Inputs!$P$5:$BB$5,0))</f>
        <v/>
      </c>
      <c r="AZ39" s="84">
        <f>INDEX(Inputs!$P$208:$BB$208,MATCH('Costs &amp; Revenue'!AZ$5,Inputs!$P$5:$BB$5,0))</f>
        <v/>
      </c>
      <c r="BA39" s="84">
        <f>INDEX(Inputs!$P$208:$BB$208,MATCH('Costs &amp; Revenue'!BA$5,Inputs!$P$5:$BB$5,0))</f>
        <v/>
      </c>
      <c r="BB39" s="84">
        <f>INDEX(Inputs!$P$208:$BB$208,MATCH('Costs &amp; Revenue'!BB$5,Inputs!$P$5:$BB$5,0))</f>
        <v/>
      </c>
    </row>
    <row r="40" ht="15" customHeight="1">
      <c r="I40" s="65" t="n"/>
      <c r="O40" s="33" t="n"/>
      <c r="P40" s="84" t="n"/>
      <c r="Q40" s="84" t="n"/>
      <c r="R40" s="84" t="n"/>
      <c r="S40" s="84" t="n"/>
      <c r="T40" s="84" t="n"/>
      <c r="U40" s="84" t="n"/>
      <c r="V40" s="84" t="n"/>
      <c r="W40" s="84" t="n"/>
      <c r="X40" s="84" t="n"/>
      <c r="Y40" s="84" t="n"/>
      <c r="Z40" s="84" t="n"/>
      <c r="AA40" s="84" t="n"/>
      <c r="AB40" s="84" t="n"/>
      <c r="AC40" s="84" t="n"/>
      <c r="AD40" s="84" t="n"/>
      <c r="AE40" s="84" t="n"/>
      <c r="AF40" s="84" t="n"/>
      <c r="AG40" s="84" t="n"/>
      <c r="AH40" s="84" t="n"/>
      <c r="AI40" s="84" t="n"/>
      <c r="AJ40" s="84" t="n"/>
      <c r="AK40" s="84" t="n"/>
      <c r="AL40" s="84" t="n"/>
      <c r="AM40" s="84" t="n"/>
      <c r="AN40" s="84" t="n"/>
      <c r="AO40" s="84" t="n"/>
      <c r="AP40" s="84" t="n"/>
      <c r="AQ40" s="84" t="n"/>
      <c r="AR40" s="84" t="n"/>
      <c r="AS40" s="84" t="n"/>
      <c r="AT40" s="84" t="n"/>
      <c r="AU40" s="84" t="n"/>
      <c r="AV40" s="84" t="n"/>
      <c r="AW40" s="84" t="n"/>
      <c r="AX40" s="84" t="n"/>
      <c r="AY40" s="84" t="n"/>
      <c r="AZ40" s="84" t="n"/>
      <c r="BA40" s="84" t="n"/>
      <c r="BB40" s="84" t="n"/>
    </row>
    <row r="41" ht="15" customHeight="1">
      <c r="E41" s="86" t="inlineStr">
        <is>
          <t>Second DCFt adjustment</t>
        </is>
      </c>
      <c r="I41" s="65" t="n"/>
      <c r="P41" s="45" t="n"/>
      <c r="Q41" s="45" t="n"/>
      <c r="R41" s="45" t="n"/>
      <c r="S41" s="45" t="n"/>
      <c r="T41" s="45" t="n"/>
      <c r="U41" s="45" t="n"/>
      <c r="V41" s="45" t="n"/>
      <c r="W41" s="45" t="n"/>
      <c r="X41" s="45" t="n"/>
      <c r="Y41" s="45" t="n"/>
      <c r="Z41" s="45" t="n"/>
      <c r="AA41" s="45" t="n"/>
      <c r="AB41" s="45" t="n"/>
      <c r="AC41" s="45" t="n"/>
      <c r="AD41" s="45" t="n"/>
      <c r="AE41" s="45" t="n"/>
      <c r="AF41" s="45" t="n"/>
      <c r="AG41" s="45" t="n"/>
      <c r="AH41" s="45" t="n"/>
      <c r="AI41" s="45" t="n"/>
      <c r="AJ41" s="45" t="n"/>
      <c r="AK41" s="45" t="n"/>
      <c r="AL41" s="45" t="n"/>
      <c r="AM41" s="45" t="n"/>
      <c r="AN41" s="45" t="n"/>
      <c r="AO41" s="45" t="n"/>
      <c r="AP41" s="45" t="n"/>
      <c r="AQ41" s="45" t="n"/>
      <c r="AR41" s="45" t="n"/>
      <c r="AS41" s="45" t="n"/>
      <c r="AT41" s="45" t="n"/>
      <c r="AU41" s="45" t="n"/>
      <c r="AV41" s="45" t="n"/>
      <c r="AW41" s="45" t="n"/>
      <c r="AX41" s="45" t="n"/>
      <c r="AY41" s="45" t="n"/>
      <c r="AZ41" s="45" t="n"/>
      <c r="BA41" s="45" t="n"/>
      <c r="BB41" s="45" t="n"/>
    </row>
    <row r="42" ht="15" customHeight="1">
      <c r="E42" s="21" t="inlineStr">
        <is>
          <t>Value</t>
        </is>
      </c>
      <c r="G42" s="5">
        <f>base_year</f>
        <v/>
      </c>
      <c r="I42" s="84">
        <f>Inputs!I193</f>
        <v/>
      </c>
      <c r="P42" s="45" t="n"/>
      <c r="Q42" s="45" t="n"/>
      <c r="R42" s="45" t="n"/>
      <c r="S42" s="45" t="n"/>
      <c r="T42" s="45" t="n"/>
      <c r="U42" s="45" t="n"/>
      <c r="V42" s="45" t="n"/>
      <c r="W42" s="45" t="n"/>
      <c r="X42" s="45" t="n"/>
      <c r="Y42" s="45" t="n"/>
      <c r="Z42" s="45" t="n"/>
      <c r="AA42" s="45" t="n"/>
      <c r="AB42" s="45" t="n"/>
      <c r="AC42" s="45" t="n"/>
      <c r="AD42" s="45" t="n"/>
      <c r="AE42" s="45" t="n"/>
      <c r="AF42" s="45" t="n"/>
      <c r="AG42" s="45" t="n"/>
      <c r="AH42" s="45" t="n"/>
      <c r="AI42" s="45" t="n"/>
      <c r="AJ42" s="45" t="n"/>
      <c r="AK42" s="45" t="n"/>
      <c r="AL42" s="45" t="n"/>
      <c r="AM42" s="45" t="n"/>
      <c r="AN42" s="45" t="n"/>
      <c r="AO42" s="45" t="n"/>
      <c r="AP42" s="45" t="n"/>
      <c r="AQ42" s="45" t="n"/>
      <c r="AR42" s="45" t="n"/>
      <c r="AS42" s="45" t="n"/>
      <c r="AT42" s="45" t="n"/>
      <c r="AU42" s="45" t="n"/>
      <c r="AV42" s="45" t="n"/>
      <c r="AW42" s="45" t="n"/>
      <c r="AX42" s="45" t="n"/>
      <c r="AY42" s="45" t="n"/>
      <c r="AZ42" s="45" t="n"/>
      <c r="BA42" s="45" t="n"/>
      <c r="BB42" s="45" t="n"/>
    </row>
    <row r="43" ht="15" customHeight="1">
      <c r="E43" s="21" t="inlineStr">
        <is>
          <t>Activity flag</t>
        </is>
      </c>
      <c r="G43" s="21" t="inlineStr">
        <is>
          <t>flag</t>
        </is>
      </c>
      <c r="I43" s="65" t="n"/>
      <c r="O43" s="33" t="n"/>
      <c r="P43" s="84">
        <f>INDEX(Inputs!$P$209:$BB$209,MATCH('Costs &amp; Revenue'!P$5,Inputs!$P$5:$BB$5,0))</f>
        <v/>
      </c>
      <c r="Q43" s="84">
        <f>INDEX(Inputs!$P$209:$BB$209,MATCH('Costs &amp; Revenue'!Q$5,Inputs!$P$5:$BB$5,0))</f>
        <v/>
      </c>
      <c r="R43" s="84">
        <f>INDEX(Inputs!$P$209:$BB$209,MATCH('Costs &amp; Revenue'!R$5,Inputs!$P$5:$BB$5,0))</f>
        <v/>
      </c>
      <c r="S43" s="84">
        <f>INDEX(Inputs!$P$209:$BB$209,MATCH('Costs &amp; Revenue'!S$5,Inputs!$P$5:$BB$5,0))</f>
        <v/>
      </c>
      <c r="T43" s="84">
        <f>INDEX(Inputs!$P$209:$BB$209,MATCH('Costs &amp; Revenue'!T$5,Inputs!$P$5:$BB$5,0))</f>
        <v/>
      </c>
      <c r="U43" s="84">
        <f>INDEX(Inputs!$P$209:$BB$209,MATCH('Costs &amp; Revenue'!U$5,Inputs!$P$5:$BB$5,0))</f>
        <v/>
      </c>
      <c r="V43" s="84">
        <f>INDEX(Inputs!$P$209:$BB$209,MATCH('Costs &amp; Revenue'!V$5,Inputs!$P$5:$BB$5,0))</f>
        <v/>
      </c>
      <c r="W43" s="84">
        <f>INDEX(Inputs!$P$209:$BB$209,MATCH('Costs &amp; Revenue'!W$5,Inputs!$P$5:$BB$5,0))</f>
        <v/>
      </c>
      <c r="X43" s="84">
        <f>INDEX(Inputs!$P$209:$BB$209,MATCH('Costs &amp; Revenue'!X$5,Inputs!$P$5:$BB$5,0))</f>
        <v/>
      </c>
      <c r="Y43" s="84">
        <f>INDEX(Inputs!$P$209:$BB$209,MATCH('Costs &amp; Revenue'!Y$5,Inputs!$P$5:$BB$5,0))</f>
        <v/>
      </c>
      <c r="Z43" s="84">
        <f>INDEX(Inputs!$P$209:$BB$209,MATCH('Costs &amp; Revenue'!Z$5,Inputs!$P$5:$BB$5,0))</f>
        <v/>
      </c>
      <c r="AA43" s="84">
        <f>INDEX(Inputs!$P$209:$BB$209,MATCH('Costs &amp; Revenue'!AA$5,Inputs!$P$5:$BB$5,0))</f>
        <v/>
      </c>
      <c r="AB43" s="84">
        <f>INDEX(Inputs!$P$209:$BB$209,MATCH('Costs &amp; Revenue'!AB$5,Inputs!$P$5:$BB$5,0))</f>
        <v/>
      </c>
      <c r="AC43" s="84">
        <f>INDEX(Inputs!$P$209:$BB$209,MATCH('Costs &amp; Revenue'!AC$5,Inputs!$P$5:$BB$5,0))</f>
        <v/>
      </c>
      <c r="AD43" s="84">
        <f>INDEX(Inputs!$P$209:$BB$209,MATCH('Costs &amp; Revenue'!AD$5,Inputs!$P$5:$BB$5,0))</f>
        <v/>
      </c>
      <c r="AE43" s="84">
        <f>INDEX(Inputs!$P$209:$BB$209,MATCH('Costs &amp; Revenue'!AE$5,Inputs!$P$5:$BB$5,0))</f>
        <v/>
      </c>
      <c r="AF43" s="84">
        <f>INDEX(Inputs!$P$209:$BB$209,MATCH('Costs &amp; Revenue'!AF$5,Inputs!$P$5:$BB$5,0))</f>
        <v/>
      </c>
      <c r="AG43" s="84">
        <f>INDEX(Inputs!$P$209:$BB$209,MATCH('Costs &amp; Revenue'!AG$5,Inputs!$P$5:$BB$5,0))</f>
        <v/>
      </c>
      <c r="AH43" s="84">
        <f>INDEX(Inputs!$P$209:$BB$209,MATCH('Costs &amp; Revenue'!AH$5,Inputs!$P$5:$BB$5,0))</f>
        <v/>
      </c>
      <c r="AI43" s="84">
        <f>INDEX(Inputs!$P$209:$BB$209,MATCH('Costs &amp; Revenue'!AI$5,Inputs!$P$5:$BB$5,0))</f>
        <v/>
      </c>
      <c r="AJ43" s="84">
        <f>INDEX(Inputs!$P$209:$BB$209,MATCH('Costs &amp; Revenue'!AJ$5,Inputs!$P$5:$BB$5,0))</f>
        <v/>
      </c>
      <c r="AK43" s="84">
        <f>INDEX(Inputs!$P$209:$BB$209,MATCH('Costs &amp; Revenue'!AK$5,Inputs!$P$5:$BB$5,0))</f>
        <v/>
      </c>
      <c r="AL43" s="84">
        <f>INDEX(Inputs!$P$209:$BB$209,MATCH('Costs &amp; Revenue'!AL$5,Inputs!$P$5:$BB$5,0))</f>
        <v/>
      </c>
      <c r="AM43" s="84">
        <f>INDEX(Inputs!$P$209:$BB$209,MATCH('Costs &amp; Revenue'!AM$5,Inputs!$P$5:$BB$5,0))</f>
        <v/>
      </c>
      <c r="AN43" s="84">
        <f>INDEX(Inputs!$P$209:$BB$209,MATCH('Costs &amp; Revenue'!AN$5,Inputs!$P$5:$BB$5,0))</f>
        <v/>
      </c>
      <c r="AO43" s="84">
        <f>INDEX(Inputs!$P$209:$BB$209,MATCH('Costs &amp; Revenue'!AO$5,Inputs!$P$5:$BB$5,0))</f>
        <v/>
      </c>
      <c r="AP43" s="84">
        <f>INDEX(Inputs!$P$209:$BB$209,MATCH('Costs &amp; Revenue'!AP$5,Inputs!$P$5:$BB$5,0))</f>
        <v/>
      </c>
      <c r="AQ43" s="84">
        <f>INDEX(Inputs!$P$209:$BB$209,MATCH('Costs &amp; Revenue'!AQ$5,Inputs!$P$5:$BB$5,0))</f>
        <v/>
      </c>
      <c r="AR43" s="84">
        <f>INDEX(Inputs!$P$209:$BB$209,MATCH('Costs &amp; Revenue'!AR$5,Inputs!$P$5:$BB$5,0))</f>
        <v/>
      </c>
      <c r="AS43" s="84">
        <f>INDEX(Inputs!$P$209:$BB$209,MATCH('Costs &amp; Revenue'!AS$5,Inputs!$P$5:$BB$5,0))</f>
        <v/>
      </c>
      <c r="AT43" s="84">
        <f>INDEX(Inputs!$P$209:$BB$209,MATCH('Costs &amp; Revenue'!AT$5,Inputs!$P$5:$BB$5,0))</f>
        <v/>
      </c>
      <c r="AU43" s="84">
        <f>INDEX(Inputs!$P$209:$BB$209,MATCH('Costs &amp; Revenue'!AU$5,Inputs!$P$5:$BB$5,0))</f>
        <v/>
      </c>
      <c r="AV43" s="84">
        <f>INDEX(Inputs!$P$209:$BB$209,MATCH('Costs &amp; Revenue'!AV$5,Inputs!$P$5:$BB$5,0))</f>
        <v/>
      </c>
      <c r="AW43" s="84">
        <f>INDEX(Inputs!$P$209:$BB$209,MATCH('Costs &amp; Revenue'!AW$5,Inputs!$P$5:$BB$5,0))</f>
        <v/>
      </c>
      <c r="AX43" s="84">
        <f>INDEX(Inputs!$P$209:$BB$209,MATCH('Costs &amp; Revenue'!AX$5,Inputs!$P$5:$BB$5,0))</f>
        <v/>
      </c>
      <c r="AY43" s="84">
        <f>INDEX(Inputs!$P$209:$BB$209,MATCH('Costs &amp; Revenue'!AY$5,Inputs!$P$5:$BB$5,0))</f>
        <v/>
      </c>
      <c r="AZ43" s="84">
        <f>INDEX(Inputs!$P$209:$BB$209,MATCH('Costs &amp; Revenue'!AZ$5,Inputs!$P$5:$BB$5,0))</f>
        <v/>
      </c>
      <c r="BA43" s="84">
        <f>INDEX(Inputs!$P$209:$BB$209,MATCH('Costs &amp; Revenue'!BA$5,Inputs!$P$5:$BB$5,0))</f>
        <v/>
      </c>
      <c r="BB43" s="84">
        <f>INDEX(Inputs!$P$209:$BB$209,MATCH('Costs &amp; Revenue'!BB$5,Inputs!$P$5:$BB$5,0))</f>
        <v/>
      </c>
    </row>
    <row r="44" ht="15" customHeight="1">
      <c r="I44" s="65" t="n"/>
      <c r="O44" s="33" t="n"/>
      <c r="P44" s="84" t="n"/>
      <c r="Q44" s="84" t="n"/>
      <c r="R44" s="84" t="n"/>
      <c r="S44" s="84" t="n"/>
      <c r="T44" s="84" t="n"/>
      <c r="U44" s="84" t="n"/>
      <c r="V44" s="84" t="n"/>
      <c r="W44" s="84" t="n"/>
      <c r="X44" s="84" t="n"/>
      <c r="Y44" s="84" t="n"/>
      <c r="Z44" s="84" t="n"/>
      <c r="AA44" s="84" t="n"/>
      <c r="AB44" s="84" t="n"/>
      <c r="AC44" s="84" t="n"/>
      <c r="AD44" s="84" t="n"/>
      <c r="AE44" s="84" t="n"/>
      <c r="AF44" s="84" t="n"/>
      <c r="AG44" s="84" t="n"/>
      <c r="AH44" s="84" t="n"/>
      <c r="AI44" s="84" t="n"/>
      <c r="AJ44" s="84" t="n"/>
      <c r="AK44" s="84" t="n"/>
      <c r="AL44" s="84" t="n"/>
      <c r="AM44" s="84" t="n"/>
      <c r="AN44" s="84" t="n"/>
      <c r="AO44" s="84" t="n"/>
      <c r="AP44" s="84" t="n"/>
      <c r="AQ44" s="84" t="n"/>
      <c r="AR44" s="84" t="n"/>
      <c r="AS44" s="84" t="n"/>
      <c r="AT44" s="84" t="n"/>
      <c r="AU44" s="84" t="n"/>
      <c r="AV44" s="84" t="n"/>
      <c r="AW44" s="84" t="n"/>
      <c r="AX44" s="84" t="n"/>
      <c r="AY44" s="84" t="n"/>
      <c r="AZ44" s="84" t="n"/>
      <c r="BA44" s="84" t="n"/>
      <c r="BB44" s="84" t="n"/>
    </row>
    <row r="45" ht="15" customHeight="1">
      <c r="E45" s="86" t="inlineStr">
        <is>
          <t>Third DCFt adjustment</t>
        </is>
      </c>
      <c r="I45" s="65" t="n"/>
      <c r="P45" s="45" t="n"/>
      <c r="Q45" s="45" t="n"/>
      <c r="R45" s="45" t="n"/>
      <c r="S45" s="45" t="n"/>
      <c r="T45" s="45" t="n"/>
      <c r="U45" s="45" t="n"/>
      <c r="V45" s="45" t="n"/>
      <c r="W45" s="45" t="n"/>
      <c r="X45" s="45" t="n"/>
      <c r="Y45" s="45" t="n"/>
      <c r="Z45" s="45" t="n"/>
      <c r="AA45" s="45" t="n"/>
      <c r="AB45" s="45" t="n"/>
      <c r="AC45" s="45" t="n"/>
      <c r="AD45" s="45" t="n"/>
      <c r="AE45" s="45" t="n"/>
      <c r="AF45" s="45" t="n"/>
      <c r="AG45" s="45" t="n"/>
      <c r="AH45" s="45" t="n"/>
      <c r="AI45" s="45" t="n"/>
      <c r="AJ45" s="45" t="n"/>
      <c r="AK45" s="45" t="n"/>
      <c r="AL45" s="45" t="n"/>
      <c r="AM45" s="45" t="n"/>
      <c r="AN45" s="45" t="n"/>
      <c r="AO45" s="45" t="n"/>
      <c r="AP45" s="45" t="n"/>
      <c r="AQ45" s="45" t="n"/>
      <c r="AR45" s="45" t="n"/>
      <c r="AS45" s="45" t="n"/>
      <c r="AT45" s="45" t="n"/>
      <c r="AU45" s="45" t="n"/>
      <c r="AV45" s="45" t="n"/>
      <c r="AW45" s="45" t="n"/>
      <c r="AX45" s="45" t="n"/>
      <c r="AY45" s="45" t="n"/>
      <c r="AZ45" s="45" t="n"/>
      <c r="BA45" s="45" t="n"/>
      <c r="BB45" s="45" t="n"/>
    </row>
    <row r="46" ht="15" customHeight="1">
      <c r="E46" s="21" t="inlineStr">
        <is>
          <t>Value</t>
        </is>
      </c>
      <c r="G46" s="5">
        <f>base_year</f>
        <v/>
      </c>
      <c r="I46" s="84">
        <f>Inputs!I198</f>
        <v/>
      </c>
      <c r="P46" s="45" t="n"/>
      <c r="Q46" s="45" t="n"/>
      <c r="R46" s="45" t="n"/>
      <c r="S46" s="45" t="n"/>
      <c r="T46" s="45" t="n"/>
      <c r="U46" s="45" t="n"/>
      <c r="V46" s="45" t="n"/>
      <c r="W46" s="45" t="n"/>
      <c r="X46" s="45" t="n"/>
      <c r="Y46" s="45" t="n"/>
      <c r="Z46" s="45" t="n"/>
      <c r="AA46" s="45" t="n"/>
      <c r="AB46" s="45" t="n"/>
      <c r="AC46" s="45" t="n"/>
      <c r="AD46" s="45" t="n"/>
      <c r="AE46" s="45" t="n"/>
      <c r="AF46" s="45" t="n"/>
      <c r="AG46" s="45" t="n"/>
      <c r="AH46" s="45" t="n"/>
      <c r="AI46" s="45" t="n"/>
      <c r="AJ46" s="45" t="n"/>
      <c r="AK46" s="45" t="n"/>
      <c r="AL46" s="45" t="n"/>
      <c r="AM46" s="45" t="n"/>
      <c r="AN46" s="45" t="n"/>
      <c r="AO46" s="45" t="n"/>
      <c r="AP46" s="45" t="n"/>
      <c r="AQ46" s="45" t="n"/>
      <c r="AR46" s="45" t="n"/>
      <c r="AS46" s="45" t="n"/>
      <c r="AT46" s="45" t="n"/>
      <c r="AU46" s="45" t="n"/>
      <c r="AV46" s="45" t="n"/>
      <c r="AW46" s="45" t="n"/>
      <c r="AX46" s="45" t="n"/>
      <c r="AY46" s="45" t="n"/>
      <c r="AZ46" s="45" t="n"/>
      <c r="BA46" s="45" t="n"/>
      <c r="BB46" s="45" t="n"/>
    </row>
    <row r="47" ht="15" customHeight="1">
      <c r="E47" s="21" t="inlineStr">
        <is>
          <t>Activity flag</t>
        </is>
      </c>
      <c r="G47" s="21" t="inlineStr">
        <is>
          <t>flag</t>
        </is>
      </c>
      <c r="I47" s="65" t="n"/>
      <c r="O47" s="33" t="n"/>
      <c r="P47" s="84">
        <f>INDEX(Inputs!$P$210:$BB$210,MATCH('Costs &amp; Revenue'!P$5,Inputs!$P$5:$BB$5,0))</f>
        <v/>
      </c>
      <c r="Q47" s="84">
        <f>INDEX(Inputs!$P$210:$BB$210,MATCH('Costs &amp; Revenue'!Q$5,Inputs!$P$5:$BB$5,0))</f>
        <v/>
      </c>
      <c r="R47" s="84">
        <f>INDEX(Inputs!$P$210:$BB$210,MATCH('Costs &amp; Revenue'!R$5,Inputs!$P$5:$BB$5,0))</f>
        <v/>
      </c>
      <c r="S47" s="84">
        <f>INDEX(Inputs!$P$210:$BB$210,MATCH('Costs &amp; Revenue'!S$5,Inputs!$P$5:$BB$5,0))</f>
        <v/>
      </c>
      <c r="T47" s="84">
        <f>INDEX(Inputs!$P$210:$BB$210,MATCH('Costs &amp; Revenue'!T$5,Inputs!$P$5:$BB$5,0))</f>
        <v/>
      </c>
      <c r="U47" s="84">
        <f>INDEX(Inputs!$P$210:$BB$210,MATCH('Costs &amp; Revenue'!U$5,Inputs!$P$5:$BB$5,0))</f>
        <v/>
      </c>
      <c r="V47" s="84">
        <f>INDEX(Inputs!$P$210:$BB$210,MATCH('Costs &amp; Revenue'!V$5,Inputs!$P$5:$BB$5,0))</f>
        <v/>
      </c>
      <c r="W47" s="84">
        <f>INDEX(Inputs!$P$210:$BB$210,MATCH('Costs &amp; Revenue'!W$5,Inputs!$P$5:$BB$5,0))</f>
        <v/>
      </c>
      <c r="X47" s="84">
        <f>INDEX(Inputs!$P$210:$BB$210,MATCH('Costs &amp; Revenue'!X$5,Inputs!$P$5:$BB$5,0))</f>
        <v/>
      </c>
      <c r="Y47" s="84">
        <f>INDEX(Inputs!$P$210:$BB$210,MATCH('Costs &amp; Revenue'!Y$5,Inputs!$P$5:$BB$5,0))</f>
        <v/>
      </c>
      <c r="Z47" s="84">
        <f>INDEX(Inputs!$P$210:$BB$210,MATCH('Costs &amp; Revenue'!Z$5,Inputs!$P$5:$BB$5,0))</f>
        <v/>
      </c>
      <c r="AA47" s="84">
        <f>INDEX(Inputs!$P$210:$BB$210,MATCH('Costs &amp; Revenue'!AA$5,Inputs!$P$5:$BB$5,0))</f>
        <v/>
      </c>
      <c r="AB47" s="84">
        <f>INDEX(Inputs!$P$210:$BB$210,MATCH('Costs &amp; Revenue'!AB$5,Inputs!$P$5:$BB$5,0))</f>
        <v/>
      </c>
      <c r="AC47" s="84">
        <f>INDEX(Inputs!$P$210:$BB$210,MATCH('Costs &amp; Revenue'!AC$5,Inputs!$P$5:$BB$5,0))</f>
        <v/>
      </c>
      <c r="AD47" s="84">
        <f>INDEX(Inputs!$P$210:$BB$210,MATCH('Costs &amp; Revenue'!AD$5,Inputs!$P$5:$BB$5,0))</f>
        <v/>
      </c>
      <c r="AE47" s="84">
        <f>INDEX(Inputs!$P$210:$BB$210,MATCH('Costs &amp; Revenue'!AE$5,Inputs!$P$5:$BB$5,0))</f>
        <v/>
      </c>
      <c r="AF47" s="84">
        <f>INDEX(Inputs!$P$210:$BB$210,MATCH('Costs &amp; Revenue'!AF$5,Inputs!$P$5:$BB$5,0))</f>
        <v/>
      </c>
      <c r="AG47" s="84">
        <f>INDEX(Inputs!$P$210:$BB$210,MATCH('Costs &amp; Revenue'!AG$5,Inputs!$P$5:$BB$5,0))</f>
        <v/>
      </c>
      <c r="AH47" s="84">
        <f>INDEX(Inputs!$P$210:$BB$210,MATCH('Costs &amp; Revenue'!AH$5,Inputs!$P$5:$BB$5,0))</f>
        <v/>
      </c>
      <c r="AI47" s="84">
        <f>INDEX(Inputs!$P$210:$BB$210,MATCH('Costs &amp; Revenue'!AI$5,Inputs!$P$5:$BB$5,0))</f>
        <v/>
      </c>
      <c r="AJ47" s="84">
        <f>INDEX(Inputs!$P$210:$BB$210,MATCH('Costs &amp; Revenue'!AJ$5,Inputs!$P$5:$BB$5,0))</f>
        <v/>
      </c>
      <c r="AK47" s="84">
        <f>INDEX(Inputs!$P$210:$BB$210,MATCH('Costs &amp; Revenue'!AK$5,Inputs!$P$5:$BB$5,0))</f>
        <v/>
      </c>
      <c r="AL47" s="84">
        <f>INDEX(Inputs!$P$210:$BB$210,MATCH('Costs &amp; Revenue'!AL$5,Inputs!$P$5:$BB$5,0))</f>
        <v/>
      </c>
      <c r="AM47" s="84">
        <f>INDEX(Inputs!$P$210:$BB$210,MATCH('Costs &amp; Revenue'!AM$5,Inputs!$P$5:$BB$5,0))</f>
        <v/>
      </c>
      <c r="AN47" s="84">
        <f>INDEX(Inputs!$P$210:$BB$210,MATCH('Costs &amp; Revenue'!AN$5,Inputs!$P$5:$BB$5,0))</f>
        <v/>
      </c>
      <c r="AO47" s="84">
        <f>INDEX(Inputs!$P$210:$BB$210,MATCH('Costs &amp; Revenue'!AO$5,Inputs!$P$5:$BB$5,0))</f>
        <v/>
      </c>
      <c r="AP47" s="84">
        <f>INDEX(Inputs!$P$210:$BB$210,MATCH('Costs &amp; Revenue'!AP$5,Inputs!$P$5:$BB$5,0))</f>
        <v/>
      </c>
      <c r="AQ47" s="84">
        <f>INDEX(Inputs!$P$210:$BB$210,MATCH('Costs &amp; Revenue'!AQ$5,Inputs!$P$5:$BB$5,0))</f>
        <v/>
      </c>
      <c r="AR47" s="84">
        <f>INDEX(Inputs!$P$210:$BB$210,MATCH('Costs &amp; Revenue'!AR$5,Inputs!$P$5:$BB$5,0))</f>
        <v/>
      </c>
      <c r="AS47" s="84">
        <f>INDEX(Inputs!$P$210:$BB$210,MATCH('Costs &amp; Revenue'!AS$5,Inputs!$P$5:$BB$5,0))</f>
        <v/>
      </c>
      <c r="AT47" s="84">
        <f>INDEX(Inputs!$P$210:$BB$210,MATCH('Costs &amp; Revenue'!AT$5,Inputs!$P$5:$BB$5,0))</f>
        <v/>
      </c>
      <c r="AU47" s="84">
        <f>INDEX(Inputs!$P$210:$BB$210,MATCH('Costs &amp; Revenue'!AU$5,Inputs!$P$5:$BB$5,0))</f>
        <v/>
      </c>
      <c r="AV47" s="84">
        <f>INDEX(Inputs!$P$210:$BB$210,MATCH('Costs &amp; Revenue'!AV$5,Inputs!$P$5:$BB$5,0))</f>
        <v/>
      </c>
      <c r="AW47" s="84">
        <f>INDEX(Inputs!$P$210:$BB$210,MATCH('Costs &amp; Revenue'!AW$5,Inputs!$P$5:$BB$5,0))</f>
        <v/>
      </c>
      <c r="AX47" s="84">
        <f>INDEX(Inputs!$P$210:$BB$210,MATCH('Costs &amp; Revenue'!AX$5,Inputs!$P$5:$BB$5,0))</f>
        <v/>
      </c>
      <c r="AY47" s="84">
        <f>INDEX(Inputs!$P$210:$BB$210,MATCH('Costs &amp; Revenue'!AY$5,Inputs!$P$5:$BB$5,0))</f>
        <v/>
      </c>
      <c r="AZ47" s="84">
        <f>INDEX(Inputs!$P$210:$BB$210,MATCH('Costs &amp; Revenue'!AZ$5,Inputs!$P$5:$BB$5,0))</f>
        <v/>
      </c>
      <c r="BA47" s="84">
        <f>INDEX(Inputs!$P$210:$BB$210,MATCH('Costs &amp; Revenue'!BA$5,Inputs!$P$5:$BB$5,0))</f>
        <v/>
      </c>
      <c r="BB47" s="84">
        <f>INDEX(Inputs!$P$210:$BB$210,MATCH('Costs &amp; Revenue'!BB$5,Inputs!$P$5:$BB$5,0))</f>
        <v/>
      </c>
    </row>
    <row r="48" ht="15" customHeight="1">
      <c r="I48" s="65" t="n"/>
      <c r="O48" s="33" t="n"/>
      <c r="P48" s="84" t="n"/>
      <c r="Q48" s="84" t="n"/>
      <c r="R48" s="84" t="n"/>
      <c r="S48" s="84" t="n"/>
      <c r="T48" s="84" t="n"/>
      <c r="U48" s="84" t="n"/>
      <c r="V48" s="84" t="n"/>
      <c r="W48" s="84" t="n"/>
      <c r="X48" s="84" t="n"/>
      <c r="Y48" s="84" t="n"/>
      <c r="Z48" s="84" t="n"/>
      <c r="AA48" s="84" t="n"/>
      <c r="AB48" s="84" t="n"/>
      <c r="AC48" s="84" t="n"/>
      <c r="AD48" s="84" t="n"/>
      <c r="AE48" s="84" t="n"/>
      <c r="AF48" s="84" t="n"/>
      <c r="AG48" s="84" t="n"/>
      <c r="AH48" s="84" t="n"/>
      <c r="AI48" s="84" t="n"/>
      <c r="AJ48" s="84" t="n"/>
      <c r="AK48" s="84" t="n"/>
      <c r="AL48" s="84" t="n"/>
      <c r="AM48" s="84" t="n"/>
      <c r="AN48" s="84" t="n"/>
      <c r="AO48" s="84" t="n"/>
      <c r="AP48" s="84" t="n"/>
      <c r="AQ48" s="84" t="n"/>
      <c r="AR48" s="84" t="n"/>
      <c r="AS48" s="84" t="n"/>
      <c r="AT48" s="84" t="n"/>
      <c r="AU48" s="84" t="n"/>
      <c r="AV48" s="84" t="n"/>
      <c r="AW48" s="84" t="n"/>
      <c r="AX48" s="84" t="n"/>
      <c r="AY48" s="84" t="n"/>
      <c r="AZ48" s="84" t="n"/>
      <c r="BA48" s="84" t="n"/>
      <c r="BB48" s="84" t="n"/>
    </row>
    <row r="49" ht="15" customHeight="1">
      <c r="E49" s="86" t="inlineStr">
        <is>
          <t>Fourth DCFt adjustment</t>
        </is>
      </c>
      <c r="I49" s="65" t="n"/>
      <c r="P49" s="45" t="n"/>
      <c r="Q49" s="45" t="n"/>
      <c r="R49" s="45" t="n"/>
      <c r="S49" s="45" t="n"/>
      <c r="T49" s="45" t="n"/>
      <c r="U49" s="45" t="n"/>
      <c r="V49" s="45" t="n"/>
      <c r="W49" s="45" t="n"/>
      <c r="X49" s="45" t="n"/>
      <c r="Y49" s="45" t="n"/>
      <c r="Z49" s="45" t="n"/>
      <c r="AA49" s="45" t="n"/>
      <c r="AB49" s="45" t="n"/>
      <c r="AC49" s="45" t="n"/>
      <c r="AD49" s="45" t="n"/>
      <c r="AE49" s="45" t="n"/>
      <c r="AF49" s="45" t="n"/>
      <c r="AG49" s="45" t="n"/>
      <c r="AH49" s="45" t="n"/>
      <c r="AI49" s="45" t="n"/>
      <c r="AJ49" s="45" t="n"/>
      <c r="AK49" s="45" t="n"/>
      <c r="AL49" s="45" t="n"/>
      <c r="AM49" s="45" t="n"/>
      <c r="AN49" s="45" t="n"/>
      <c r="AO49" s="45" t="n"/>
      <c r="AP49" s="45" t="n"/>
      <c r="AQ49" s="45" t="n"/>
      <c r="AR49" s="45" t="n"/>
      <c r="AS49" s="45" t="n"/>
      <c r="AT49" s="45" t="n"/>
      <c r="AU49" s="45" t="n"/>
      <c r="AV49" s="45" t="n"/>
      <c r="AW49" s="45" t="n"/>
      <c r="AX49" s="45" t="n"/>
      <c r="AY49" s="45" t="n"/>
      <c r="AZ49" s="45" t="n"/>
      <c r="BA49" s="45" t="n"/>
      <c r="BB49" s="45" t="n"/>
    </row>
    <row r="50" ht="15" customHeight="1">
      <c r="E50" s="21" t="inlineStr">
        <is>
          <t>Value</t>
        </is>
      </c>
      <c r="G50" s="5">
        <f>base_year</f>
        <v/>
      </c>
      <c r="I50" s="84">
        <f>Inputs!I203</f>
        <v/>
      </c>
      <c r="P50" s="45" t="n"/>
      <c r="Q50" s="45" t="n"/>
      <c r="R50" s="45" t="n"/>
      <c r="S50" s="45" t="n"/>
      <c r="T50" s="45" t="n"/>
      <c r="U50" s="45" t="n"/>
      <c r="V50" s="45" t="n"/>
      <c r="W50" s="45" t="n"/>
      <c r="X50" s="45" t="n"/>
      <c r="Y50" s="45" t="n"/>
      <c r="Z50" s="45" t="n"/>
      <c r="AA50" s="45" t="n"/>
      <c r="AB50" s="45" t="n"/>
      <c r="AC50" s="45" t="n"/>
      <c r="AD50" s="45" t="n"/>
      <c r="AE50" s="45" t="n"/>
      <c r="AF50" s="45" t="n"/>
      <c r="AG50" s="45" t="n"/>
      <c r="AH50" s="45" t="n"/>
      <c r="AI50" s="45" t="n"/>
      <c r="AJ50" s="45" t="n"/>
      <c r="AK50" s="45" t="n"/>
      <c r="AL50" s="45" t="n"/>
      <c r="AM50" s="45" t="n"/>
      <c r="AN50" s="45" t="n"/>
      <c r="AO50" s="45" t="n"/>
      <c r="AP50" s="45" t="n"/>
      <c r="AQ50" s="45" t="n"/>
      <c r="AR50" s="45" t="n"/>
      <c r="AS50" s="45" t="n"/>
      <c r="AT50" s="45" t="n"/>
      <c r="AU50" s="45" t="n"/>
      <c r="AV50" s="45" t="n"/>
      <c r="AW50" s="45" t="n"/>
      <c r="AX50" s="45" t="n"/>
      <c r="AY50" s="45" t="n"/>
      <c r="AZ50" s="45" t="n"/>
      <c r="BA50" s="45" t="n"/>
      <c r="BB50" s="45" t="n"/>
    </row>
    <row r="51" ht="15" customHeight="1">
      <c r="E51" s="21" t="inlineStr">
        <is>
          <t>Activity flag</t>
        </is>
      </c>
      <c r="G51" s="21" t="inlineStr">
        <is>
          <t>flag</t>
        </is>
      </c>
      <c r="O51" s="33" t="n"/>
      <c r="P51" s="84">
        <f>INDEX(Inputs!$P$211:$BB$211,MATCH('Costs &amp; Revenue'!P$5,Inputs!$P$5:$BB$5,0))</f>
        <v/>
      </c>
      <c r="Q51" s="84">
        <f>INDEX(Inputs!$P$211:$BB$211,MATCH('Costs &amp; Revenue'!Q$5,Inputs!$P$5:$BB$5,0))</f>
        <v/>
      </c>
      <c r="R51" s="84">
        <f>INDEX(Inputs!$P$211:$BB$211,MATCH('Costs &amp; Revenue'!R$5,Inputs!$P$5:$BB$5,0))</f>
        <v/>
      </c>
      <c r="S51" s="84">
        <f>INDEX(Inputs!$P$211:$BB$211,MATCH('Costs &amp; Revenue'!S$5,Inputs!$P$5:$BB$5,0))</f>
        <v/>
      </c>
      <c r="T51" s="84">
        <f>INDEX(Inputs!$P$211:$BB$211,MATCH('Costs &amp; Revenue'!T$5,Inputs!$P$5:$BB$5,0))</f>
        <v/>
      </c>
      <c r="U51" s="84">
        <f>INDEX(Inputs!$P$211:$BB$211,MATCH('Costs &amp; Revenue'!U$5,Inputs!$P$5:$BB$5,0))</f>
        <v/>
      </c>
      <c r="V51" s="84">
        <f>INDEX(Inputs!$P$211:$BB$211,MATCH('Costs &amp; Revenue'!V$5,Inputs!$P$5:$BB$5,0))</f>
        <v/>
      </c>
      <c r="W51" s="84">
        <f>INDEX(Inputs!$P$211:$BB$211,MATCH('Costs &amp; Revenue'!W$5,Inputs!$P$5:$BB$5,0))</f>
        <v/>
      </c>
      <c r="X51" s="84">
        <f>INDEX(Inputs!$P$211:$BB$211,MATCH('Costs &amp; Revenue'!X$5,Inputs!$P$5:$BB$5,0))</f>
        <v/>
      </c>
      <c r="Y51" s="84">
        <f>INDEX(Inputs!$P$211:$BB$211,MATCH('Costs &amp; Revenue'!Y$5,Inputs!$P$5:$BB$5,0))</f>
        <v/>
      </c>
      <c r="Z51" s="84">
        <f>INDEX(Inputs!$P$211:$BB$211,MATCH('Costs &amp; Revenue'!Z$5,Inputs!$P$5:$BB$5,0))</f>
        <v/>
      </c>
      <c r="AA51" s="84">
        <f>INDEX(Inputs!$P$211:$BB$211,MATCH('Costs &amp; Revenue'!AA$5,Inputs!$P$5:$BB$5,0))</f>
        <v/>
      </c>
      <c r="AB51" s="84">
        <f>INDEX(Inputs!$P$211:$BB$211,MATCH('Costs &amp; Revenue'!AB$5,Inputs!$P$5:$BB$5,0))</f>
        <v/>
      </c>
      <c r="AC51" s="84">
        <f>INDEX(Inputs!$P$211:$BB$211,MATCH('Costs &amp; Revenue'!AC$5,Inputs!$P$5:$BB$5,0))</f>
        <v/>
      </c>
      <c r="AD51" s="84">
        <f>INDEX(Inputs!$P$211:$BB$211,MATCH('Costs &amp; Revenue'!AD$5,Inputs!$P$5:$BB$5,0))</f>
        <v/>
      </c>
      <c r="AE51" s="84">
        <f>INDEX(Inputs!$P$211:$BB$211,MATCH('Costs &amp; Revenue'!AE$5,Inputs!$P$5:$BB$5,0))</f>
        <v/>
      </c>
      <c r="AF51" s="84">
        <f>INDEX(Inputs!$P$211:$BB$211,MATCH('Costs &amp; Revenue'!AF$5,Inputs!$P$5:$BB$5,0))</f>
        <v/>
      </c>
      <c r="AG51" s="84">
        <f>INDEX(Inputs!$P$211:$BB$211,MATCH('Costs &amp; Revenue'!AG$5,Inputs!$P$5:$BB$5,0))</f>
        <v/>
      </c>
      <c r="AH51" s="84">
        <f>INDEX(Inputs!$P$211:$BB$211,MATCH('Costs &amp; Revenue'!AH$5,Inputs!$P$5:$BB$5,0))</f>
        <v/>
      </c>
      <c r="AI51" s="84">
        <f>INDEX(Inputs!$P$211:$BB$211,MATCH('Costs &amp; Revenue'!AI$5,Inputs!$P$5:$BB$5,0))</f>
        <v/>
      </c>
      <c r="AJ51" s="84">
        <f>INDEX(Inputs!$P$211:$BB$211,MATCH('Costs &amp; Revenue'!AJ$5,Inputs!$P$5:$BB$5,0))</f>
        <v/>
      </c>
      <c r="AK51" s="84">
        <f>INDEX(Inputs!$P$211:$BB$211,MATCH('Costs &amp; Revenue'!AK$5,Inputs!$P$5:$BB$5,0))</f>
        <v/>
      </c>
      <c r="AL51" s="84">
        <f>INDEX(Inputs!$P$211:$BB$211,MATCH('Costs &amp; Revenue'!AL$5,Inputs!$P$5:$BB$5,0))</f>
        <v/>
      </c>
      <c r="AM51" s="84">
        <f>INDEX(Inputs!$P$211:$BB$211,MATCH('Costs &amp; Revenue'!AM$5,Inputs!$P$5:$BB$5,0))</f>
        <v/>
      </c>
      <c r="AN51" s="84">
        <f>INDEX(Inputs!$P$211:$BB$211,MATCH('Costs &amp; Revenue'!AN$5,Inputs!$P$5:$BB$5,0))</f>
        <v/>
      </c>
      <c r="AO51" s="84">
        <f>INDEX(Inputs!$P$211:$BB$211,MATCH('Costs &amp; Revenue'!AO$5,Inputs!$P$5:$BB$5,0))</f>
        <v/>
      </c>
      <c r="AP51" s="84">
        <f>INDEX(Inputs!$P$211:$BB$211,MATCH('Costs &amp; Revenue'!AP$5,Inputs!$P$5:$BB$5,0))</f>
        <v/>
      </c>
      <c r="AQ51" s="84">
        <f>INDEX(Inputs!$P$211:$BB$211,MATCH('Costs &amp; Revenue'!AQ$5,Inputs!$P$5:$BB$5,0))</f>
        <v/>
      </c>
      <c r="AR51" s="84">
        <f>INDEX(Inputs!$P$211:$BB$211,MATCH('Costs &amp; Revenue'!AR$5,Inputs!$P$5:$BB$5,0))</f>
        <v/>
      </c>
      <c r="AS51" s="84">
        <f>INDEX(Inputs!$P$211:$BB$211,MATCH('Costs &amp; Revenue'!AS$5,Inputs!$P$5:$BB$5,0))</f>
        <v/>
      </c>
      <c r="AT51" s="84">
        <f>INDEX(Inputs!$P$211:$BB$211,MATCH('Costs &amp; Revenue'!AT$5,Inputs!$P$5:$BB$5,0))</f>
        <v/>
      </c>
      <c r="AU51" s="84">
        <f>INDEX(Inputs!$P$211:$BB$211,MATCH('Costs &amp; Revenue'!AU$5,Inputs!$P$5:$BB$5,0))</f>
        <v/>
      </c>
      <c r="AV51" s="84">
        <f>INDEX(Inputs!$P$211:$BB$211,MATCH('Costs &amp; Revenue'!AV$5,Inputs!$P$5:$BB$5,0))</f>
        <v/>
      </c>
      <c r="AW51" s="84">
        <f>INDEX(Inputs!$P$211:$BB$211,MATCH('Costs &amp; Revenue'!AW$5,Inputs!$P$5:$BB$5,0))</f>
        <v/>
      </c>
      <c r="AX51" s="84">
        <f>INDEX(Inputs!$P$211:$BB$211,MATCH('Costs &amp; Revenue'!AX$5,Inputs!$P$5:$BB$5,0))</f>
        <v/>
      </c>
      <c r="AY51" s="84">
        <f>INDEX(Inputs!$P$211:$BB$211,MATCH('Costs &amp; Revenue'!AY$5,Inputs!$P$5:$BB$5,0))</f>
        <v/>
      </c>
      <c r="AZ51" s="84">
        <f>INDEX(Inputs!$P$211:$BB$211,MATCH('Costs &amp; Revenue'!AZ$5,Inputs!$P$5:$BB$5,0))</f>
        <v/>
      </c>
      <c r="BA51" s="84">
        <f>INDEX(Inputs!$P$211:$BB$211,MATCH('Costs &amp; Revenue'!BA$5,Inputs!$P$5:$BB$5,0))</f>
        <v/>
      </c>
      <c r="BB51" s="84">
        <f>INDEX(Inputs!$P$211:$BB$211,MATCH('Costs &amp; Revenue'!BB$5,Inputs!$P$5:$BB$5,0))</f>
        <v/>
      </c>
    </row>
    <row r="52" ht="15" customHeight="1"/>
    <row r="53" ht="15" customFormat="1" customHeight="1" s="63">
      <c r="C53" s="40" t="inlineStr">
        <is>
          <t>NPV comparisons</t>
        </is>
      </c>
      <c r="D53" s="40" t="n"/>
      <c r="E53" s="40" t="n"/>
      <c r="F53" s="40" t="n"/>
      <c r="G53" s="40" t="n"/>
      <c r="H53" s="40" t="n"/>
      <c r="I53" s="40" t="n"/>
      <c r="J53" s="40" t="n"/>
      <c r="K53" s="40" t="n"/>
      <c r="L53" s="40" t="n"/>
      <c r="M53" s="40" t="n"/>
      <c r="N53" s="40" t="n"/>
      <c r="O53" s="40" t="n"/>
      <c r="P53" s="40" t="n"/>
      <c r="Q53" s="40" t="n"/>
      <c r="R53" s="40" t="n"/>
      <c r="S53" s="40" t="n"/>
      <c r="T53" s="40" t="n"/>
      <c r="U53" s="40" t="n"/>
      <c r="V53" s="40" t="n"/>
      <c r="W53" s="40" t="n"/>
      <c r="X53" s="40" t="n"/>
      <c r="Y53" s="40" t="n"/>
      <c r="Z53" s="40" t="n"/>
      <c r="AA53" s="40" t="n"/>
      <c r="AB53" s="40" t="n"/>
      <c r="AC53" s="40" t="n"/>
      <c r="AD53" s="40" t="n"/>
      <c r="AE53" s="40" t="n"/>
      <c r="AF53" s="40" t="n"/>
      <c r="AG53" s="40" t="n"/>
      <c r="AH53" s="40" t="n"/>
      <c r="AI53" s="40" t="n"/>
      <c r="AJ53" s="40" t="n"/>
      <c r="AK53" s="40" t="n"/>
      <c r="AL53" s="40" t="n"/>
      <c r="AM53" s="40" t="n"/>
      <c r="AN53" s="40" t="n"/>
      <c r="AO53" s="40" t="n"/>
      <c r="AP53" s="40" t="n"/>
      <c r="AQ53" s="40" t="n"/>
      <c r="AR53" s="40" t="n"/>
      <c r="AS53" s="40" t="n"/>
      <c r="AT53" s="40" t="n"/>
      <c r="AU53" s="40" t="n"/>
      <c r="AV53" s="40" t="n"/>
      <c r="AW53" s="40" t="n"/>
      <c r="AX53" s="40" t="n"/>
      <c r="AY53" s="40" t="n"/>
      <c r="AZ53" s="40" t="n"/>
      <c r="BA53" s="40" t="n"/>
      <c r="BB53" s="40" t="n"/>
    </row>
    <row r="54" ht="15" customHeight="1"/>
    <row r="55" ht="15" customHeight="1">
      <c r="E55" s="21">
        <f>Inputs!E176</f>
        <v/>
      </c>
      <c r="G55" s="21" t="inlineStr">
        <is>
          <t>flag</t>
        </is>
      </c>
      <c r="O55" s="33" t="n"/>
      <c r="P55" s="84">
        <f>Inputs!P176</f>
        <v/>
      </c>
      <c r="Q55" s="84">
        <f>Inputs!Q176</f>
        <v/>
      </c>
      <c r="R55" s="84">
        <f>Inputs!R176</f>
        <v/>
      </c>
      <c r="S55" s="84">
        <f>Inputs!S176</f>
        <v/>
      </c>
      <c r="T55" s="84">
        <f>Inputs!T176</f>
        <v/>
      </c>
      <c r="U55" s="84">
        <f>Inputs!U176</f>
        <v/>
      </c>
      <c r="V55" s="84">
        <f>Inputs!V176</f>
        <v/>
      </c>
      <c r="W55" s="84">
        <f>Inputs!W176</f>
        <v/>
      </c>
      <c r="X55" s="84">
        <f>Inputs!X176</f>
        <v/>
      </c>
      <c r="Y55" s="84">
        <f>Inputs!Y176</f>
        <v/>
      </c>
      <c r="Z55" s="84">
        <f>Inputs!Z176</f>
        <v/>
      </c>
      <c r="AA55" s="84">
        <f>Inputs!AA176</f>
        <v/>
      </c>
      <c r="AB55" s="84">
        <f>Inputs!AB176</f>
        <v/>
      </c>
      <c r="AC55" s="84">
        <f>Inputs!AC176</f>
        <v/>
      </c>
      <c r="AD55" s="84">
        <f>Inputs!AD176</f>
        <v/>
      </c>
      <c r="AE55" s="84">
        <f>Inputs!AE176</f>
        <v/>
      </c>
      <c r="AF55" s="84">
        <f>Inputs!AF176</f>
        <v/>
      </c>
      <c r="AG55" s="84">
        <f>Inputs!AG176</f>
        <v/>
      </c>
      <c r="AH55" s="84">
        <f>Inputs!AH176</f>
        <v/>
      </c>
      <c r="AI55" s="84">
        <f>Inputs!AI176</f>
        <v/>
      </c>
      <c r="AJ55" s="84">
        <f>Inputs!AJ176</f>
        <v/>
      </c>
      <c r="AK55" s="84">
        <f>Inputs!AK176</f>
        <v/>
      </c>
      <c r="AL55" s="84">
        <f>Inputs!AL176</f>
        <v/>
      </c>
      <c r="AM55" s="84">
        <f>Inputs!AM176</f>
        <v/>
      </c>
      <c r="AN55" s="84">
        <f>Inputs!AN176</f>
        <v/>
      </c>
      <c r="AO55" s="84">
        <f>Inputs!AO176</f>
        <v/>
      </c>
      <c r="AP55" s="84">
        <f>Inputs!AP176</f>
        <v/>
      </c>
      <c r="AQ55" s="84">
        <f>Inputs!AQ176</f>
        <v/>
      </c>
      <c r="AR55" s="84">
        <f>Inputs!AR176</f>
        <v/>
      </c>
      <c r="AS55" s="84">
        <f>Inputs!AS176</f>
        <v/>
      </c>
      <c r="AT55" s="84">
        <f>Inputs!AT176</f>
        <v/>
      </c>
      <c r="AU55" s="84">
        <f>Inputs!AU176</f>
        <v/>
      </c>
      <c r="AV55" s="84">
        <f>Inputs!AV176</f>
        <v/>
      </c>
      <c r="AW55" s="84">
        <f>Inputs!AW176</f>
        <v/>
      </c>
      <c r="AX55" s="84">
        <f>Inputs!AX176</f>
        <v/>
      </c>
      <c r="AY55" s="84">
        <f>Inputs!AY176</f>
        <v/>
      </c>
      <c r="AZ55" s="84">
        <f>Inputs!AZ176</f>
        <v/>
      </c>
      <c r="BA55" s="84">
        <f>Inputs!BA176</f>
        <v/>
      </c>
      <c r="BB55" s="84">
        <f>Inputs!BB176</f>
        <v/>
      </c>
    </row>
    <row r="56" ht="15" customHeight="1">
      <c r="E56" s="21" t="inlineStr">
        <is>
          <t>Cap real return</t>
        </is>
      </c>
      <c r="G56" s="5" t="inlineStr">
        <is>
          <t>real annual %</t>
        </is>
      </c>
      <c r="I56" s="87">
        <f>Inputs!I40</f>
        <v/>
      </c>
    </row>
    <row r="57" ht="15" customHeight="1">
      <c r="E57" s="21" t="inlineStr">
        <is>
          <t>Discount factor to start of operational period (cap)</t>
        </is>
      </c>
      <c r="G57" s="21" t="inlineStr">
        <is>
          <t>scalar</t>
        </is>
      </c>
      <c r="O57" s="37">
        <f>IF(O5&lt;=Inputs!$I$21,(1+$I56)^-O$5,0)</f>
        <v/>
      </c>
      <c r="P57" s="37">
        <f>IF(P5&lt;=Inputs!$I$21,(1+$I56)^-P$5,0)</f>
        <v/>
      </c>
      <c r="Q57" s="37">
        <f>IF(Q5&lt;=Inputs!$I$21,(1+$I56)^-Q$5,0)</f>
        <v/>
      </c>
      <c r="R57" s="37">
        <f>IF(R5&lt;=Inputs!$I$21,(1+$I56)^-R$5,0)</f>
        <v/>
      </c>
      <c r="S57" s="37">
        <f>IF(S5&lt;=Inputs!$I$21,(1+$I56)^-S$5,0)</f>
        <v/>
      </c>
      <c r="T57" s="37">
        <f>IF(T5&lt;=Inputs!$I$21,(1+$I56)^-T$5,0)</f>
        <v/>
      </c>
      <c r="U57" s="37">
        <f>IF(U5&lt;=Inputs!$I$21,(1+$I56)^-U$5,0)</f>
        <v/>
      </c>
      <c r="V57" s="37">
        <f>IF(V5&lt;=Inputs!$I$21,(1+$I56)^-V$5,0)</f>
        <v/>
      </c>
      <c r="W57" s="37">
        <f>IF(W5&lt;=Inputs!$I$21,(1+$I56)^-W$5,0)</f>
        <v/>
      </c>
      <c r="X57" s="37">
        <f>IF(X5&lt;=Inputs!$I$21,(1+$I56)^-X$5,0)</f>
        <v/>
      </c>
      <c r="Y57" s="37">
        <f>IF(Y5&lt;=Inputs!$I$21,(1+$I56)^-Y$5,0)</f>
        <v/>
      </c>
      <c r="Z57" s="37">
        <f>IF(Z5&lt;=Inputs!$I$21,(1+$I56)^-Z$5,0)</f>
        <v/>
      </c>
      <c r="AA57" s="37">
        <f>IF(AA5&lt;=Inputs!$I$21,(1+$I56)^-AA$5,0)</f>
        <v/>
      </c>
      <c r="AB57" s="37">
        <f>IF(AB5&lt;=Inputs!$I$21,(1+$I56)^-AB$5,0)</f>
        <v/>
      </c>
      <c r="AC57" s="37">
        <f>IF(AC5&lt;=Inputs!$I$21,(1+$I56)^-AC$5,0)</f>
        <v/>
      </c>
      <c r="AD57" s="37">
        <f>IF(AD5&lt;=Inputs!$I$21,(1+$I56)^-AD$5,0)</f>
        <v/>
      </c>
      <c r="AE57" s="37">
        <f>IF(AE5&lt;=Inputs!$I$21,(1+$I56)^-AE$5,0)</f>
        <v/>
      </c>
      <c r="AF57" s="37">
        <f>IF(AF5&lt;=Inputs!$I$21,(1+$I56)^-AF$5,0)</f>
        <v/>
      </c>
      <c r="AG57" s="37">
        <f>IF(AG5&lt;=Inputs!$I$21,(1+$I56)^-AG$5,0)</f>
        <v/>
      </c>
      <c r="AH57" s="37">
        <f>IF(AH5&lt;=Inputs!$I$21,(1+$I56)^-AH$5,0)</f>
        <v/>
      </c>
      <c r="AI57" s="37">
        <f>IF(AI5&lt;=Inputs!$I$21,(1+$I56)^-AI$5,0)</f>
        <v/>
      </c>
      <c r="AJ57" s="37">
        <f>IF(AJ5&lt;=Inputs!$I$21,(1+$I56)^-AJ$5,0)</f>
        <v/>
      </c>
      <c r="AK57" s="37">
        <f>IF(AK5&lt;=Inputs!$I$21,(1+$I56)^-AK$5,0)</f>
        <v/>
      </c>
      <c r="AL57" s="37">
        <f>IF(AL5&lt;=Inputs!$I$21,(1+$I56)^-AL$5,0)</f>
        <v/>
      </c>
      <c r="AM57" s="37">
        <f>IF(AM5&lt;=Inputs!$I$21,(1+$I56)^-AM$5,0)</f>
        <v/>
      </c>
      <c r="AN57" s="37">
        <f>IF(AN5&lt;=Inputs!$I$21,(1+$I56)^-AN$5,0)</f>
        <v/>
      </c>
      <c r="AO57" s="37">
        <f>IF(AO5&lt;=Inputs!$I$21,(1+$I56)^-AO$5,0)</f>
        <v/>
      </c>
      <c r="AP57" s="37">
        <f>IF(AP5&lt;=Inputs!$I$21,(1+$I56)^-AP$5,0)</f>
        <v/>
      </c>
      <c r="AQ57" s="37">
        <f>IF(AQ5&lt;=Inputs!$I$21,(1+$I56)^-AQ$5,0)</f>
        <v/>
      </c>
      <c r="AR57" s="37">
        <f>IF(AR5&lt;=Inputs!$I$21,(1+$I56)^-AR$5,0)</f>
        <v/>
      </c>
      <c r="AS57" s="37">
        <f>IF(AS5&lt;=Inputs!$I$21,(1+$I56)^-AS$5,0)</f>
        <v/>
      </c>
      <c r="AT57" s="37">
        <f>IF(AT5&lt;=Inputs!$I$21,(1+$I56)^-AT$5,0)</f>
        <v/>
      </c>
      <c r="AU57" s="37">
        <f>IF(AU5&lt;=Inputs!$I$21,(1+$I56)^-AU$5,0)</f>
        <v/>
      </c>
      <c r="AV57" s="37">
        <f>IF(AV5&lt;=Inputs!$I$21,(1+$I56)^-AV$5,0)</f>
        <v/>
      </c>
      <c r="AW57" s="37">
        <f>IF(AW5&lt;=Inputs!$I$21,(1+$I56)^-AW$5,0)</f>
        <v/>
      </c>
      <c r="AX57" s="37">
        <f>IF(AX5&lt;=Inputs!$I$21,(1+$I56)^-AX$5,0)</f>
        <v/>
      </c>
      <c r="AY57" s="37">
        <f>IF(AY5&lt;=Inputs!$I$21,(1+$I56)^-AY$5,0)</f>
        <v/>
      </c>
      <c r="AZ57" s="37">
        <f>IF(AZ5&lt;=Inputs!$I$21,(1+$I56)^-AZ$5,0)</f>
        <v/>
      </c>
      <c r="BA57" s="37">
        <f>IF(BA5&lt;=Inputs!$I$21,(1+$I56)^-BA$5,0)</f>
        <v/>
      </c>
      <c r="BB57" s="37">
        <f>IF(BB5&lt;=Inputs!$I$21,(1+$I56)^-BB$5,0)</f>
        <v/>
      </c>
    </row>
    <row r="58" ht="15" customHeight="1"/>
    <row r="59" ht="15" customHeight="1">
      <c r="E59" s="21" t="inlineStr">
        <is>
          <t>NPV of original allowance at Cap rate</t>
        </is>
      </c>
      <c r="G59" s="5">
        <f>base_year</f>
        <v/>
      </c>
      <c r="I59" s="55">
        <f>SUMPRODUCT($O$57:$BB$57,O11:BB11)</f>
        <v/>
      </c>
    </row>
    <row r="60" ht="15" customHeight="1">
      <c r="E60" s="21" t="inlineStr">
        <is>
          <t>NPV of first DCCt adjustment</t>
        </is>
      </c>
      <c r="G60" s="5">
        <f>base_year</f>
        <v/>
      </c>
      <c r="I60" s="55">
        <f>SUMPRODUCT($O$57:$BB$57,O21:BB21)*I20</f>
        <v/>
      </c>
    </row>
    <row r="61" ht="15" customHeight="1">
      <c r="E61" s="21" t="inlineStr">
        <is>
          <t>NPV of second DCCt adjustment</t>
        </is>
      </c>
      <c r="G61" s="5">
        <f>base_year</f>
        <v/>
      </c>
      <c r="I61" s="55">
        <f>SUMPRODUCT($O$57:$BB$57,O25:BB25)*I24</f>
        <v/>
      </c>
    </row>
    <row r="62" ht="15" customHeight="1">
      <c r="E62" s="21" t="inlineStr">
        <is>
          <t>NPV of third DCCt adjustment</t>
        </is>
      </c>
      <c r="G62" s="5">
        <f>base_year</f>
        <v/>
      </c>
      <c r="I62" s="55">
        <f>SUMPRODUCT($O$57:$BB$57,O29:BB29)*I28</f>
        <v/>
      </c>
    </row>
    <row r="63" ht="15" customHeight="1">
      <c r="E63" s="21" t="inlineStr">
        <is>
          <t>NPV of fourth DCCt adjustment</t>
        </is>
      </c>
      <c r="G63" s="5">
        <f>base_year</f>
        <v/>
      </c>
      <c r="I63" s="55">
        <f>SUMPRODUCT($O$57:$BB$57,O33:BB33)*I32</f>
        <v/>
      </c>
    </row>
    <row r="64" ht="15" customHeight="1">
      <c r="E64" s="21" t="inlineStr">
        <is>
          <t>NPV of revised allowance at Cap rate</t>
        </is>
      </c>
      <c r="G64" s="5">
        <f>base_year</f>
        <v/>
      </c>
      <c r="I64" s="55">
        <f>SUMPRODUCT($O$57:$BB$57,O15:BB15)</f>
        <v/>
      </c>
    </row>
    <row r="65" ht="15" customHeight="1">
      <c r="E65" s="21" t="inlineStr">
        <is>
          <t>Difference in NPV</t>
        </is>
      </c>
      <c r="G65" s="5">
        <f>base_year</f>
        <v/>
      </c>
      <c r="I65" s="66">
        <f>I64-(I59+I60+I61+I62+I63)</f>
        <v/>
      </c>
    </row>
    <row r="66" ht="15" customHeight="1">
      <c r="I66" s="64" t="n"/>
    </row>
    <row r="67" ht="15" customHeight="1">
      <c r="E67" s="21" t="inlineStr">
        <is>
          <t>Amendment to Cap rate</t>
        </is>
      </c>
      <c r="G67" s="5">
        <f>base_year</f>
        <v/>
      </c>
      <c r="H67" s="21" t="inlineStr">
        <is>
          <t>DCCt</t>
        </is>
      </c>
      <c r="I67" s="145">
        <f>I65/SUMPRODUCT($O$55:$BB$55,$O$57:$BB$57)</f>
        <v/>
      </c>
    </row>
    <row r="68" ht="15" customHeight="1"/>
    <row r="69" ht="15" customHeight="1">
      <c r="E69" s="21" t="inlineStr">
        <is>
          <t>Floor real return</t>
        </is>
      </c>
      <c r="G69" s="5" t="inlineStr">
        <is>
          <t>real annual %</t>
        </is>
      </c>
      <c r="I69" s="87">
        <f>Inputs!I41</f>
        <v/>
      </c>
    </row>
    <row r="70" ht="15" customHeight="1">
      <c r="E70" s="21" t="inlineStr">
        <is>
          <t>Discount factor to start of operational period (floor)</t>
        </is>
      </c>
      <c r="G70" s="21" t="inlineStr">
        <is>
          <t>scalar</t>
        </is>
      </c>
      <c r="O70" s="37">
        <f>IF(O5&lt;=Inputs!$I$21,(1+$I69)^-O$5,0)</f>
        <v/>
      </c>
      <c r="P70" s="37">
        <f>IF(P5&lt;=Inputs!$I$21,(1+$I69)^-P$5,0)</f>
        <v/>
      </c>
      <c r="Q70" s="37">
        <f>IF(Q5&lt;=Inputs!$I$21,(1+$I69)^-Q$5,0)</f>
        <v/>
      </c>
      <c r="R70" s="37">
        <f>IF(R5&lt;=Inputs!$I$21,(1+$I69)^-R$5,0)</f>
        <v/>
      </c>
      <c r="S70" s="37">
        <f>IF(S5&lt;=Inputs!$I$21,(1+$I69)^-S$5,0)</f>
        <v/>
      </c>
      <c r="T70" s="37">
        <f>IF(T5&lt;=Inputs!$I$21,(1+$I69)^-T$5,0)</f>
        <v/>
      </c>
      <c r="U70" s="37">
        <f>IF(U5&lt;=Inputs!$I$21,(1+$I69)^-U$5,0)</f>
        <v/>
      </c>
      <c r="V70" s="37">
        <f>IF(V5&lt;=Inputs!$I$21,(1+$I69)^-V$5,0)</f>
        <v/>
      </c>
      <c r="W70" s="37">
        <f>IF(W5&lt;=Inputs!$I$21,(1+$I69)^-W$5,0)</f>
        <v/>
      </c>
      <c r="X70" s="37">
        <f>IF(X5&lt;=Inputs!$I$21,(1+$I69)^-X$5,0)</f>
        <v/>
      </c>
      <c r="Y70" s="37">
        <f>IF(Y5&lt;=Inputs!$I$21,(1+$I69)^-Y$5,0)</f>
        <v/>
      </c>
      <c r="Z70" s="37">
        <f>IF(Z5&lt;=Inputs!$I$21,(1+$I69)^-Z$5,0)</f>
        <v/>
      </c>
      <c r="AA70" s="37">
        <f>IF(AA5&lt;=Inputs!$I$21,(1+$I69)^-AA$5,0)</f>
        <v/>
      </c>
      <c r="AB70" s="37">
        <f>IF(AB5&lt;=Inputs!$I$21,(1+$I69)^-AB$5,0)</f>
        <v/>
      </c>
      <c r="AC70" s="37">
        <f>IF(AC5&lt;=Inputs!$I$21,(1+$I69)^-AC$5,0)</f>
        <v/>
      </c>
      <c r="AD70" s="37">
        <f>IF(AD5&lt;=Inputs!$I$21,(1+$I69)^-AD$5,0)</f>
        <v/>
      </c>
      <c r="AE70" s="37">
        <f>IF(AE5&lt;=Inputs!$I$21,(1+$I69)^-AE$5,0)</f>
        <v/>
      </c>
      <c r="AF70" s="37">
        <f>IF(AF5&lt;=Inputs!$I$21,(1+$I69)^-AF$5,0)</f>
        <v/>
      </c>
      <c r="AG70" s="37">
        <f>IF(AG5&lt;=Inputs!$I$21,(1+$I69)^-AG$5,0)</f>
        <v/>
      </c>
      <c r="AH70" s="37">
        <f>IF(AH5&lt;=Inputs!$I$21,(1+$I69)^-AH$5,0)</f>
        <v/>
      </c>
      <c r="AI70" s="37">
        <f>IF(AI5&lt;=Inputs!$I$21,(1+$I69)^-AI$5,0)</f>
        <v/>
      </c>
      <c r="AJ70" s="37">
        <f>IF(AJ5&lt;=Inputs!$I$21,(1+$I69)^-AJ$5,0)</f>
        <v/>
      </c>
      <c r="AK70" s="37">
        <f>IF(AK5&lt;=Inputs!$I$21,(1+$I69)^-AK$5,0)</f>
        <v/>
      </c>
      <c r="AL70" s="37">
        <f>IF(AL5&lt;=Inputs!$I$21,(1+$I69)^-AL$5,0)</f>
        <v/>
      </c>
      <c r="AM70" s="37">
        <f>IF(AM5&lt;=Inputs!$I$21,(1+$I69)^-AM$5,0)</f>
        <v/>
      </c>
      <c r="AN70" s="37">
        <f>IF(AN5&lt;=Inputs!$I$21,(1+$I69)^-AN$5,0)</f>
        <v/>
      </c>
      <c r="AO70" s="37">
        <f>IF(AO5&lt;=Inputs!$I$21,(1+$I69)^-AO$5,0)</f>
        <v/>
      </c>
      <c r="AP70" s="37">
        <f>IF(AP5&lt;=Inputs!$I$21,(1+$I69)^-AP$5,0)</f>
        <v/>
      </c>
      <c r="AQ70" s="37">
        <f>IF(AQ5&lt;=Inputs!$I$21,(1+$I69)^-AQ$5,0)</f>
        <v/>
      </c>
      <c r="AR70" s="37">
        <f>IF(AR5&lt;=Inputs!$I$21,(1+$I69)^-AR$5,0)</f>
        <v/>
      </c>
      <c r="AS70" s="37">
        <f>IF(AS5&lt;=Inputs!$I$21,(1+$I69)^-AS$5,0)</f>
        <v/>
      </c>
      <c r="AT70" s="37">
        <f>IF(AT5&lt;=Inputs!$I$21,(1+$I69)^-AT$5,0)</f>
        <v/>
      </c>
      <c r="AU70" s="37">
        <f>IF(AU5&lt;=Inputs!$I$21,(1+$I69)^-AU$5,0)</f>
        <v/>
      </c>
      <c r="AV70" s="37">
        <f>IF(AV5&lt;=Inputs!$I$21,(1+$I69)^-AV$5,0)</f>
        <v/>
      </c>
      <c r="AW70" s="37">
        <f>IF(AW5&lt;=Inputs!$I$21,(1+$I69)^-AW$5,0)</f>
        <v/>
      </c>
      <c r="AX70" s="37">
        <f>IF(AX5&lt;=Inputs!$I$21,(1+$I69)^-AX$5,0)</f>
        <v/>
      </c>
      <c r="AY70" s="37">
        <f>IF(AY5&lt;=Inputs!$I$21,(1+$I69)^-AY$5,0)</f>
        <v/>
      </c>
      <c r="AZ70" s="37">
        <f>IF(AZ5&lt;=Inputs!$I$21,(1+$I69)^-AZ$5,0)</f>
        <v/>
      </c>
      <c r="BA70" s="37">
        <f>IF(BA5&lt;=Inputs!$I$21,(1+$I69)^-BA$5,0)</f>
        <v/>
      </c>
      <c r="BB70" s="37">
        <f>IF(BB5&lt;=Inputs!$I$21,(1+$I69)^-BB$5,0)</f>
        <v/>
      </c>
    </row>
    <row r="71" ht="15" customHeight="1"/>
    <row r="72" ht="15" customHeight="1">
      <c r="E72" s="21" t="inlineStr">
        <is>
          <t>NPV of original allowance at Floor rate</t>
        </is>
      </c>
      <c r="G72" s="5">
        <f>base_year</f>
        <v/>
      </c>
      <c r="I72" s="55">
        <f>SUMPRODUCT($O$70:$BB$70,O11:BB11)</f>
        <v/>
      </c>
    </row>
    <row r="73" ht="15" customHeight="1">
      <c r="E73" s="21" t="inlineStr">
        <is>
          <t>NPV of first DCFt adjustment</t>
        </is>
      </c>
      <c r="G73" s="5">
        <f>base_year</f>
        <v/>
      </c>
      <c r="I73" s="55">
        <f>SUMPRODUCT($O$70:$BB$70,O39:BB39)*I38</f>
        <v/>
      </c>
    </row>
    <row r="74" ht="15" customHeight="1">
      <c r="E74" s="21" t="inlineStr">
        <is>
          <t>NPV of second DCFt adjustment</t>
        </is>
      </c>
      <c r="G74" s="5">
        <f>base_year</f>
        <v/>
      </c>
      <c r="I74" s="55">
        <f>SUMPRODUCT($O$70:$BB$70,O43:BB43)*I42</f>
        <v/>
      </c>
    </row>
    <row r="75" ht="15" customHeight="1">
      <c r="E75" s="21" t="inlineStr">
        <is>
          <t>NPV of third DCFt adjustment</t>
        </is>
      </c>
      <c r="G75" s="5">
        <f>base_year</f>
        <v/>
      </c>
      <c r="I75" s="55">
        <f>SUMPRODUCT($O$70:$BB$70,O47:BB47)*I46</f>
        <v/>
      </c>
    </row>
    <row r="76" ht="15" customHeight="1">
      <c r="E76" s="21" t="inlineStr">
        <is>
          <t>NPV of fourth DCFt adjustment</t>
        </is>
      </c>
      <c r="G76" s="5">
        <f>base_year</f>
        <v/>
      </c>
      <c r="I76" s="55">
        <f>SUMPRODUCT($O$70:$BB$70,O51:BB51)*I50</f>
        <v/>
      </c>
    </row>
    <row r="77" ht="15" customHeight="1">
      <c r="E77" s="21" t="inlineStr">
        <is>
          <t>NPV of revised allowance at Floor rate</t>
        </is>
      </c>
      <c r="G77" s="5">
        <f>base_year</f>
        <v/>
      </c>
      <c r="I77" s="55">
        <f>SUMPRODUCT($O$70:$BB$70,O15:BB15)</f>
        <v/>
      </c>
    </row>
    <row r="78" ht="15" customHeight="1">
      <c r="E78" s="21" t="inlineStr">
        <is>
          <t>Difference in NPV</t>
        </is>
      </c>
      <c r="G78" s="5">
        <f>base_year</f>
        <v/>
      </c>
      <c r="I78" s="66">
        <f>I77-(I72+I73+I74+I75+I76)</f>
        <v/>
      </c>
    </row>
    <row r="79" ht="15" customHeight="1">
      <c r="I79" s="64" t="n"/>
    </row>
    <row r="80" ht="15" customHeight="1">
      <c r="E80" s="21" t="inlineStr">
        <is>
          <t>Amendment to Floor rate</t>
        </is>
      </c>
      <c r="G80" s="5">
        <f>base_year</f>
        <v/>
      </c>
      <c r="H80" s="21" t="inlineStr">
        <is>
          <t>DCFt</t>
        </is>
      </c>
      <c r="I80" s="145">
        <f>I78/SUMPRODUCT($O$55:$BB$55,$O$70:$BB$70)</f>
        <v/>
      </c>
    </row>
    <row r="81" ht="15" customHeight="1"/>
    <row r="82" ht="15" customFormat="1" customHeight="1" s="4">
      <c r="B82" s="8" t="inlineStr">
        <is>
          <t>End of sheet</t>
        </is>
      </c>
      <c r="C82" s="8" t="n"/>
      <c r="D82" s="8" t="n"/>
      <c r="E82" s="8" t="n"/>
      <c r="F82" s="8" t="n"/>
      <c r="G82" s="8" t="n"/>
      <c r="H82" s="8" t="n"/>
      <c r="I82" s="8" t="n"/>
      <c r="J82" s="8" t="n"/>
      <c r="K82" s="8" t="n"/>
      <c r="L82" s="8" t="n"/>
      <c r="M82" s="8" t="n"/>
      <c r="N82" s="8" t="n"/>
      <c r="O82" s="8" t="n"/>
      <c r="P82" s="8" t="n"/>
      <c r="Q82" s="8" t="n"/>
      <c r="R82" s="8" t="n"/>
      <c r="S82" s="8" t="n"/>
      <c r="T82" s="8" t="n"/>
      <c r="U82" s="8" t="n"/>
      <c r="V82" s="8" t="n"/>
      <c r="W82" s="8" t="n"/>
      <c r="X82" s="8" t="n"/>
      <c r="Y82" s="8" t="n"/>
      <c r="Z82" s="8" t="n"/>
      <c r="AA82" s="8" t="n"/>
      <c r="AB82" s="8" t="n"/>
      <c r="AC82" s="8" t="n"/>
      <c r="AD82" s="8" t="n"/>
      <c r="AE82" s="8" t="n"/>
      <c r="AF82" s="8" t="n"/>
      <c r="AG82" s="8" t="n"/>
      <c r="AH82" s="8" t="n"/>
      <c r="AI82" s="8" t="n"/>
      <c r="AJ82" s="8" t="n"/>
      <c r="AK82" s="8" t="n"/>
      <c r="AL82" s="8" t="n"/>
      <c r="AM82" s="8" t="n"/>
      <c r="AN82" s="8" t="n"/>
      <c r="AO82" s="8" t="n"/>
      <c r="AP82" s="8" t="n"/>
      <c r="AQ82" s="8" t="n"/>
      <c r="AR82" s="8" t="n"/>
      <c r="AS82" s="8" t="n"/>
      <c r="AT82" s="8" t="n"/>
      <c r="AU82" s="8" t="n"/>
      <c r="AV82" s="8" t="n"/>
      <c r="AW82" s="8" t="n"/>
      <c r="AX82" s="8" t="n"/>
      <c r="AY82" s="8" t="n"/>
      <c r="AZ82" s="8" t="n"/>
      <c r="BA82" s="8" t="n"/>
      <c r="BB82" s="8" t="n"/>
    </row>
    <row r="83" ht="15" customHeight="1"/>
  </sheetData>
  <pageMargins left="0.2362204724409449" right="0.2362204724409449" top="0.7480314960629921" bottom="0.7480314960629921" header="0.3149606299212598" footer="0.3149606299212598"/>
  <pageSetup orientation="landscape" paperSize="8" scale="42" fitToHeight="0"/>
</worksheet>
</file>

<file path=xl/worksheets/sheet9.xml><?xml version="1.0" encoding="utf-8"?>
<worksheet xmlns="http://schemas.openxmlformats.org/spreadsheetml/2006/main">
  <sheetPr codeName="Sheet8">
    <tabColor theme="7" tint="0.5999938962981048"/>
    <outlinePr summaryBelow="1" summaryRight="1"/>
    <pageSetUpPr fitToPage="1"/>
  </sheetPr>
  <dimension ref="A1:BC118"/>
  <sheetViews>
    <sheetView zoomScaleNormal="100" workbookViewId="0">
      <pane xSplit="10" ySplit="5" topLeftCell="K30" activePane="bottomRight" state="frozen"/>
      <selection pane="topRight" activeCell="A1" sqref="A1"/>
      <selection pane="bottomLeft" activeCell="A1" sqref="A1"/>
      <selection pane="bottomRight" activeCell="A53" sqref="A53:XFD53"/>
    </sheetView>
  </sheetViews>
  <sheetFormatPr baseColWidth="10" defaultColWidth="0" defaultRowHeight="15" customHeight="1" zeroHeight="1"/>
  <cols>
    <col width="2.59765625" customWidth="1" style="15" min="1" max="3"/>
    <col width="2.59765625" customWidth="1" style="21" min="4" max="4"/>
    <col width="50.59765625" customWidth="1" style="21" min="5" max="5"/>
    <col width="1.59765625" customWidth="1" style="21" min="6" max="6"/>
    <col width="15.59765625" customWidth="1" style="21" min="7" max="7"/>
    <col width="11.59765625" customWidth="1" style="21" min="8" max="8"/>
    <col width="10.59765625" customWidth="1" style="21" min="9" max="9"/>
    <col width="1.59765625" customWidth="1" style="21" min="10" max="14"/>
    <col width="10.59765625" customWidth="1" style="21" min="15" max="26"/>
    <col width="13.796875" bestFit="1" customWidth="1" style="21" min="27" max="27"/>
    <col width="10.59765625" customWidth="1" style="21" min="28" max="35"/>
    <col width="12.3984375" bestFit="1" customWidth="1" style="21" min="36" max="37"/>
    <col width="10.59765625" customWidth="1" style="21" min="38" max="46"/>
    <col width="12.3984375" bestFit="1" customWidth="1" style="21" min="47" max="47"/>
    <col width="10.59765625" customWidth="1" style="21" min="48" max="48"/>
    <col width="12.3984375" bestFit="1" customWidth="1" style="21" min="49" max="49"/>
    <col width="10.59765625" customWidth="1" style="21" min="50" max="54"/>
    <col width="2.59765625" customWidth="1" style="21" min="55" max="55"/>
    <col hidden="1" width="9" customWidth="1" style="21" min="56" max="56"/>
    <col hidden="1" width="9" customWidth="1" style="21" min="57" max="16384"/>
  </cols>
  <sheetData>
    <row r="1" ht="15" customFormat="1" customHeight="1" s="10">
      <c r="A1" s="126" t="inlineStr">
        <is>
          <t>Availability</t>
        </is>
      </c>
      <c r="H1" s="9" t="inlineStr">
        <is>
          <t>Licence</t>
        </is>
      </c>
      <c r="J1" s="61" t="n"/>
      <c r="K1" s="61" t="n"/>
      <c r="L1" s="61" t="n"/>
      <c r="M1" s="61" t="n"/>
      <c r="N1" s="61" t="n"/>
      <c r="O1" s="61" t="n"/>
      <c r="P1" s="61" t="n"/>
      <c r="Q1" s="61" t="n"/>
      <c r="R1" s="61" t="n"/>
      <c r="S1" s="61" t="n"/>
      <c r="T1" s="61" t="n"/>
      <c r="U1" s="61" t="n"/>
      <c r="V1" s="61" t="n"/>
      <c r="W1" s="61" t="n"/>
      <c r="X1" s="61" t="n"/>
      <c r="Y1" s="61" t="n"/>
      <c r="Z1" s="61" t="n"/>
      <c r="AA1" s="61" t="n"/>
      <c r="AB1" s="61" t="n"/>
      <c r="AC1" s="61" t="n"/>
      <c r="AD1" s="61" t="n"/>
      <c r="AE1" s="61" t="n"/>
      <c r="AF1" s="61" t="n"/>
      <c r="AG1" s="61" t="n"/>
      <c r="AH1" s="61" t="n"/>
      <c r="AI1" s="61" t="n"/>
      <c r="AJ1" s="61" t="n"/>
    </row>
    <row r="2" ht="15" customFormat="1" customHeight="1" s="10">
      <c r="E2" s="9" t="inlineStr">
        <is>
          <t>Parameter</t>
        </is>
      </c>
      <c r="F2" s="9" t="n"/>
      <c r="G2" s="9" t="inlineStr">
        <is>
          <t>Units</t>
        </is>
      </c>
      <c r="H2" s="9" t="inlineStr">
        <is>
          <t>Terminology</t>
        </is>
      </c>
      <c r="I2" s="13" t="inlineStr">
        <is>
          <t>Constant</t>
        </is>
      </c>
      <c r="O2" s="9" t="inlineStr">
        <is>
          <t>Annual values</t>
        </is>
      </c>
    </row>
    <row r="3" ht="15" customFormat="1" customHeight="1" s="10">
      <c r="E3" s="52" t="inlineStr">
        <is>
          <t>Year commencing</t>
        </is>
      </c>
      <c r="F3" s="9" t="n"/>
      <c r="G3" s="9" t="n"/>
      <c r="H3" s="9" t="n"/>
      <c r="I3" s="9" t="n"/>
      <c r="O3" s="62">
        <f>INDEX(Inputs!$O3:$BB3,MATCH('Costs &amp; Revenue'!O$5,Inputs!$O$5:$BB$5,0))</f>
        <v/>
      </c>
      <c r="P3" s="62">
        <f>INDEX(Inputs!$O3:$BB3,MATCH('Costs &amp; Revenue'!P$5,Inputs!$O$5:$BB$5,0))</f>
        <v/>
      </c>
      <c r="Q3" s="62">
        <f>INDEX(Inputs!$O3:$BB3,MATCH('Costs &amp; Revenue'!Q$5,Inputs!$O$5:$BB$5,0))</f>
        <v/>
      </c>
      <c r="R3" s="62">
        <f>INDEX(Inputs!$O3:$BB3,MATCH('Costs &amp; Revenue'!R$5,Inputs!$O$5:$BB$5,0))</f>
        <v/>
      </c>
      <c r="S3" s="62">
        <f>INDEX(Inputs!$O3:$BB3,MATCH('Costs &amp; Revenue'!S$5,Inputs!$O$5:$BB$5,0))</f>
        <v/>
      </c>
      <c r="T3" s="62">
        <f>INDEX(Inputs!$O3:$BB3,MATCH('Costs &amp; Revenue'!T$5,Inputs!$O$5:$BB$5,0))</f>
        <v/>
      </c>
      <c r="U3" s="62">
        <f>INDEX(Inputs!$O3:$BB3,MATCH('Costs &amp; Revenue'!U$5,Inputs!$O$5:$BB$5,0))</f>
        <v/>
      </c>
      <c r="V3" s="62">
        <f>INDEX(Inputs!$O3:$BB3,MATCH('Costs &amp; Revenue'!V$5,Inputs!$O$5:$BB$5,0))</f>
        <v/>
      </c>
      <c r="W3" s="62">
        <f>INDEX(Inputs!$O3:$BB3,MATCH('Costs &amp; Revenue'!W$5,Inputs!$O$5:$BB$5,0))</f>
        <v/>
      </c>
      <c r="X3" s="62">
        <f>INDEX(Inputs!$O3:$BB3,MATCH('Costs &amp; Revenue'!X$5,Inputs!$O$5:$BB$5,0))</f>
        <v/>
      </c>
      <c r="Y3" s="62">
        <f>INDEX(Inputs!$O3:$BB3,MATCH('Costs &amp; Revenue'!Y$5,Inputs!$O$5:$BB$5,0))</f>
        <v/>
      </c>
      <c r="Z3" s="62">
        <f>INDEX(Inputs!$O3:$BB3,MATCH('Costs &amp; Revenue'!Z$5,Inputs!$O$5:$BB$5,0))</f>
        <v/>
      </c>
      <c r="AA3" s="62">
        <f>INDEX(Inputs!$O3:$BB3,MATCH('Costs &amp; Revenue'!AA$5,Inputs!$O$5:$BB$5,0))</f>
        <v/>
      </c>
      <c r="AB3" s="62">
        <f>INDEX(Inputs!$O3:$BB3,MATCH('Costs &amp; Revenue'!AB$5,Inputs!$O$5:$BB$5,0))</f>
        <v/>
      </c>
      <c r="AC3" s="62">
        <f>INDEX(Inputs!$O3:$BB3,MATCH('Costs &amp; Revenue'!AC$5,Inputs!$O$5:$BB$5,0))</f>
        <v/>
      </c>
      <c r="AD3" s="62">
        <f>INDEX(Inputs!$O3:$BB3,MATCH('Costs &amp; Revenue'!AD$5,Inputs!$O$5:$BB$5,0))</f>
        <v/>
      </c>
      <c r="AE3" s="62">
        <f>INDEX(Inputs!$O3:$BB3,MATCH('Costs &amp; Revenue'!AE$5,Inputs!$O$5:$BB$5,0))</f>
        <v/>
      </c>
      <c r="AF3" s="62">
        <f>INDEX(Inputs!$O3:$BB3,MATCH('Costs &amp; Revenue'!AF$5,Inputs!$O$5:$BB$5,0))</f>
        <v/>
      </c>
      <c r="AG3" s="62">
        <f>INDEX(Inputs!$O3:$BB3,MATCH('Costs &amp; Revenue'!AG$5,Inputs!$O$5:$BB$5,0))</f>
        <v/>
      </c>
      <c r="AH3" s="62">
        <f>INDEX(Inputs!$O3:$BB3,MATCH('Costs &amp; Revenue'!AH$5,Inputs!$O$5:$BB$5,0))</f>
        <v/>
      </c>
      <c r="AI3" s="62">
        <f>INDEX(Inputs!$O3:$BB3,MATCH('Costs &amp; Revenue'!AI$5,Inputs!$O$5:$BB$5,0))</f>
        <v/>
      </c>
      <c r="AJ3" s="62">
        <f>INDEX(Inputs!$O3:$BB3,MATCH('Costs &amp; Revenue'!AJ$5,Inputs!$O$5:$BB$5,0))</f>
        <v/>
      </c>
      <c r="AK3" s="62">
        <f>INDEX(Inputs!$O3:$BB3,MATCH('Costs &amp; Revenue'!AK$5,Inputs!$O$5:$BB$5,0))</f>
        <v/>
      </c>
      <c r="AL3" s="62">
        <f>INDEX(Inputs!$O3:$BB3,MATCH('Costs &amp; Revenue'!AL$5,Inputs!$O$5:$BB$5,0))</f>
        <v/>
      </c>
      <c r="AM3" s="62">
        <f>INDEX(Inputs!$O3:$BB3,MATCH('Costs &amp; Revenue'!AM$5,Inputs!$O$5:$BB$5,0))</f>
        <v/>
      </c>
      <c r="AN3" s="62">
        <f>INDEX(Inputs!$O3:$BB3,MATCH('Costs &amp; Revenue'!AN$5,Inputs!$O$5:$BB$5,0))</f>
        <v/>
      </c>
      <c r="AO3" s="62">
        <f>INDEX(Inputs!$O3:$BB3,MATCH('Costs &amp; Revenue'!AO$5,Inputs!$O$5:$BB$5,0))</f>
        <v/>
      </c>
      <c r="AP3" s="62">
        <f>INDEX(Inputs!$O3:$BB3,MATCH('Costs &amp; Revenue'!AP$5,Inputs!$O$5:$BB$5,0))</f>
        <v/>
      </c>
      <c r="AQ3" s="62">
        <f>INDEX(Inputs!$O3:$BB3,MATCH('Costs &amp; Revenue'!AQ$5,Inputs!$O$5:$BB$5,0))</f>
        <v/>
      </c>
      <c r="AR3" s="62">
        <f>INDEX(Inputs!$O3:$BB3,MATCH('Costs &amp; Revenue'!AR$5,Inputs!$O$5:$BB$5,0))</f>
        <v/>
      </c>
      <c r="AS3" s="62">
        <f>INDEX(Inputs!$O3:$BB3,MATCH('Costs &amp; Revenue'!AS$5,Inputs!$O$5:$BB$5,0))</f>
        <v/>
      </c>
      <c r="AT3" s="62">
        <f>INDEX(Inputs!$O3:$BB3,MATCH('Costs &amp; Revenue'!AT$5,Inputs!$O$5:$BB$5,0))</f>
        <v/>
      </c>
      <c r="AU3" s="62">
        <f>INDEX(Inputs!$O3:$BB3,MATCH('Costs &amp; Revenue'!AU$5,Inputs!$O$5:$BB$5,0))</f>
        <v/>
      </c>
      <c r="AV3" s="62">
        <f>INDEX(Inputs!$O3:$BB3,MATCH('Costs &amp; Revenue'!AV$5,Inputs!$O$5:$BB$5,0))</f>
        <v/>
      </c>
      <c r="AW3" s="62">
        <f>INDEX(Inputs!$O3:$BB3,MATCH('Costs &amp; Revenue'!AW$5,Inputs!$O$5:$BB$5,0))</f>
        <v/>
      </c>
      <c r="AX3" s="62">
        <f>INDEX(Inputs!$O3:$BB3,MATCH('Costs &amp; Revenue'!AX$5,Inputs!$O$5:$BB$5,0))</f>
        <v/>
      </c>
      <c r="AY3" s="62">
        <f>INDEX(Inputs!$O3:$BB3,MATCH('Costs &amp; Revenue'!AY$5,Inputs!$O$5:$BB$5,0))</f>
        <v/>
      </c>
      <c r="AZ3" s="62">
        <f>INDEX(Inputs!$O3:$BB3,MATCH('Costs &amp; Revenue'!AZ$5,Inputs!$O$5:$BB$5,0))</f>
        <v/>
      </c>
      <c r="BA3" s="62">
        <f>INDEX(Inputs!$O3:$BB3,MATCH('Costs &amp; Revenue'!BA$5,Inputs!$O$5:$BB$5,0))</f>
        <v/>
      </c>
      <c r="BB3" s="62">
        <f>INDEX(Inputs!$O3:$BB3,MATCH('Costs &amp; Revenue'!BB$5,Inputs!$O$5:$BB$5,0))</f>
        <v/>
      </c>
    </row>
    <row r="4" ht="15" customFormat="1" customHeight="1" s="52">
      <c r="E4" s="52" t="inlineStr">
        <is>
          <t>Year ending</t>
        </is>
      </c>
      <c r="O4" s="62">
        <f>INDEX(Inputs!$O4:$BB4,MATCH('Costs &amp; Revenue'!O$5,Inputs!$O$5:$BB$5,0))</f>
        <v/>
      </c>
      <c r="P4" s="62">
        <f>INDEX(Inputs!$O4:$BB4,MATCH('Costs &amp; Revenue'!P$5,Inputs!$O$5:$BB$5,0))</f>
        <v/>
      </c>
      <c r="Q4" s="62">
        <f>INDEX(Inputs!$O4:$BB4,MATCH('Costs &amp; Revenue'!Q$5,Inputs!$O$5:$BB$5,0))</f>
        <v/>
      </c>
      <c r="R4" s="62">
        <f>INDEX(Inputs!$O4:$BB4,MATCH('Costs &amp; Revenue'!R$5,Inputs!$O$5:$BB$5,0))</f>
        <v/>
      </c>
      <c r="S4" s="62">
        <f>INDEX(Inputs!$O4:$BB4,MATCH('Costs &amp; Revenue'!S$5,Inputs!$O$5:$BB$5,0))</f>
        <v/>
      </c>
      <c r="T4" s="62">
        <f>INDEX(Inputs!$O4:$BB4,MATCH('Costs &amp; Revenue'!T$5,Inputs!$O$5:$BB$5,0))</f>
        <v/>
      </c>
      <c r="U4" s="62">
        <f>INDEX(Inputs!$O4:$BB4,MATCH('Costs &amp; Revenue'!U$5,Inputs!$O$5:$BB$5,0))</f>
        <v/>
      </c>
      <c r="V4" s="62">
        <f>INDEX(Inputs!$O4:$BB4,MATCH('Costs &amp; Revenue'!V$5,Inputs!$O$5:$BB$5,0))</f>
        <v/>
      </c>
      <c r="W4" s="62">
        <f>INDEX(Inputs!$O4:$BB4,MATCH('Costs &amp; Revenue'!W$5,Inputs!$O$5:$BB$5,0))</f>
        <v/>
      </c>
      <c r="X4" s="62">
        <f>INDEX(Inputs!$O4:$BB4,MATCH('Costs &amp; Revenue'!X$5,Inputs!$O$5:$BB$5,0))</f>
        <v/>
      </c>
      <c r="Y4" s="62">
        <f>INDEX(Inputs!$O4:$BB4,MATCH('Costs &amp; Revenue'!Y$5,Inputs!$O$5:$BB$5,0))</f>
        <v/>
      </c>
      <c r="Z4" s="62">
        <f>INDEX(Inputs!$O4:$BB4,MATCH('Costs &amp; Revenue'!Z$5,Inputs!$O$5:$BB$5,0))</f>
        <v/>
      </c>
      <c r="AA4" s="62">
        <f>INDEX(Inputs!$O4:$BB4,MATCH('Costs &amp; Revenue'!AA$5,Inputs!$O$5:$BB$5,0))</f>
        <v/>
      </c>
      <c r="AB4" s="62">
        <f>INDEX(Inputs!$O4:$BB4,MATCH('Costs &amp; Revenue'!AB$5,Inputs!$O$5:$BB$5,0))</f>
        <v/>
      </c>
      <c r="AC4" s="62">
        <f>INDEX(Inputs!$O4:$BB4,MATCH('Costs &amp; Revenue'!AC$5,Inputs!$O$5:$BB$5,0))</f>
        <v/>
      </c>
      <c r="AD4" s="62">
        <f>INDEX(Inputs!$O4:$BB4,MATCH('Costs &amp; Revenue'!AD$5,Inputs!$O$5:$BB$5,0))</f>
        <v/>
      </c>
      <c r="AE4" s="62">
        <f>INDEX(Inputs!$O4:$BB4,MATCH('Costs &amp; Revenue'!AE$5,Inputs!$O$5:$BB$5,0))</f>
        <v/>
      </c>
      <c r="AF4" s="62">
        <f>INDEX(Inputs!$O4:$BB4,MATCH('Costs &amp; Revenue'!AF$5,Inputs!$O$5:$BB$5,0))</f>
        <v/>
      </c>
      <c r="AG4" s="62">
        <f>INDEX(Inputs!$O4:$BB4,MATCH('Costs &amp; Revenue'!AG$5,Inputs!$O$5:$BB$5,0))</f>
        <v/>
      </c>
      <c r="AH4" s="62">
        <f>INDEX(Inputs!$O4:$BB4,MATCH('Costs &amp; Revenue'!AH$5,Inputs!$O$5:$BB$5,0))</f>
        <v/>
      </c>
      <c r="AI4" s="62">
        <f>INDEX(Inputs!$O4:$BB4,MATCH('Costs &amp; Revenue'!AI$5,Inputs!$O$5:$BB$5,0))</f>
        <v/>
      </c>
      <c r="AJ4" s="62">
        <f>INDEX(Inputs!$O4:$BB4,MATCH('Costs &amp; Revenue'!AJ$5,Inputs!$O$5:$BB$5,0))</f>
        <v/>
      </c>
      <c r="AK4" s="62">
        <f>INDEX(Inputs!$O4:$BB4,MATCH('Costs &amp; Revenue'!AK$5,Inputs!$O$5:$BB$5,0))</f>
        <v/>
      </c>
      <c r="AL4" s="62">
        <f>INDEX(Inputs!$O4:$BB4,MATCH('Costs &amp; Revenue'!AL$5,Inputs!$O$5:$BB$5,0))</f>
        <v/>
      </c>
      <c r="AM4" s="62">
        <f>INDEX(Inputs!$O4:$BB4,MATCH('Costs &amp; Revenue'!AM$5,Inputs!$O$5:$BB$5,0))</f>
        <v/>
      </c>
      <c r="AN4" s="62">
        <f>INDEX(Inputs!$O4:$BB4,MATCH('Costs &amp; Revenue'!AN$5,Inputs!$O$5:$BB$5,0))</f>
        <v/>
      </c>
      <c r="AO4" s="62">
        <f>INDEX(Inputs!$O4:$BB4,MATCH('Costs &amp; Revenue'!AO$5,Inputs!$O$5:$BB$5,0))</f>
        <v/>
      </c>
      <c r="AP4" s="62">
        <f>INDEX(Inputs!$O4:$BB4,MATCH('Costs &amp; Revenue'!AP$5,Inputs!$O$5:$BB$5,0))</f>
        <v/>
      </c>
      <c r="AQ4" s="62">
        <f>INDEX(Inputs!$O4:$BB4,MATCH('Costs &amp; Revenue'!AQ$5,Inputs!$O$5:$BB$5,0))</f>
        <v/>
      </c>
      <c r="AR4" s="62">
        <f>INDEX(Inputs!$O4:$BB4,MATCH('Costs &amp; Revenue'!AR$5,Inputs!$O$5:$BB$5,0))</f>
        <v/>
      </c>
      <c r="AS4" s="62">
        <f>INDEX(Inputs!$O4:$BB4,MATCH('Costs &amp; Revenue'!AS$5,Inputs!$O$5:$BB$5,0))</f>
        <v/>
      </c>
      <c r="AT4" s="62">
        <f>INDEX(Inputs!$O4:$BB4,MATCH('Costs &amp; Revenue'!AT$5,Inputs!$O$5:$BB$5,0))</f>
        <v/>
      </c>
      <c r="AU4" s="62">
        <f>INDEX(Inputs!$O4:$BB4,MATCH('Costs &amp; Revenue'!AU$5,Inputs!$O$5:$BB$5,0))</f>
        <v/>
      </c>
      <c r="AV4" s="62">
        <f>INDEX(Inputs!$O4:$BB4,MATCH('Costs &amp; Revenue'!AV$5,Inputs!$O$5:$BB$5,0))</f>
        <v/>
      </c>
      <c r="AW4" s="62">
        <f>INDEX(Inputs!$O4:$BB4,MATCH('Costs &amp; Revenue'!AW$5,Inputs!$O$5:$BB$5,0))</f>
        <v/>
      </c>
      <c r="AX4" s="62">
        <f>INDEX(Inputs!$O4:$BB4,MATCH('Costs &amp; Revenue'!AX$5,Inputs!$O$5:$BB$5,0))</f>
        <v/>
      </c>
      <c r="AY4" s="62">
        <f>INDEX(Inputs!$O4:$BB4,MATCH('Costs &amp; Revenue'!AY$5,Inputs!$O$5:$BB$5,0))</f>
        <v/>
      </c>
      <c r="AZ4" s="62">
        <f>INDEX(Inputs!$O4:$BB4,MATCH('Costs &amp; Revenue'!AZ$5,Inputs!$O$5:$BB$5,0))</f>
        <v/>
      </c>
      <c r="BA4" s="62">
        <f>INDEX(Inputs!$O4:$BB4,MATCH('Costs &amp; Revenue'!BA$5,Inputs!$O$5:$BB$5,0))</f>
        <v/>
      </c>
      <c r="BB4" s="62">
        <f>INDEX(Inputs!$O4:$BB4,MATCH('Costs &amp; Revenue'!BB$5,Inputs!$O$5:$BB$5,0))</f>
        <v/>
      </c>
      <c r="BC4" s="62" t="n"/>
    </row>
    <row r="5" ht="15" customFormat="1" customHeight="1" s="52">
      <c r="E5" s="52" t="inlineStr">
        <is>
          <t>Operational year</t>
        </is>
      </c>
      <c r="O5" s="11">
        <f>Inputs!O5</f>
        <v/>
      </c>
      <c r="P5" s="11">
        <f>Inputs!P5</f>
        <v/>
      </c>
      <c r="Q5" s="11">
        <f>Inputs!Q5</f>
        <v/>
      </c>
      <c r="R5" s="11">
        <f>Inputs!R5</f>
        <v/>
      </c>
      <c r="S5" s="11">
        <f>Inputs!S5</f>
        <v/>
      </c>
      <c r="T5" s="11">
        <f>Inputs!T5</f>
        <v/>
      </c>
      <c r="U5" s="11">
        <f>Inputs!U5</f>
        <v/>
      </c>
      <c r="V5" s="11">
        <f>Inputs!V5</f>
        <v/>
      </c>
      <c r="W5" s="11">
        <f>Inputs!W5</f>
        <v/>
      </c>
      <c r="X5" s="11">
        <f>Inputs!X5</f>
        <v/>
      </c>
      <c r="Y5" s="11">
        <f>Inputs!Y5</f>
        <v/>
      </c>
      <c r="Z5" s="11">
        <f>Inputs!Z5</f>
        <v/>
      </c>
      <c r="AA5" s="11">
        <f>Inputs!AA5</f>
        <v/>
      </c>
      <c r="AB5" s="11">
        <f>Inputs!AB5</f>
        <v/>
      </c>
      <c r="AC5" s="11">
        <f>Inputs!AC5</f>
        <v/>
      </c>
      <c r="AD5" s="11">
        <f>Inputs!AD5</f>
        <v/>
      </c>
      <c r="AE5" s="11">
        <f>Inputs!AE5</f>
        <v/>
      </c>
      <c r="AF5" s="11">
        <f>Inputs!AF5</f>
        <v/>
      </c>
      <c r="AG5" s="11">
        <f>Inputs!AG5</f>
        <v/>
      </c>
      <c r="AH5" s="11">
        <f>Inputs!AH5</f>
        <v/>
      </c>
      <c r="AI5" s="11">
        <f>Inputs!AI5</f>
        <v/>
      </c>
      <c r="AJ5" s="11">
        <f>Inputs!AJ5</f>
        <v/>
      </c>
      <c r="AK5" s="11">
        <f>Inputs!AK5</f>
        <v/>
      </c>
      <c r="AL5" s="11">
        <f>Inputs!AL5</f>
        <v/>
      </c>
      <c r="AM5" s="11">
        <f>Inputs!AM5</f>
        <v/>
      </c>
      <c r="AN5" s="11">
        <f>Inputs!AN5</f>
        <v/>
      </c>
      <c r="AO5" s="11">
        <f>Inputs!AO5</f>
        <v/>
      </c>
      <c r="AP5" s="11">
        <f>Inputs!AP5</f>
        <v/>
      </c>
      <c r="AQ5" s="11">
        <f>Inputs!AQ5</f>
        <v/>
      </c>
      <c r="AR5" s="11">
        <f>Inputs!AR5</f>
        <v/>
      </c>
      <c r="AS5" s="11">
        <f>Inputs!AS5</f>
        <v/>
      </c>
      <c r="AT5" s="11">
        <f>Inputs!AT5</f>
        <v/>
      </c>
      <c r="AU5" s="11">
        <f>Inputs!AU5</f>
        <v/>
      </c>
      <c r="AV5" s="11">
        <f>Inputs!AV5</f>
        <v/>
      </c>
      <c r="AW5" s="11">
        <f>Inputs!AW5</f>
        <v/>
      </c>
      <c r="AX5" s="11">
        <f>Inputs!AX5</f>
        <v/>
      </c>
      <c r="AY5" s="11">
        <f>Inputs!AY5</f>
        <v/>
      </c>
      <c r="AZ5" s="11">
        <f>Inputs!AZ5</f>
        <v/>
      </c>
      <c r="BA5" s="11">
        <f>Inputs!BA5</f>
        <v/>
      </c>
      <c r="BB5" s="11">
        <f>Inputs!BB5</f>
        <v/>
      </c>
      <c r="BC5" s="62" t="n"/>
    </row>
    <row r="6" ht="15" customHeight="1">
      <c r="I6" s="16" t="n"/>
      <c r="J6" s="16" t="n"/>
      <c r="K6" s="16" t="n"/>
      <c r="L6" s="16" t="n"/>
      <c r="M6" s="16" t="n"/>
      <c r="N6" s="16" t="n"/>
      <c r="O6" s="16" t="n"/>
      <c r="P6" s="16" t="n"/>
      <c r="Q6" s="16" t="n"/>
      <c r="R6" s="16" t="n"/>
      <c r="S6" s="16" t="n"/>
      <c r="T6" s="16" t="n"/>
      <c r="U6" s="16" t="n"/>
      <c r="V6" s="16" t="n"/>
      <c r="W6" s="16" t="n"/>
      <c r="X6" s="16" t="n"/>
      <c r="Y6" s="16" t="n"/>
      <c r="Z6" s="16" t="n"/>
      <c r="AA6" s="16" t="n"/>
      <c r="AB6" s="16" t="n"/>
      <c r="AC6" s="16" t="n"/>
      <c r="AD6" s="16" t="n"/>
      <c r="AE6" s="16" t="n"/>
      <c r="AF6" s="16" t="n"/>
      <c r="AG6" s="16" t="n"/>
      <c r="AH6" s="16" t="n"/>
      <c r="AI6" s="16" t="n"/>
      <c r="AJ6" s="16" t="n"/>
      <c r="AK6" s="16" t="n"/>
      <c r="AL6" s="16" t="n"/>
      <c r="AM6" s="16" t="n"/>
      <c r="AN6" s="16" t="n"/>
      <c r="AO6" s="16" t="n"/>
      <c r="AP6" s="16" t="n"/>
      <c r="AQ6" s="16" t="n"/>
      <c r="AR6" s="16" t="n"/>
      <c r="AS6" s="16" t="n"/>
      <c r="AT6" s="16" t="n"/>
      <c r="AU6" s="16" t="n"/>
      <c r="AV6" s="16" t="n"/>
      <c r="AW6" s="16" t="n"/>
      <c r="AX6" s="16" t="n"/>
      <c r="AY6" s="16" t="n"/>
      <c r="AZ6" s="16" t="n"/>
      <c r="BA6" s="16" t="n"/>
      <c r="BB6" s="16" t="n"/>
    </row>
    <row r="7" ht="15" customFormat="1" customHeight="1" s="4">
      <c r="B7" s="8" t="inlineStr">
        <is>
          <t>Availability incentives</t>
        </is>
      </c>
      <c r="C7" s="8" t="n"/>
      <c r="D7" s="8" t="n"/>
      <c r="E7" s="8" t="n"/>
      <c r="F7" s="8" t="n"/>
      <c r="G7" s="8" t="n"/>
      <c r="H7" s="8" t="n"/>
      <c r="I7" s="8" t="n"/>
      <c r="J7" s="8" t="n"/>
      <c r="K7" s="8" t="n"/>
      <c r="L7" s="8" t="n"/>
      <c r="M7" s="8" t="n"/>
      <c r="N7" s="8" t="n"/>
      <c r="O7" s="8" t="n"/>
      <c r="P7" s="8" t="n"/>
      <c r="Q7" s="8" t="n"/>
      <c r="R7" s="8" t="n"/>
      <c r="S7" s="8" t="n"/>
      <c r="T7" s="8" t="n"/>
      <c r="U7" s="8" t="n"/>
      <c r="V7" s="8" t="n"/>
      <c r="W7" s="8" t="n"/>
      <c r="X7" s="8" t="n"/>
      <c r="Y7" s="8" t="n"/>
      <c r="Z7" s="8" t="n"/>
      <c r="AA7" s="8" t="n"/>
      <c r="AB7" s="8" t="n"/>
      <c r="AC7" s="8" t="n"/>
      <c r="AD7" s="8" t="n"/>
      <c r="AE7" s="8" t="n"/>
      <c r="AF7" s="8" t="n"/>
      <c r="AG7" s="8" t="n"/>
      <c r="AH7" s="8" t="n"/>
      <c r="AI7" s="8" t="n"/>
      <c r="AJ7" s="8" t="n"/>
      <c r="AK7" s="8" t="n"/>
      <c r="AL7" s="8" t="n"/>
      <c r="AM7" s="8" t="n"/>
      <c r="AN7" s="8" t="n"/>
      <c r="AO7" s="8" t="n"/>
      <c r="AP7" s="8" t="n"/>
      <c r="AQ7" s="8" t="n"/>
      <c r="AR7" s="8" t="n"/>
      <c r="AS7" s="8" t="n"/>
      <c r="AT7" s="8" t="n"/>
      <c r="AU7" s="8" t="n"/>
      <c r="AV7" s="8" t="n"/>
      <c r="AW7" s="8" t="n"/>
      <c r="AX7" s="8" t="n"/>
      <c r="AY7" s="8" t="n"/>
      <c r="AZ7" s="8" t="n"/>
      <c r="BA7" s="8" t="n"/>
      <c r="BB7" s="8" t="n"/>
    </row>
    <row r="8" ht="15" customHeight="1">
      <c r="I8" s="16" t="n"/>
      <c r="J8" s="16" t="n"/>
      <c r="K8" s="16" t="n"/>
      <c r="L8" s="16" t="n"/>
      <c r="M8" s="16" t="n"/>
      <c r="N8" s="16" t="n"/>
      <c r="O8" s="16" t="n"/>
      <c r="P8" s="16" t="n"/>
      <c r="Q8" s="16" t="n"/>
      <c r="R8" s="16" t="n"/>
      <c r="S8" s="16" t="n"/>
      <c r="T8" s="16" t="n"/>
      <c r="U8" s="16" t="n"/>
      <c r="V8" s="16" t="n"/>
      <c r="W8" s="16" t="n"/>
      <c r="X8" s="16" t="n"/>
      <c r="Y8" s="16" t="n"/>
      <c r="Z8" s="16" t="n"/>
      <c r="AA8" s="16" t="n"/>
      <c r="AB8" s="16" t="n"/>
      <c r="AC8" s="16" t="n"/>
      <c r="AD8" s="16" t="n"/>
      <c r="AE8" s="16" t="n"/>
      <c r="AF8" s="16" t="n"/>
      <c r="AG8" s="16" t="n"/>
      <c r="AH8" s="16" t="n"/>
      <c r="AI8" s="16" t="n"/>
      <c r="AJ8" s="16" t="n"/>
      <c r="AK8" s="16" t="n"/>
      <c r="AL8" s="16" t="n"/>
      <c r="AM8" s="16" t="n"/>
      <c r="AN8" s="16" t="n"/>
      <c r="AO8" s="16" t="n"/>
      <c r="AP8" s="16" t="n"/>
      <c r="AQ8" s="16" t="n"/>
      <c r="AR8" s="16" t="n"/>
      <c r="AS8" s="16" t="n"/>
      <c r="AT8" s="16" t="n"/>
      <c r="AU8" s="16" t="n"/>
      <c r="AV8" s="16" t="n"/>
      <c r="AW8" s="16" t="n"/>
      <c r="AX8" s="16" t="n"/>
      <c r="AY8" s="16" t="n"/>
      <c r="AZ8" s="16" t="n"/>
      <c r="BA8" s="16" t="n"/>
      <c r="BB8" s="16" t="n"/>
    </row>
    <row r="9" ht="15" customFormat="1" customHeight="1" s="63">
      <c r="C9" s="40" t="inlineStr">
        <is>
          <t>Cap and Floor (pre-availability incentive)</t>
        </is>
      </c>
      <c r="D9" s="40" t="n"/>
      <c r="E9" s="40" t="n"/>
      <c r="F9" s="40" t="n"/>
      <c r="G9" s="40" t="n"/>
      <c r="H9" s="40" t="n"/>
      <c r="I9" s="40" t="n"/>
      <c r="J9" s="40" t="n"/>
      <c r="K9" s="40" t="n"/>
      <c r="L9" s="40" t="n"/>
      <c r="M9" s="40" t="n"/>
      <c r="N9" s="40" t="n"/>
      <c r="O9" s="40" t="n"/>
      <c r="P9" s="40" t="n"/>
      <c r="Q9" s="40" t="n"/>
      <c r="R9" s="40" t="n"/>
      <c r="S9" s="40" t="n"/>
      <c r="T9" s="40" t="n"/>
      <c r="U9" s="40" t="n"/>
      <c r="V9" s="40" t="n"/>
      <c r="W9" s="40" t="n"/>
      <c r="X9" s="40" t="n"/>
      <c r="Y9" s="40" t="n"/>
      <c r="Z9" s="40" t="n"/>
      <c r="AA9" s="40" t="n"/>
      <c r="AB9" s="40" t="n"/>
      <c r="AC9" s="40" t="n"/>
      <c r="AD9" s="40" t="n"/>
      <c r="AE9" s="40" t="n"/>
      <c r="AF9" s="40" t="n"/>
      <c r="AG9" s="40" t="n"/>
      <c r="AH9" s="40" t="n"/>
      <c r="AI9" s="40" t="n"/>
      <c r="AJ9" s="40" t="n"/>
      <c r="AK9" s="40" t="n"/>
      <c r="AL9" s="40" t="n"/>
      <c r="AM9" s="40" t="n"/>
      <c r="AN9" s="40" t="n"/>
      <c r="AO9" s="40" t="n"/>
      <c r="AP9" s="40" t="n"/>
      <c r="AQ9" s="40" t="n"/>
      <c r="AR9" s="40" t="n"/>
      <c r="AS9" s="40" t="n"/>
      <c r="AT9" s="40" t="n"/>
      <c r="AU9" s="40" t="n"/>
      <c r="AV9" s="40" t="n"/>
      <c r="AW9" s="40" t="n"/>
      <c r="AX9" s="40" t="n"/>
      <c r="AY9" s="40" t="n"/>
      <c r="AZ9" s="40" t="n"/>
      <c r="BA9" s="40" t="n"/>
      <c r="BB9" s="40" t="n"/>
    </row>
    <row r="10" ht="15" customHeight="1">
      <c r="A10" s="5" t="n"/>
      <c r="B10" s="5" t="n"/>
      <c r="C10" s="5" t="n"/>
      <c r="D10" s="5" t="n"/>
      <c r="J10" s="16" t="n"/>
      <c r="K10" s="16" t="n"/>
      <c r="L10" s="16" t="n"/>
      <c r="M10" s="16" t="n"/>
      <c r="N10" s="16" t="n"/>
      <c r="O10" s="16" t="n"/>
      <c r="P10" s="16" t="n"/>
      <c r="Q10" s="16" t="n"/>
      <c r="R10" s="16" t="n"/>
      <c r="S10" s="16" t="n"/>
      <c r="T10" s="16" t="n"/>
      <c r="U10" s="16" t="n"/>
      <c r="V10" s="16" t="n"/>
      <c r="W10" s="16" t="n"/>
      <c r="X10" s="16" t="n"/>
      <c r="Y10" s="16" t="n"/>
      <c r="Z10" s="16" t="n"/>
      <c r="AA10" s="16" t="n"/>
      <c r="AB10" s="16" t="n"/>
      <c r="AC10" s="16" t="n"/>
      <c r="AD10" s="16" t="n"/>
      <c r="AE10" s="16" t="n"/>
      <c r="AF10" s="16" t="n"/>
      <c r="AG10" s="16" t="n"/>
      <c r="AH10" s="16" t="n"/>
      <c r="AI10" s="16" t="n"/>
      <c r="AJ10" s="16" t="n"/>
      <c r="AK10" s="16" t="n"/>
      <c r="AL10" s="16" t="n"/>
      <c r="AM10" s="16" t="n"/>
      <c r="AN10" s="16" t="n"/>
      <c r="AO10" s="16" t="n"/>
      <c r="AP10" s="16" t="n"/>
      <c r="AQ10" s="16" t="n"/>
      <c r="AR10" s="16" t="n"/>
      <c r="AS10" s="16" t="n"/>
      <c r="AT10" s="16" t="n"/>
      <c r="AU10" s="16" t="n"/>
      <c r="AV10" s="16" t="n"/>
      <c r="AW10" s="16" t="n"/>
      <c r="AX10" s="16" t="n"/>
      <c r="AY10" s="16" t="n"/>
      <c r="AZ10" s="16" t="n"/>
      <c r="BA10" s="16" t="n"/>
      <c r="BB10" s="16" t="n"/>
    </row>
    <row r="11" ht="15" customHeight="1">
      <c r="A11" s="5" t="n"/>
      <c r="B11" s="5" t="n"/>
      <c r="C11" s="5" t="n"/>
      <c r="D11" s="5" t="n"/>
      <c r="E11" s="5">
        <f>Indexation!E53</f>
        <v/>
      </c>
      <c r="G11" s="5" t="inlineStr">
        <is>
          <t>£m nominal prices</t>
        </is>
      </c>
      <c r="J11" s="16" t="n"/>
      <c r="K11" s="16" t="n"/>
      <c r="L11" s="16" t="n"/>
      <c r="M11" s="16" t="n"/>
      <c r="N11" s="16" t="n"/>
      <c r="O11" s="33" t="n"/>
      <c r="P11" s="84">
        <f>Indexation!P53</f>
        <v/>
      </c>
      <c r="Q11" s="84">
        <f>Indexation!Q53</f>
        <v/>
      </c>
      <c r="R11" s="84">
        <f>Indexation!R53</f>
        <v/>
      </c>
      <c r="S11" s="84">
        <f>Indexation!S53</f>
        <v/>
      </c>
      <c r="T11" s="84">
        <f>Indexation!T53</f>
        <v/>
      </c>
      <c r="U11" s="84">
        <f>Indexation!U53</f>
        <v/>
      </c>
      <c r="V11" s="84">
        <f>Indexation!V53</f>
        <v/>
      </c>
      <c r="W11" s="84">
        <f>Indexation!W53</f>
        <v/>
      </c>
      <c r="X11" s="84">
        <f>Indexation!X53</f>
        <v/>
      </c>
      <c r="Y11" s="84">
        <f>Indexation!Y53</f>
        <v/>
      </c>
      <c r="Z11" s="84">
        <f>Indexation!Z53</f>
        <v/>
      </c>
      <c r="AA11" s="84">
        <f>Indexation!AA53</f>
        <v/>
      </c>
      <c r="AB11" s="84">
        <f>Indexation!AB53</f>
        <v/>
      </c>
      <c r="AC11" s="84">
        <f>Indexation!AC53</f>
        <v/>
      </c>
      <c r="AD11" s="84">
        <f>Indexation!AD53</f>
        <v/>
      </c>
      <c r="AE11" s="84">
        <f>Indexation!AE53</f>
        <v/>
      </c>
      <c r="AF11" s="84">
        <f>Indexation!AF53</f>
        <v/>
      </c>
      <c r="AG11" s="84">
        <f>Indexation!AG53</f>
        <v/>
      </c>
      <c r="AH11" s="84">
        <f>Indexation!AH53</f>
        <v/>
      </c>
      <c r="AI11" s="84">
        <f>Indexation!AI53</f>
        <v/>
      </c>
      <c r="AJ11" s="84">
        <f>Indexation!AJ53</f>
        <v/>
      </c>
      <c r="AK11" s="84">
        <f>Indexation!AK53</f>
        <v/>
      </c>
      <c r="AL11" s="84">
        <f>Indexation!AL53</f>
        <v/>
      </c>
      <c r="AM11" s="84">
        <f>Indexation!AM53</f>
        <v/>
      </c>
      <c r="AN11" s="84">
        <f>Indexation!AN53</f>
        <v/>
      </c>
      <c r="AO11" s="84">
        <f>Indexation!AO53</f>
        <v/>
      </c>
      <c r="AP11" s="84">
        <f>Indexation!AP53</f>
        <v/>
      </c>
      <c r="AQ11" s="84">
        <f>Indexation!AQ53</f>
        <v/>
      </c>
      <c r="AR11" s="84">
        <f>Indexation!AR53</f>
        <v/>
      </c>
      <c r="AS11" s="84">
        <f>Indexation!AS53</f>
        <v/>
      </c>
      <c r="AT11" s="84">
        <f>Indexation!AT53</f>
        <v/>
      </c>
      <c r="AU11" s="84">
        <f>Indexation!AU53</f>
        <v/>
      </c>
      <c r="AV11" s="84">
        <f>Indexation!AV53</f>
        <v/>
      </c>
      <c r="AW11" s="84">
        <f>Indexation!AW53</f>
        <v/>
      </c>
      <c r="AX11" s="84">
        <f>Indexation!AX53</f>
        <v/>
      </c>
      <c r="AY11" s="84">
        <f>Indexation!AY53</f>
        <v/>
      </c>
      <c r="AZ11" s="84">
        <f>Indexation!AZ53</f>
        <v/>
      </c>
      <c r="BA11" s="84">
        <f>Indexation!BA53</f>
        <v/>
      </c>
      <c r="BB11" s="84">
        <f>Indexation!BB53</f>
        <v/>
      </c>
    </row>
    <row r="12" ht="15" customHeight="1">
      <c r="A12" s="5" t="n"/>
      <c r="B12" s="5" t="n"/>
      <c r="C12" s="5" t="n"/>
      <c r="D12" s="5" t="n"/>
      <c r="E12" s="5">
        <f>Indexation!E54</f>
        <v/>
      </c>
      <c r="G12" s="5" t="inlineStr">
        <is>
          <t>£m nominal prices</t>
        </is>
      </c>
      <c r="H12" s="21" t="inlineStr">
        <is>
          <t>NFLt</t>
        </is>
      </c>
      <c r="J12" s="16" t="n"/>
      <c r="K12" s="16" t="n"/>
      <c r="L12" s="16" t="n"/>
      <c r="M12" s="16" t="n"/>
      <c r="N12" s="16" t="n"/>
      <c r="O12" s="33" t="n"/>
      <c r="P12" s="150">
        <f>Indexation!P54</f>
        <v/>
      </c>
      <c r="Q12" s="150">
        <f>Indexation!Q54</f>
        <v/>
      </c>
      <c r="R12" s="150">
        <f>Indexation!R54</f>
        <v/>
      </c>
      <c r="S12" s="150">
        <f>Indexation!S54</f>
        <v/>
      </c>
      <c r="T12" s="150">
        <f>Indexation!T54</f>
        <v/>
      </c>
      <c r="U12" s="150">
        <f>Indexation!U54</f>
        <v/>
      </c>
      <c r="V12" s="150">
        <f>Indexation!V54</f>
        <v/>
      </c>
      <c r="W12" s="150">
        <f>Indexation!W54</f>
        <v/>
      </c>
      <c r="X12" s="150">
        <f>Indexation!X54</f>
        <v/>
      </c>
      <c r="Y12" s="150">
        <f>Indexation!Y54</f>
        <v/>
      </c>
      <c r="Z12" s="150">
        <f>Indexation!Z54</f>
        <v/>
      </c>
      <c r="AA12" s="150">
        <f>Indexation!AA54</f>
        <v/>
      </c>
      <c r="AB12" s="150">
        <f>Indexation!AB54</f>
        <v/>
      </c>
      <c r="AC12" s="150">
        <f>Indexation!AC54</f>
        <v/>
      </c>
      <c r="AD12" s="150">
        <f>Indexation!AD54</f>
        <v/>
      </c>
      <c r="AE12" s="150">
        <f>Indexation!AE54</f>
        <v/>
      </c>
      <c r="AF12" s="150">
        <f>Indexation!AF54</f>
        <v/>
      </c>
      <c r="AG12" s="150">
        <f>Indexation!AG54</f>
        <v/>
      </c>
      <c r="AH12" s="150">
        <f>Indexation!AH54</f>
        <v/>
      </c>
      <c r="AI12" s="150">
        <f>Indexation!AI54</f>
        <v/>
      </c>
      <c r="AJ12" s="150">
        <f>Indexation!AJ54</f>
        <v/>
      </c>
      <c r="AK12" s="150">
        <f>Indexation!AK54</f>
        <v/>
      </c>
      <c r="AL12" s="150">
        <f>Indexation!AL54</f>
        <v/>
      </c>
      <c r="AM12" s="150">
        <f>Indexation!AM54</f>
        <v/>
      </c>
      <c r="AN12" s="150">
        <f>Indexation!AN54</f>
        <v/>
      </c>
      <c r="AO12" s="150">
        <f>Indexation!AO54</f>
        <v/>
      </c>
      <c r="AP12" s="150">
        <f>Indexation!AP54</f>
        <v/>
      </c>
      <c r="AQ12" s="150">
        <f>Indexation!AQ54</f>
        <v/>
      </c>
      <c r="AR12" s="150">
        <f>Indexation!AR54</f>
        <v/>
      </c>
      <c r="AS12" s="150">
        <f>Indexation!AS54</f>
        <v/>
      </c>
      <c r="AT12" s="150">
        <f>Indexation!AT54</f>
        <v/>
      </c>
      <c r="AU12" s="150">
        <f>Indexation!AU54</f>
        <v/>
      </c>
      <c r="AV12" s="150">
        <f>Indexation!AV54</f>
        <v/>
      </c>
      <c r="AW12" s="150">
        <f>Indexation!AW54</f>
        <v/>
      </c>
      <c r="AX12" s="150">
        <f>Indexation!AX54</f>
        <v/>
      </c>
      <c r="AY12" s="150">
        <f>Indexation!AY54</f>
        <v/>
      </c>
      <c r="AZ12" s="150">
        <f>Indexation!AZ54</f>
        <v/>
      </c>
      <c r="BA12" s="150">
        <f>Indexation!BA54</f>
        <v/>
      </c>
      <c r="BB12" s="150">
        <f>Indexation!BB54</f>
        <v/>
      </c>
    </row>
    <row r="13" ht="15" customHeight="1">
      <c r="A13" s="5" t="n"/>
      <c r="B13" s="5" t="n"/>
      <c r="C13" s="5" t="n"/>
      <c r="D13" s="5" t="n"/>
      <c r="J13" s="16" t="n"/>
      <c r="K13" s="16" t="n"/>
      <c r="L13" s="16" t="n"/>
      <c r="M13" s="16" t="n"/>
      <c r="N13" s="16" t="n"/>
      <c r="O13" s="16" t="n"/>
      <c r="P13" s="16" t="n"/>
      <c r="Q13" s="16" t="n"/>
      <c r="R13" s="16" t="n"/>
      <c r="S13" s="16" t="n"/>
      <c r="T13" s="16" t="n"/>
      <c r="U13" s="16" t="n"/>
      <c r="V13" s="16" t="n"/>
      <c r="W13" s="16" t="n"/>
      <c r="X13" s="16" t="n"/>
      <c r="Y13" s="16" t="n"/>
      <c r="Z13" s="16" t="n"/>
      <c r="AB13" s="16" t="n"/>
      <c r="AC13" s="16" t="n"/>
      <c r="AD13" s="16" t="n"/>
      <c r="AE13" s="16" t="n"/>
      <c r="AF13" s="16" t="n"/>
      <c r="AG13" s="16" t="n"/>
      <c r="AH13" s="16" t="n"/>
      <c r="AI13" s="16" t="n"/>
      <c r="AJ13" s="16" t="n"/>
      <c r="AK13" s="16" t="n"/>
      <c r="AL13" s="16" t="n"/>
      <c r="AM13" s="16" t="n"/>
      <c r="AN13" s="16" t="n"/>
      <c r="AO13" s="16" t="n"/>
      <c r="AP13" s="16" t="n"/>
      <c r="AQ13" s="16" t="n"/>
      <c r="AR13" s="16" t="n"/>
      <c r="AS13" s="16" t="n"/>
      <c r="AT13" s="16" t="n"/>
      <c r="AU13" s="16" t="n"/>
      <c r="AV13" s="16" t="n"/>
      <c r="AW13" s="16" t="n"/>
      <c r="AX13" s="16" t="n"/>
      <c r="AY13" s="16" t="n"/>
      <c r="AZ13" s="16" t="n"/>
      <c r="BA13" s="16" t="n"/>
      <c r="BB13" s="16" t="n"/>
    </row>
    <row r="14" ht="15" customFormat="1" customHeight="1" s="63">
      <c r="C14" s="40" t="inlineStr">
        <is>
          <t>Availability parameters</t>
        </is>
      </c>
      <c r="D14" s="40" t="n"/>
      <c r="E14" s="40" t="n"/>
      <c r="F14" s="40" t="n"/>
      <c r="G14" s="40" t="n"/>
      <c r="H14" s="40" t="n"/>
      <c r="I14" s="40" t="n"/>
      <c r="J14" s="40" t="n"/>
      <c r="K14" s="40" t="n"/>
      <c r="L14" s="40" t="n"/>
      <c r="M14" s="40" t="n"/>
      <c r="N14" s="40" t="n"/>
      <c r="O14" s="40" t="n"/>
      <c r="P14" s="40" t="n"/>
      <c r="Q14" s="40" t="n"/>
      <c r="R14" s="40" t="n"/>
      <c r="S14" s="40" t="n"/>
      <c r="T14" s="40" t="n"/>
      <c r="U14" s="40" t="n"/>
      <c r="V14" s="40" t="n"/>
      <c r="W14" s="40" t="n"/>
      <c r="X14" s="40" t="n"/>
      <c r="Y14" s="40" t="n"/>
      <c r="Z14" s="40" t="n"/>
      <c r="AA14" s="40" t="n"/>
      <c r="AB14" s="40" t="n"/>
      <c r="AC14" s="40" t="n"/>
      <c r="AD14" s="40" t="n"/>
      <c r="AE14" s="40" t="n"/>
      <c r="AF14" s="40" t="n"/>
      <c r="AG14" s="40" t="n"/>
      <c r="AH14" s="40" t="n"/>
      <c r="AI14" s="40" t="n"/>
      <c r="AJ14" s="40" t="n"/>
      <c r="AK14" s="40" t="n"/>
      <c r="AL14" s="40" t="n"/>
      <c r="AM14" s="40" t="n"/>
      <c r="AN14" s="40" t="n"/>
      <c r="AO14" s="40" t="n"/>
      <c r="AP14" s="40" t="n"/>
      <c r="AQ14" s="40" t="n"/>
      <c r="AR14" s="40" t="n"/>
      <c r="AS14" s="40" t="n"/>
      <c r="AT14" s="40" t="n"/>
      <c r="AU14" s="40" t="n"/>
      <c r="AV14" s="40" t="n"/>
      <c r="AW14" s="40" t="n"/>
      <c r="AX14" s="40" t="n"/>
      <c r="AY14" s="40" t="n"/>
      <c r="AZ14" s="40" t="n"/>
      <c r="BA14" s="40" t="n"/>
      <c r="BB14" s="40" t="n"/>
    </row>
    <row r="15" ht="15" customHeight="1">
      <c r="B15" s="21" t="n"/>
      <c r="I15" s="16" t="n"/>
      <c r="J15" s="16" t="n"/>
      <c r="K15" s="16" t="n"/>
      <c r="L15" s="16" t="n"/>
      <c r="M15" s="16" t="n"/>
      <c r="N15" s="16" t="n"/>
      <c r="O15" s="16" t="n"/>
      <c r="P15" s="16" t="n"/>
      <c r="Q15" s="16" t="n"/>
      <c r="R15" s="16" t="n"/>
      <c r="S15" s="16" t="n"/>
      <c r="T15" s="16" t="n"/>
      <c r="U15" s="16" t="n"/>
      <c r="V15" s="16" t="n"/>
      <c r="W15" s="16" t="n"/>
      <c r="X15" s="16" t="n"/>
      <c r="Y15" s="16" t="n"/>
      <c r="Z15" s="16" t="n"/>
      <c r="AA15" s="16" t="n"/>
      <c r="AB15" s="16" t="n"/>
      <c r="AC15" s="16" t="n"/>
      <c r="AD15" s="16" t="n"/>
      <c r="AE15" s="16" t="n"/>
      <c r="AF15" s="16" t="n"/>
      <c r="AG15" s="16" t="n"/>
      <c r="AH15" s="16" t="n"/>
      <c r="AI15" s="16" t="n"/>
      <c r="AJ15" s="16" t="n"/>
      <c r="AK15" s="16" t="n"/>
      <c r="AL15" s="16" t="n"/>
      <c r="AM15" s="16" t="n"/>
      <c r="AN15" s="16" t="n"/>
      <c r="AO15" s="16" t="n"/>
      <c r="AP15" s="16" t="n"/>
      <c r="AQ15" s="16" t="n"/>
      <c r="AR15" s="16" t="n"/>
      <c r="AS15" s="16" t="n"/>
      <c r="AT15" s="16" t="n"/>
      <c r="AU15" s="16" t="n"/>
      <c r="AV15" s="16" t="n"/>
      <c r="AW15" s="16" t="n"/>
      <c r="AX15" s="16" t="n"/>
      <c r="AY15" s="16" t="n"/>
      <c r="AZ15" s="16" t="n"/>
      <c r="BA15" s="16" t="n"/>
      <c r="BB15" s="16" t="n"/>
    </row>
    <row r="16" ht="15" customHeight="1">
      <c r="A16" s="5" t="n"/>
      <c r="B16" s="21" t="n"/>
      <c r="C16" s="5" t="n"/>
      <c r="D16" s="5" t="n"/>
      <c r="E16" s="20">
        <f>Inputs!E75</f>
        <v/>
      </c>
      <c r="G16" s="20">
        <f>Inputs!G75</f>
        <v/>
      </c>
      <c r="I16" s="98">
        <f>op_years</f>
        <v/>
      </c>
      <c r="J16" s="16" t="n"/>
      <c r="K16" s="16" t="n"/>
      <c r="L16" s="16" t="n"/>
      <c r="M16" s="16" t="n"/>
      <c r="N16" s="16" t="n"/>
      <c r="O16" s="18" t="n"/>
      <c r="P16" s="18" t="n"/>
      <c r="Q16" s="18" t="n"/>
      <c r="R16" s="18" t="n"/>
      <c r="S16" s="18" t="n"/>
      <c r="T16" s="18" t="n"/>
      <c r="U16" s="18" t="n"/>
      <c r="V16" s="18" t="n"/>
      <c r="W16" s="18" t="n"/>
      <c r="X16" s="18" t="n"/>
      <c r="Y16" s="18" t="n"/>
      <c r="Z16" s="18" t="n"/>
      <c r="AA16" s="18" t="n"/>
      <c r="AB16" s="18" t="n"/>
      <c r="AC16" s="18" t="n"/>
      <c r="AD16" s="18" t="n"/>
      <c r="AE16" s="18" t="n"/>
      <c r="AF16" s="18" t="n"/>
      <c r="AG16" s="18" t="n"/>
      <c r="AH16" s="18" t="n"/>
      <c r="AI16" s="18" t="n"/>
      <c r="AJ16" s="18" t="n"/>
      <c r="AK16" s="18" t="n"/>
      <c r="AL16" s="18" t="n"/>
      <c r="AM16" s="18" t="n"/>
      <c r="AN16" s="18" t="n"/>
      <c r="AO16" s="18" t="n"/>
      <c r="AP16" s="18" t="n"/>
      <c r="AQ16" s="18" t="n"/>
      <c r="AR16" s="18" t="n"/>
      <c r="AS16" s="18" t="n"/>
      <c r="AT16" s="18" t="n"/>
      <c r="AU16" s="18" t="n"/>
      <c r="AV16" s="18" t="n"/>
      <c r="AW16" s="18" t="n"/>
      <c r="AX16" s="18" t="n"/>
      <c r="AY16" s="18" t="n"/>
      <c r="AZ16" s="18" t="n"/>
      <c r="BA16" s="18" t="n"/>
      <c r="BB16" s="18" t="n"/>
    </row>
    <row r="17" ht="15" customHeight="1">
      <c r="A17" s="5" t="n"/>
      <c r="B17" s="21" t="n"/>
      <c r="C17" s="5" t="n"/>
      <c r="D17" s="5" t="n"/>
      <c r="E17" s="5" t="inlineStr">
        <is>
          <t>Year is within operational period</t>
        </is>
      </c>
      <c r="F17" s="5" t="n"/>
      <c r="G17" s="5" t="inlineStr">
        <is>
          <t>flag</t>
        </is>
      </c>
      <c r="H17" s="5" t="n"/>
      <c r="I17" s="14" t="n"/>
      <c r="J17" s="6" t="n"/>
      <c r="K17" s="6" t="n"/>
      <c r="L17" s="6" t="n"/>
      <c r="M17" s="6" t="n"/>
      <c r="N17" s="6" t="n"/>
      <c r="O17" s="33" t="n"/>
      <c r="P17" s="12">
        <f>AND(P$5&gt; 0,P$5&lt;= $I16)</f>
        <v/>
      </c>
      <c r="Q17" s="12">
        <f>AND(Q$5&gt; 0,Q$5&lt;= $I16)</f>
        <v/>
      </c>
      <c r="R17" s="12">
        <f>AND(R$5&gt; 0,R$5&lt;= $I16)</f>
        <v/>
      </c>
      <c r="S17" s="12">
        <f>AND(S$5&gt; 0,S$5&lt;= $I16)</f>
        <v/>
      </c>
      <c r="T17" s="12">
        <f>AND(T$5&gt; 0,T$5&lt;= $I16)</f>
        <v/>
      </c>
      <c r="U17" s="12">
        <f>AND(U$5&gt; 0,U$5&lt;= $I16)</f>
        <v/>
      </c>
      <c r="V17" s="12">
        <f>AND(V$5&gt; 0,V$5&lt;= $I16)</f>
        <v/>
      </c>
      <c r="W17" s="12">
        <f>AND(W$5&gt; 0,W$5&lt;= $I16)</f>
        <v/>
      </c>
      <c r="X17" s="12">
        <f>AND(X$5&gt; 0,X$5&lt;= $I16)</f>
        <v/>
      </c>
      <c r="Y17" s="12">
        <f>AND(Y$5&gt; 0,Y$5&lt;= $I16)</f>
        <v/>
      </c>
      <c r="Z17" s="12">
        <f>AND(Z$5&gt; 0,Z$5&lt;= $I16)</f>
        <v/>
      </c>
      <c r="AA17" s="12">
        <f>AND(AA$5&gt; 0,AA$5&lt;= $I16)</f>
        <v/>
      </c>
      <c r="AB17" s="12">
        <f>AND(AB$5&gt; 0,AB$5&lt;= $I16)</f>
        <v/>
      </c>
      <c r="AC17" s="12">
        <f>AND(AC$5&gt; 0,AC$5&lt;= $I16)</f>
        <v/>
      </c>
      <c r="AD17" s="12">
        <f>AND(AD$5&gt; 0,AD$5&lt;= $I16)</f>
        <v/>
      </c>
      <c r="AE17" s="12">
        <f>AND(AE$5&gt; 0,AE$5&lt;= $I16)</f>
        <v/>
      </c>
      <c r="AF17" s="12">
        <f>AND(AF$5&gt; 0,AF$5&lt;= $I16)</f>
        <v/>
      </c>
      <c r="AG17" s="12">
        <f>AND(AG$5&gt; 0,AG$5&lt;= $I16)</f>
        <v/>
      </c>
      <c r="AH17" s="12">
        <f>AND(AH$5&gt; 0,AH$5&lt;= $I16)</f>
        <v/>
      </c>
      <c r="AI17" s="12">
        <f>AND(AI$5&gt; 0,AI$5&lt;= $I16)</f>
        <v/>
      </c>
      <c r="AJ17" s="12">
        <f>AND(AJ$5&gt; 0,AJ$5&lt;= $I16)</f>
        <v/>
      </c>
      <c r="AK17" s="12">
        <f>AND(AK$5&gt; 0,AK$5&lt;= $I16)</f>
        <v/>
      </c>
      <c r="AL17" s="12">
        <f>AND(AL$5&gt; 0,AL$5&lt;= $I16)</f>
        <v/>
      </c>
      <c r="AM17" s="12">
        <f>AND(AM$5&gt; 0,AM$5&lt;= $I16)</f>
        <v/>
      </c>
      <c r="AN17" s="12">
        <f>AND(AN$5&gt; 0,AN$5&lt;= $I16)</f>
        <v/>
      </c>
      <c r="AO17" s="12">
        <f>AND(AO$5&gt; 0,AO$5&lt;= $I16)</f>
        <v/>
      </c>
      <c r="AP17" s="12">
        <f>AND(AP$5&gt; 0,AP$5&lt;= $I16)</f>
        <v/>
      </c>
      <c r="AQ17" s="12">
        <f>AND(AQ$5&gt; 0,AQ$5&lt;= $I16)</f>
        <v/>
      </c>
      <c r="AR17" s="12">
        <f>AND(AR$5&gt; 0,AR$5&lt;= $I16)</f>
        <v/>
      </c>
      <c r="AS17" s="12">
        <f>AND(AS$5&gt; 0,AS$5&lt;= $I16)</f>
        <v/>
      </c>
      <c r="AT17" s="12">
        <f>AND(AT$5&gt; 0,AT$5&lt;= $I16)</f>
        <v/>
      </c>
      <c r="AU17" s="12">
        <f>AND(AU$5&gt; 0,AU$5&lt;= $I16)</f>
        <v/>
      </c>
      <c r="AV17" s="12">
        <f>AND(AV$5&gt; 0,AV$5&lt;= $I16)</f>
        <v/>
      </c>
      <c r="AW17" s="12">
        <f>AND(AW$5&gt; 0,AW$5&lt;= $I16)</f>
        <v/>
      </c>
      <c r="AX17" s="12">
        <f>AND(AX$5&gt; 0,AX$5&lt;= $I16)</f>
        <v/>
      </c>
      <c r="AY17" s="12">
        <f>AND(AY$5&gt; 0,AY$5&lt;= $I16)</f>
        <v/>
      </c>
      <c r="AZ17" s="12">
        <f>AND(AZ$5&gt; 0,AZ$5&lt;= $I16)</f>
        <v/>
      </c>
      <c r="BA17" s="12">
        <f>AND(BA$5&gt; 0,BA$5&lt;= $I16)</f>
        <v/>
      </c>
      <c r="BB17" s="12">
        <f>AND(BB$5&gt; 0,BB$5&lt;= $I16)</f>
        <v/>
      </c>
    </row>
    <row r="18" ht="15" customHeight="1">
      <c r="A18" s="5" t="n"/>
      <c r="B18" s="21" t="n"/>
      <c r="C18" s="5" t="n"/>
      <c r="D18" s="5" t="n"/>
      <c r="E18" s="5" t="n"/>
      <c r="F18" s="5" t="n"/>
      <c r="G18" s="5" t="n"/>
      <c r="H18" s="5" t="n"/>
      <c r="I18" s="14" t="n"/>
      <c r="J18" s="6" t="n"/>
      <c r="K18" s="6" t="n"/>
      <c r="L18" s="6" t="n"/>
      <c r="M18" s="6" t="n"/>
      <c r="N18" s="6" t="n"/>
      <c r="O18" s="18" t="n"/>
      <c r="P18" s="18" t="n"/>
      <c r="Q18" s="18" t="n"/>
      <c r="R18" s="18" t="n"/>
      <c r="S18" s="18" t="n"/>
      <c r="T18" s="18" t="n"/>
      <c r="U18" s="18" t="n"/>
      <c r="V18" s="18" t="n"/>
      <c r="W18" s="18" t="n"/>
      <c r="X18" s="18" t="n"/>
      <c r="Y18" s="18" t="n"/>
      <c r="Z18" s="18" t="n"/>
      <c r="AA18" s="18" t="n"/>
      <c r="AB18" s="18" t="n"/>
      <c r="AC18" s="18" t="n"/>
      <c r="AD18" s="18" t="n"/>
      <c r="AE18" s="18" t="n"/>
      <c r="AF18" s="18" t="n"/>
      <c r="AG18" s="18" t="n"/>
      <c r="AH18" s="18" t="n"/>
      <c r="AI18" s="18" t="n"/>
      <c r="AJ18" s="18" t="n"/>
      <c r="AK18" s="18" t="n"/>
      <c r="AL18" s="18" t="n"/>
      <c r="AM18" s="18" t="n"/>
      <c r="AN18" s="18" t="n"/>
      <c r="AO18" s="18" t="n"/>
      <c r="AP18" s="18" t="n"/>
      <c r="AQ18" s="18" t="n"/>
      <c r="AR18" s="18" t="n"/>
      <c r="AS18" s="18" t="n"/>
      <c r="AT18" s="18" t="n"/>
      <c r="AU18" s="18" t="n"/>
      <c r="AV18" s="18" t="n"/>
      <c r="AW18" s="18" t="n"/>
      <c r="AX18" s="18" t="n"/>
      <c r="AY18" s="18" t="n"/>
      <c r="AZ18" s="18" t="n"/>
      <c r="BA18" s="18" t="n"/>
      <c r="BB18" s="18" t="n"/>
    </row>
    <row r="19" ht="15" customHeight="1">
      <c r="A19" s="5" t="n"/>
      <c r="B19" s="21" t="n"/>
      <c r="C19" s="5" t="n"/>
      <c r="D19" s="5" t="n"/>
      <c r="E19" s="21" t="inlineStr">
        <is>
          <t>Interconnector rated capacity</t>
        </is>
      </c>
      <c r="G19" s="5" t="inlineStr">
        <is>
          <t>MW</t>
        </is>
      </c>
      <c r="H19" s="21" t="inlineStr">
        <is>
          <t>RC</t>
        </is>
      </c>
      <c r="I19" s="97">
        <f>Inputs!I121</f>
        <v/>
      </c>
      <c r="J19" s="6" t="n"/>
      <c r="K19" s="6" t="n"/>
      <c r="L19" s="6" t="n"/>
      <c r="M19" s="6" t="n"/>
      <c r="N19" s="6" t="n"/>
      <c r="O19" s="18" t="n"/>
      <c r="P19" s="18" t="n"/>
      <c r="Q19" s="18" t="n"/>
      <c r="R19" s="18" t="n"/>
      <c r="S19" s="18" t="n"/>
      <c r="T19" s="18" t="n"/>
      <c r="U19" s="18" t="n"/>
      <c r="V19" s="18" t="n"/>
      <c r="W19" s="18" t="n"/>
      <c r="X19" s="18" t="n"/>
      <c r="Y19" s="18" t="n"/>
      <c r="Z19" s="18" t="n"/>
      <c r="AA19" s="18" t="n"/>
      <c r="AB19" s="18" t="n"/>
      <c r="AC19" s="18" t="n"/>
      <c r="AD19" s="18" t="n"/>
      <c r="AE19" s="18" t="n"/>
      <c r="AF19" s="18" t="n"/>
      <c r="AG19" s="18" t="n"/>
      <c r="AH19" s="18" t="n"/>
      <c r="AI19" s="18" t="n"/>
      <c r="AJ19" s="18" t="n"/>
      <c r="AK19" s="18" t="n"/>
      <c r="AL19" s="18" t="n"/>
      <c r="AM19" s="18" t="n"/>
      <c r="AN19" s="18" t="n"/>
      <c r="AO19" s="18" t="n"/>
      <c r="AP19" s="18" t="n"/>
      <c r="AQ19" s="18" t="n"/>
      <c r="AR19" s="18" t="n"/>
      <c r="AS19" s="18" t="n"/>
      <c r="AT19" s="18" t="n"/>
      <c r="AU19" s="18" t="n"/>
      <c r="AV19" s="18" t="n"/>
      <c r="AW19" s="18" t="n"/>
      <c r="AX19" s="18" t="n"/>
      <c r="AY19" s="18" t="n"/>
      <c r="AZ19" s="18" t="n"/>
      <c r="BA19" s="18" t="n"/>
      <c r="BB19" s="18" t="n"/>
    </row>
    <row r="20" ht="15" customHeight="1">
      <c r="A20" s="5" t="n"/>
      <c r="B20" s="21" t="n"/>
      <c r="C20" s="5" t="n"/>
      <c r="D20" s="5" t="n"/>
      <c r="E20" s="21" t="inlineStr">
        <is>
          <t>Number of hours in relevant year</t>
        </is>
      </c>
      <c r="G20" s="5" t="inlineStr">
        <is>
          <t>hours pa</t>
        </is>
      </c>
      <c r="I20" s="97">
        <f>Inputs!I122</f>
        <v/>
      </c>
      <c r="J20" s="6" t="n"/>
      <c r="K20" s="6" t="n"/>
      <c r="L20" s="6" t="n"/>
      <c r="M20" s="6" t="n"/>
      <c r="N20" s="6" t="n"/>
      <c r="O20" s="18" t="n"/>
      <c r="P20" s="18" t="n"/>
      <c r="Q20" s="18" t="n"/>
      <c r="R20" s="18" t="n"/>
      <c r="S20" s="18" t="n"/>
      <c r="T20" s="18" t="n"/>
      <c r="U20" s="18" t="n"/>
      <c r="V20" s="18" t="n"/>
      <c r="W20" s="18" t="n"/>
      <c r="X20" s="18" t="n"/>
      <c r="Y20" s="18" t="n"/>
      <c r="Z20" s="18" t="n"/>
      <c r="AA20" s="18" t="n"/>
      <c r="AB20" s="18" t="n"/>
      <c r="AC20" s="18" t="n"/>
      <c r="AD20" s="18" t="n"/>
      <c r="AE20" s="18" t="n"/>
      <c r="AF20" s="18" t="n"/>
      <c r="AG20" s="18" t="n"/>
      <c r="AH20" s="18" t="n"/>
      <c r="AI20" s="18" t="n"/>
      <c r="AJ20" s="18" t="n"/>
      <c r="AK20" s="18" t="n"/>
      <c r="AL20" s="18" t="n"/>
      <c r="AM20" s="18" t="n"/>
      <c r="AN20" s="18" t="n"/>
      <c r="AO20" s="18" t="n"/>
      <c r="AP20" s="18" t="n"/>
      <c r="AQ20" s="18" t="n"/>
      <c r="AR20" s="18" t="n"/>
      <c r="AS20" s="18" t="n"/>
      <c r="AT20" s="18" t="n"/>
      <c r="AU20" s="18" t="n"/>
      <c r="AV20" s="18" t="n"/>
      <c r="AW20" s="18" t="n"/>
      <c r="AX20" s="18" t="n"/>
      <c r="AY20" s="18" t="n"/>
      <c r="AZ20" s="18" t="n"/>
      <c r="BA20" s="18" t="n"/>
      <c r="BB20" s="18" t="n"/>
    </row>
    <row r="21" ht="15" customHeight="1">
      <c r="A21" s="5" t="n"/>
      <c r="B21" s="21" t="n"/>
      <c r="C21" s="5" t="n"/>
      <c r="D21" s="5" t="n"/>
      <c r="G21" s="5" t="n"/>
      <c r="I21" s="39" t="n"/>
      <c r="J21" s="6" t="n"/>
      <c r="K21" s="6" t="n"/>
      <c r="L21" s="6" t="n"/>
      <c r="M21" s="6" t="n"/>
      <c r="N21" s="6" t="n"/>
      <c r="O21" s="18" t="n"/>
      <c r="P21" s="18" t="n"/>
      <c r="Q21" s="18" t="n"/>
      <c r="R21" s="18" t="n"/>
      <c r="S21" s="18" t="n"/>
      <c r="T21" s="18" t="n"/>
      <c r="U21" s="18" t="n"/>
      <c r="V21" s="18" t="n"/>
      <c r="W21" s="18" t="n"/>
      <c r="X21" s="18" t="n"/>
      <c r="Y21" s="18" t="n"/>
      <c r="Z21" s="18" t="n"/>
      <c r="AA21" s="18" t="n"/>
      <c r="AB21" s="18" t="n"/>
      <c r="AC21" s="18" t="n"/>
      <c r="AD21" s="18" t="n"/>
      <c r="AE21" s="18" t="n"/>
      <c r="AF21" s="18" t="n"/>
      <c r="AG21" s="18" t="n"/>
      <c r="AH21" s="18" t="n"/>
      <c r="AI21" s="18" t="n"/>
      <c r="AJ21" s="18" t="n"/>
      <c r="AK21" s="18" t="n"/>
      <c r="AL21" s="18" t="n"/>
      <c r="AM21" s="18" t="n"/>
      <c r="AN21" s="18" t="n"/>
      <c r="AO21" s="18" t="n"/>
      <c r="AP21" s="18" t="n"/>
      <c r="AQ21" s="18" t="n"/>
      <c r="AR21" s="18" t="n"/>
      <c r="AS21" s="18" t="n"/>
      <c r="AT21" s="18" t="n"/>
      <c r="AU21" s="18" t="n"/>
      <c r="AV21" s="18" t="n"/>
      <c r="AW21" s="18" t="n"/>
      <c r="AX21" s="18" t="n"/>
      <c r="AY21" s="18" t="n"/>
      <c r="AZ21" s="18" t="n"/>
      <c r="BA21" s="18" t="n"/>
      <c r="BB21" s="18" t="n"/>
    </row>
    <row r="22" ht="15" customFormat="1" customHeight="1" s="63">
      <c r="C22" s="40" t="inlineStr">
        <is>
          <t>Cap incentive rate</t>
        </is>
      </c>
      <c r="D22" s="40" t="n"/>
      <c r="E22" s="40" t="n"/>
      <c r="F22" s="40" t="n"/>
      <c r="G22" s="40" t="n"/>
      <c r="H22" s="40" t="n"/>
      <c r="I22" s="40" t="n"/>
      <c r="J22" s="40" t="n"/>
      <c r="K22" s="40" t="n"/>
      <c r="L22" s="40" t="n"/>
      <c r="M22" s="40" t="n"/>
      <c r="N22" s="40" t="n"/>
      <c r="O22" s="40" t="n"/>
      <c r="P22" s="40" t="n"/>
      <c r="Q22" s="40" t="n"/>
      <c r="R22" s="40" t="n"/>
      <c r="S22" s="40" t="n"/>
      <c r="T22" s="40" t="n"/>
      <c r="U22" s="40" t="n"/>
      <c r="V22" s="40" t="n"/>
      <c r="W22" s="40" t="n"/>
      <c r="X22" s="40" t="n"/>
      <c r="Y22" s="40" t="n"/>
      <c r="Z22" s="40" t="n"/>
      <c r="AA22" s="40" t="n"/>
      <c r="AB22" s="40" t="n"/>
      <c r="AC22" s="40" t="n"/>
      <c r="AD22" s="40" t="n"/>
      <c r="AE22" s="40" t="n"/>
      <c r="AF22" s="40" t="n"/>
      <c r="AG22" s="40" t="n"/>
      <c r="AH22" s="40" t="n"/>
      <c r="AI22" s="40" t="n"/>
      <c r="AJ22" s="40" t="n"/>
      <c r="AK22" s="40" t="n"/>
      <c r="AL22" s="40" t="n"/>
      <c r="AM22" s="40" t="n"/>
      <c r="AN22" s="40" t="n"/>
      <c r="AO22" s="40" t="n"/>
      <c r="AP22" s="40" t="n"/>
      <c r="AQ22" s="40" t="n"/>
      <c r="AR22" s="40" t="n"/>
      <c r="AS22" s="40" t="n"/>
      <c r="AT22" s="40" t="n"/>
      <c r="AU22" s="40" t="n"/>
      <c r="AV22" s="40" t="n"/>
      <c r="AW22" s="40" t="n"/>
      <c r="AX22" s="40" t="n"/>
      <c r="AY22" s="40" t="n"/>
      <c r="AZ22" s="40" t="n"/>
      <c r="BA22" s="40" t="n"/>
      <c r="BB22" s="40" t="n"/>
    </row>
    <row r="23" ht="15" customHeight="1">
      <c r="A23" s="5" t="n"/>
      <c r="B23" s="21" t="n"/>
      <c r="C23" s="5" t="n"/>
      <c r="D23" s="5" t="n"/>
      <c r="G23" s="5" t="n"/>
      <c r="I23" s="39" t="n"/>
      <c r="J23" s="6" t="n"/>
      <c r="K23" s="6" t="n"/>
      <c r="L23" s="6" t="n"/>
      <c r="M23" s="6" t="n"/>
      <c r="N23" s="6" t="n"/>
      <c r="O23" s="18" t="n"/>
      <c r="P23" s="18" t="n"/>
      <c r="Q23" s="18" t="n"/>
      <c r="R23" s="18" t="n"/>
      <c r="S23" s="18" t="n"/>
      <c r="T23" s="18" t="n"/>
      <c r="U23" s="18" t="n"/>
      <c r="V23" s="18" t="n"/>
      <c r="W23" s="18" t="n"/>
      <c r="X23" s="18" t="n"/>
      <c r="Y23" s="18" t="n"/>
      <c r="Z23" s="18" t="n"/>
      <c r="AA23" s="18" t="n"/>
      <c r="AB23" s="18" t="n"/>
      <c r="AC23" s="18" t="n"/>
      <c r="AD23" s="18" t="n"/>
      <c r="AE23" s="18" t="n"/>
      <c r="AF23" s="18" t="n"/>
      <c r="AG23" s="18" t="n"/>
      <c r="AH23" s="18" t="n"/>
      <c r="AI23" s="18" t="n"/>
      <c r="AJ23" s="18" t="n"/>
      <c r="AK23" s="18" t="n"/>
      <c r="AL23" s="18" t="n"/>
      <c r="AM23" s="18" t="n"/>
      <c r="AN23" s="18" t="n"/>
      <c r="AO23" s="18" t="n"/>
      <c r="AP23" s="18" t="n"/>
      <c r="AQ23" s="18" t="n"/>
      <c r="AR23" s="18" t="n"/>
      <c r="AS23" s="18" t="n"/>
      <c r="AT23" s="18" t="n"/>
      <c r="AU23" s="18" t="n"/>
      <c r="AV23" s="18" t="n"/>
      <c r="AW23" s="18" t="n"/>
      <c r="AX23" s="18" t="n"/>
      <c r="AY23" s="18" t="n"/>
      <c r="AZ23" s="18" t="n"/>
      <c r="BA23" s="18" t="n"/>
      <c r="BB23" s="18" t="n"/>
    </row>
    <row r="24" ht="15" customHeight="1">
      <c r="A24" s="5" t="n"/>
      <c r="B24" s="21" t="n"/>
      <c r="C24" s="5" t="n"/>
      <c r="D24" s="5" t="n"/>
      <c r="E24" s="35">
        <f>Inputs!E117</f>
        <v/>
      </c>
      <c r="G24" s="35">
        <f>Inputs!G117</f>
        <v/>
      </c>
      <c r="I24" s="87">
        <f>Inputs!I117</f>
        <v/>
      </c>
      <c r="J24" s="16" t="n"/>
      <c r="K24" s="16" t="n"/>
      <c r="L24" s="16" t="n"/>
      <c r="M24" s="16" t="n"/>
      <c r="N24" s="16" t="n"/>
      <c r="O24" s="16" t="n"/>
      <c r="P24" s="16" t="n"/>
      <c r="Q24" s="16" t="n"/>
      <c r="R24" s="16" t="n"/>
      <c r="S24" s="16" t="n"/>
      <c r="T24" s="16" t="n"/>
      <c r="U24" s="16" t="n"/>
      <c r="V24" s="16" t="n"/>
      <c r="W24" s="16" t="n"/>
      <c r="X24" s="16" t="n"/>
      <c r="Y24" s="16" t="n"/>
      <c r="AA24" s="16" t="n"/>
      <c r="AB24" s="16" t="n"/>
      <c r="AC24" s="16" t="n"/>
      <c r="AD24" s="16" t="n"/>
      <c r="AE24" s="16" t="n"/>
      <c r="AF24" s="16" t="n"/>
      <c r="AG24" s="16" t="n"/>
      <c r="AH24" s="16" t="n"/>
      <c r="AI24" s="16" t="n"/>
      <c r="AJ24" s="16" t="n"/>
      <c r="AK24" s="16" t="n"/>
      <c r="AL24" s="16" t="n"/>
      <c r="AM24" s="16" t="n"/>
      <c r="AN24" s="16" t="n"/>
      <c r="AO24" s="16" t="n"/>
      <c r="AP24" s="16" t="n"/>
      <c r="AQ24" s="16" t="n"/>
      <c r="AR24" s="16" t="n"/>
      <c r="AS24" s="16" t="n"/>
      <c r="AT24" s="16" t="n"/>
      <c r="AU24" s="16" t="n"/>
      <c r="AV24" s="16" t="n"/>
      <c r="AW24" s="16" t="n"/>
      <c r="AX24" s="16" t="n"/>
      <c r="AY24" s="16" t="n"/>
      <c r="AZ24" s="16" t="n"/>
      <c r="BA24" s="16" t="n"/>
      <c r="BB24" s="16" t="n"/>
    </row>
    <row r="25" ht="15" customHeight="1">
      <c r="A25" s="5" t="n"/>
      <c r="B25" s="21" t="n"/>
      <c r="C25" s="5" t="n"/>
      <c r="D25" s="5" t="n"/>
      <c r="E25" s="21" t="inlineStr">
        <is>
          <t>Partial year Cap adjustment factor</t>
        </is>
      </c>
      <c r="G25" s="5" t="inlineStr">
        <is>
          <t>scalar</t>
        </is>
      </c>
      <c r="H25" s="21" t="inlineStr">
        <is>
          <t>PYCt</t>
        </is>
      </c>
      <c r="I25" s="19" t="n"/>
      <c r="J25" s="16" t="n"/>
      <c r="K25" s="16" t="n"/>
      <c r="L25" s="16" t="n"/>
      <c r="M25" s="16" t="n"/>
      <c r="N25" s="16" t="n"/>
      <c r="O25" s="33" t="n"/>
      <c r="P25" s="99">
        <f>Indexation!P50</f>
        <v/>
      </c>
      <c r="Q25" s="99">
        <f>Indexation!Q50</f>
        <v/>
      </c>
      <c r="R25" s="99">
        <f>Indexation!R50</f>
        <v/>
      </c>
      <c r="S25" s="99">
        <f>Indexation!S50</f>
        <v/>
      </c>
      <c r="T25" s="99">
        <f>Indexation!T50</f>
        <v/>
      </c>
      <c r="U25" s="99">
        <f>Indexation!U50</f>
        <v/>
      </c>
      <c r="V25" s="99">
        <f>Indexation!V50</f>
        <v/>
      </c>
      <c r="W25" s="99">
        <f>Indexation!W50</f>
        <v/>
      </c>
      <c r="X25" s="99">
        <f>Indexation!X50</f>
        <v/>
      </c>
      <c r="Y25" s="99">
        <f>Indexation!Y50</f>
        <v/>
      </c>
      <c r="Z25" s="99">
        <f>Indexation!Z50</f>
        <v/>
      </c>
      <c r="AA25" s="99">
        <f>Indexation!AA50</f>
        <v/>
      </c>
      <c r="AB25" s="99">
        <f>Indexation!AB50</f>
        <v/>
      </c>
      <c r="AC25" s="99">
        <f>Indexation!AC50</f>
        <v/>
      </c>
      <c r="AD25" s="99">
        <f>Indexation!AD50</f>
        <v/>
      </c>
      <c r="AE25" s="99">
        <f>Indexation!AE50</f>
        <v/>
      </c>
      <c r="AF25" s="99">
        <f>Indexation!AF50</f>
        <v/>
      </c>
      <c r="AG25" s="99">
        <f>Indexation!AG50</f>
        <v/>
      </c>
      <c r="AH25" s="99">
        <f>Indexation!AH50</f>
        <v/>
      </c>
      <c r="AI25" s="99">
        <f>Indexation!AI50</f>
        <v/>
      </c>
      <c r="AJ25" s="99">
        <f>Indexation!AJ50</f>
        <v/>
      </c>
      <c r="AK25" s="99">
        <f>Indexation!AK50</f>
        <v/>
      </c>
      <c r="AL25" s="99">
        <f>Indexation!AL50</f>
        <v/>
      </c>
      <c r="AM25" s="99">
        <f>Indexation!AM50</f>
        <v/>
      </c>
      <c r="AN25" s="99">
        <f>Indexation!AN50</f>
        <v/>
      </c>
      <c r="AO25" s="99">
        <f>Indexation!AO50</f>
        <v/>
      </c>
      <c r="AP25" s="99">
        <f>Indexation!AP50</f>
        <v/>
      </c>
      <c r="AQ25" s="99">
        <f>Indexation!AQ50</f>
        <v/>
      </c>
      <c r="AR25" s="99">
        <f>Indexation!AR50</f>
        <v/>
      </c>
      <c r="AS25" s="99">
        <f>Indexation!AS50</f>
        <v/>
      </c>
      <c r="AT25" s="99">
        <f>Indexation!AT50</f>
        <v/>
      </c>
      <c r="AU25" s="99">
        <f>Indexation!AU50</f>
        <v/>
      </c>
      <c r="AV25" s="99">
        <f>Indexation!AV50</f>
        <v/>
      </c>
      <c r="AW25" s="99">
        <f>Indexation!AW50</f>
        <v/>
      </c>
      <c r="AX25" s="99">
        <f>Indexation!AX50</f>
        <v/>
      </c>
      <c r="AY25" s="99">
        <f>Indexation!AY50</f>
        <v/>
      </c>
      <c r="AZ25" s="99">
        <f>Indexation!AZ50</f>
        <v/>
      </c>
      <c r="BA25" s="99">
        <f>Indexation!BA50</f>
        <v/>
      </c>
      <c r="BB25" s="99">
        <f>Indexation!BB50</f>
        <v/>
      </c>
    </row>
    <row r="26" ht="15" customHeight="1">
      <c r="A26" s="5" t="n"/>
      <c r="B26" s="21" t="n"/>
      <c r="C26" s="5" t="n"/>
      <c r="D26" s="5" t="n"/>
      <c r="E26" s="21" t="inlineStr">
        <is>
          <t>Maximum possible availability</t>
        </is>
      </c>
      <c r="G26" s="5" t="inlineStr">
        <is>
          <t>MWh</t>
        </is>
      </c>
      <c r="H26" s="21" t="inlineStr">
        <is>
          <t>MPA</t>
        </is>
      </c>
      <c r="I26" s="19" t="n"/>
      <c r="J26" s="16" t="n"/>
      <c r="K26" s="16" t="n"/>
      <c r="L26" s="16" t="n"/>
      <c r="M26" s="16" t="n"/>
      <c r="N26" s="16" t="n"/>
      <c r="O26" s="33" t="n"/>
      <c r="P26" s="44">
        <f>$I$19*$I$20*P25</f>
        <v/>
      </c>
      <c r="Q26" s="44">
        <f>$I$19*$I$20*Q25</f>
        <v/>
      </c>
      <c r="R26" s="44">
        <f>$I$19*$I$20*R25</f>
        <v/>
      </c>
      <c r="S26" s="44">
        <f>$I$19*$I$20*S25</f>
        <v/>
      </c>
      <c r="T26" s="44">
        <f>$I$19*$I$20*T25</f>
        <v/>
      </c>
      <c r="U26" s="44">
        <f>$I$19*$I$20*U25</f>
        <v/>
      </c>
      <c r="V26" s="44">
        <f>$I$19*$I$20*V25</f>
        <v/>
      </c>
      <c r="W26" s="44">
        <f>$I$19*$I$20*W25</f>
        <v/>
      </c>
      <c r="X26" s="44">
        <f>$I$19*$I$20*X25</f>
        <v/>
      </c>
      <c r="Y26" s="44">
        <f>$I$19*$I$20*Y25</f>
        <v/>
      </c>
      <c r="Z26" s="44">
        <f>$I$19*$I$20*Z25</f>
        <v/>
      </c>
      <c r="AA26" s="44">
        <f>$I$19*$I$20*AA25</f>
        <v/>
      </c>
      <c r="AB26" s="44">
        <f>$I$19*$I$20*AB25</f>
        <v/>
      </c>
      <c r="AC26" s="44">
        <f>$I$19*$I$20*AC25</f>
        <v/>
      </c>
      <c r="AD26" s="44">
        <f>$I$19*$I$20*AD25</f>
        <v/>
      </c>
      <c r="AE26" s="44">
        <f>$I$19*$I$20*AE25</f>
        <v/>
      </c>
      <c r="AF26" s="44">
        <f>$I$19*$I$20*AF25</f>
        <v/>
      </c>
      <c r="AG26" s="44">
        <f>$I$19*$I$20*AG25</f>
        <v/>
      </c>
      <c r="AH26" s="44">
        <f>$I$19*$I$20*AH25</f>
        <v/>
      </c>
      <c r="AI26" s="44">
        <f>$I$19*$I$20*AI25</f>
        <v/>
      </c>
      <c r="AJ26" s="44">
        <f>$I$19*$I$20*AJ25</f>
        <v/>
      </c>
      <c r="AK26" s="44">
        <f>$I$19*$I$20*AK25</f>
        <v/>
      </c>
      <c r="AL26" s="44">
        <f>$I$19*$I$20*AL25</f>
        <v/>
      </c>
      <c r="AM26" s="44">
        <f>$I$19*$I$20*AM25</f>
        <v/>
      </c>
      <c r="AN26" s="44">
        <f>$I$19*$I$20*AN25</f>
        <v/>
      </c>
      <c r="AO26" s="44">
        <f>$I$19*$I$20*AO25</f>
        <v/>
      </c>
      <c r="AP26" s="44">
        <f>$I$19*$I$20*AP25</f>
        <v/>
      </c>
      <c r="AQ26" s="44">
        <f>$I$19*$I$20*AQ25</f>
        <v/>
      </c>
      <c r="AR26" s="44">
        <f>$I$19*$I$20*AR25</f>
        <v/>
      </c>
      <c r="AS26" s="44">
        <f>$I$19*$I$20*AS25</f>
        <v/>
      </c>
      <c r="AT26" s="44">
        <f>$I$19*$I$20*AT25</f>
        <v/>
      </c>
      <c r="AU26" s="44">
        <f>$I$19*$I$20*AU25</f>
        <v/>
      </c>
      <c r="AV26" s="44">
        <f>$I$19*$I$20*AV25</f>
        <v/>
      </c>
      <c r="AW26" s="44">
        <f>$I$19*$I$20*AW25</f>
        <v/>
      </c>
      <c r="AX26" s="44">
        <f>$I$19*$I$20*AX25</f>
        <v/>
      </c>
      <c r="AY26" s="44">
        <f>$I$19*$I$20*AY25</f>
        <v/>
      </c>
      <c r="AZ26" s="44">
        <f>$I$19*$I$20*AZ25</f>
        <v/>
      </c>
      <c r="BA26" s="44">
        <f>$I$19*$I$20*BA25</f>
        <v/>
      </c>
      <c r="BB26" s="44">
        <f>$I$19*$I$20*BB25</f>
        <v/>
      </c>
    </row>
    <row r="27" ht="26" customHeight="1">
      <c r="A27" s="21" t="n"/>
      <c r="B27" s="21" t="n"/>
      <c r="C27" s="21" t="n"/>
      <c r="E27" s="47" t="inlineStr">
        <is>
          <t>Total interconnector outages less allowed outages during active Cap period</t>
        </is>
      </c>
      <c r="G27" s="5" t="inlineStr">
        <is>
          <t>MWh</t>
        </is>
      </c>
      <c r="H27" s="21" t="inlineStr">
        <is>
          <t>IOt</t>
        </is>
      </c>
      <c r="O27" s="33" t="n"/>
      <c r="P27" s="99">
        <f>INDEX(Inputs!$P$126:$BB$126,MATCH('Costs &amp; Revenue'!P$5,Inputs!$P$5:$BB$5,0))</f>
        <v/>
      </c>
      <c r="Q27" s="99">
        <f>INDEX(Inputs!$P$126:$BB$126,MATCH('Costs &amp; Revenue'!Q$5,Inputs!$P$5:$BB$5,0))</f>
        <v/>
      </c>
      <c r="R27" s="99">
        <f>INDEX(Inputs!$P$126:$BB$126,MATCH('Costs &amp; Revenue'!R$5,Inputs!$P$5:$BB$5,0))</f>
        <v/>
      </c>
      <c r="S27" s="99">
        <f>INDEX(Inputs!$P$126:$BB$126,MATCH('Costs &amp; Revenue'!S$5,Inputs!$P$5:$BB$5,0))</f>
        <v/>
      </c>
      <c r="T27" s="99">
        <f>INDEX(Inputs!$P$126:$BB$126,MATCH('Costs &amp; Revenue'!T$5,Inputs!$P$5:$BB$5,0))</f>
        <v/>
      </c>
      <c r="U27" s="99">
        <f>INDEX(Inputs!$P$126:$BB$126,MATCH('Costs &amp; Revenue'!U$5,Inputs!$P$5:$BB$5,0))</f>
        <v/>
      </c>
      <c r="V27" s="99">
        <f>INDEX(Inputs!$P$126:$BB$126,MATCH('Costs &amp; Revenue'!V$5,Inputs!$P$5:$BB$5,0))</f>
        <v/>
      </c>
      <c r="W27" s="99">
        <f>INDEX(Inputs!$P$126:$BB$126,MATCH('Costs &amp; Revenue'!W$5,Inputs!$P$5:$BB$5,0))</f>
        <v/>
      </c>
      <c r="X27" s="99">
        <f>INDEX(Inputs!$P$126:$BB$126,MATCH('Costs &amp; Revenue'!X$5,Inputs!$P$5:$BB$5,0))</f>
        <v/>
      </c>
      <c r="Y27" s="99">
        <f>INDEX(Inputs!$P$126:$BB$126,MATCH('Costs &amp; Revenue'!Y$5,Inputs!$P$5:$BB$5,0))</f>
        <v/>
      </c>
      <c r="Z27" s="99">
        <f>INDEX(Inputs!$P$126:$BB$126,MATCH('Costs &amp; Revenue'!Z$5,Inputs!$P$5:$BB$5,0))</f>
        <v/>
      </c>
      <c r="AA27" s="99">
        <f>INDEX(Inputs!$P$126:$BB$126,MATCH('Costs &amp; Revenue'!AA$5,Inputs!$P$5:$BB$5,0))</f>
        <v/>
      </c>
      <c r="AB27" s="99">
        <f>INDEX(Inputs!$P$126:$BB$126,MATCH('Costs &amp; Revenue'!AB$5,Inputs!$P$5:$BB$5,0))</f>
        <v/>
      </c>
      <c r="AC27" s="99">
        <f>INDEX(Inputs!$P$126:$BB$126,MATCH('Costs &amp; Revenue'!AC$5,Inputs!$P$5:$BB$5,0))</f>
        <v/>
      </c>
      <c r="AD27" s="99">
        <f>INDEX(Inputs!$P$126:$BB$126,MATCH('Costs &amp; Revenue'!AD$5,Inputs!$P$5:$BB$5,0))</f>
        <v/>
      </c>
      <c r="AE27" s="99">
        <f>INDEX(Inputs!$P$126:$BB$126,MATCH('Costs &amp; Revenue'!AE$5,Inputs!$P$5:$BB$5,0))</f>
        <v/>
      </c>
      <c r="AF27" s="99">
        <f>INDEX(Inputs!$P$126:$BB$126,MATCH('Costs &amp; Revenue'!AF$5,Inputs!$P$5:$BB$5,0))</f>
        <v/>
      </c>
      <c r="AG27" s="99">
        <f>INDEX(Inputs!$P$126:$BB$126,MATCH('Costs &amp; Revenue'!AG$5,Inputs!$P$5:$BB$5,0))</f>
        <v/>
      </c>
      <c r="AH27" s="99">
        <f>INDEX(Inputs!$P$126:$BB$126,MATCH('Costs &amp; Revenue'!AH$5,Inputs!$P$5:$BB$5,0))</f>
        <v/>
      </c>
      <c r="AI27" s="99">
        <f>INDEX(Inputs!$P$126:$BB$126,MATCH('Costs &amp; Revenue'!AI$5,Inputs!$P$5:$BB$5,0))</f>
        <v/>
      </c>
      <c r="AJ27" s="99">
        <f>INDEX(Inputs!$P$126:$BB$126,MATCH('Costs &amp; Revenue'!AJ$5,Inputs!$P$5:$BB$5,0))</f>
        <v/>
      </c>
      <c r="AK27" s="99">
        <f>INDEX(Inputs!$P$126:$BB$126,MATCH('Costs &amp; Revenue'!AK$5,Inputs!$P$5:$BB$5,0))</f>
        <v/>
      </c>
      <c r="AL27" s="99">
        <f>INDEX(Inputs!$P$126:$BB$126,MATCH('Costs &amp; Revenue'!AL$5,Inputs!$P$5:$BB$5,0))</f>
        <v/>
      </c>
      <c r="AM27" s="99">
        <f>INDEX(Inputs!$P$126:$BB$126,MATCH('Costs &amp; Revenue'!AM$5,Inputs!$P$5:$BB$5,0))</f>
        <v/>
      </c>
      <c r="AN27" s="99">
        <f>INDEX(Inputs!$P$126:$BB$126,MATCH('Costs &amp; Revenue'!AN$5,Inputs!$P$5:$BB$5,0))</f>
        <v/>
      </c>
      <c r="AO27" s="99">
        <f>INDEX(Inputs!$P$126:$BB$126,MATCH('Costs &amp; Revenue'!AO$5,Inputs!$P$5:$BB$5,0))</f>
        <v/>
      </c>
      <c r="AP27" s="99">
        <f>INDEX(Inputs!$P$126:$BB$126,MATCH('Costs &amp; Revenue'!AP$5,Inputs!$P$5:$BB$5,0))</f>
        <v/>
      </c>
      <c r="AQ27" s="99">
        <f>INDEX(Inputs!$P$126:$BB$126,MATCH('Costs &amp; Revenue'!AQ$5,Inputs!$P$5:$BB$5,0))</f>
        <v/>
      </c>
      <c r="AR27" s="99">
        <f>INDEX(Inputs!$P$126:$BB$126,MATCH('Costs &amp; Revenue'!AR$5,Inputs!$P$5:$BB$5,0))</f>
        <v/>
      </c>
      <c r="AS27" s="99">
        <f>INDEX(Inputs!$P$126:$BB$126,MATCH('Costs &amp; Revenue'!AS$5,Inputs!$P$5:$BB$5,0))</f>
        <v/>
      </c>
      <c r="AT27" s="99">
        <f>INDEX(Inputs!$P$126:$BB$126,MATCH('Costs &amp; Revenue'!AT$5,Inputs!$P$5:$BB$5,0))</f>
        <v/>
      </c>
      <c r="AU27" s="99">
        <f>INDEX(Inputs!$P$126:$BB$126,MATCH('Costs &amp; Revenue'!AU$5,Inputs!$P$5:$BB$5,0))</f>
        <v/>
      </c>
      <c r="AV27" s="99">
        <f>INDEX(Inputs!$P$126:$BB$126,MATCH('Costs &amp; Revenue'!AV$5,Inputs!$P$5:$BB$5,0))</f>
        <v/>
      </c>
      <c r="AW27" s="99">
        <f>INDEX(Inputs!$P$126:$BB$126,MATCH('Costs &amp; Revenue'!AW$5,Inputs!$P$5:$BB$5,0))</f>
        <v/>
      </c>
      <c r="AX27" s="99">
        <f>INDEX(Inputs!$P$126:$BB$126,MATCH('Costs &amp; Revenue'!AX$5,Inputs!$P$5:$BB$5,0))</f>
        <v/>
      </c>
      <c r="AY27" s="99">
        <f>INDEX(Inputs!$P$126:$BB$126,MATCH('Costs &amp; Revenue'!AY$5,Inputs!$P$5:$BB$5,0))</f>
        <v/>
      </c>
      <c r="AZ27" s="99">
        <f>INDEX(Inputs!$P$126:$BB$126,MATCH('Costs &amp; Revenue'!AZ$5,Inputs!$P$5:$BB$5,0))</f>
        <v/>
      </c>
      <c r="BA27" s="99">
        <f>INDEX(Inputs!$P$126:$BB$126,MATCH('Costs &amp; Revenue'!BA$5,Inputs!$P$5:$BB$5,0))</f>
        <v/>
      </c>
      <c r="BB27" s="99">
        <f>INDEX(Inputs!$P$126:$BB$126,MATCH('Costs &amp; Revenue'!BB$5,Inputs!$P$5:$BB$5,0))</f>
        <v/>
      </c>
    </row>
    <row r="28" ht="15" customHeight="1">
      <c r="A28" s="5" t="n"/>
      <c r="B28" s="21" t="n"/>
      <c r="C28" s="5" t="n"/>
      <c r="D28" s="5" t="n"/>
      <c r="E28" s="21" t="inlineStr">
        <is>
          <t>Actual availability for Cap</t>
        </is>
      </c>
      <c r="G28" s="19" t="inlineStr">
        <is>
          <t>MWh</t>
        </is>
      </c>
      <c r="H28" s="21" t="inlineStr">
        <is>
          <t>AACt (AAt)</t>
        </is>
      </c>
      <c r="I28" s="19" t="n"/>
      <c r="J28" s="16" t="n"/>
      <c r="K28" s="16" t="n"/>
      <c r="L28" s="16" t="n"/>
      <c r="M28" s="16" t="n"/>
      <c r="N28" s="16" t="n"/>
      <c r="O28" s="33" t="n"/>
      <c r="P28" s="44">
        <f>P26-P27</f>
        <v/>
      </c>
      <c r="Q28" s="44">
        <f>Q26-Q27</f>
        <v/>
      </c>
      <c r="R28" s="44">
        <f>R26-R27</f>
        <v/>
      </c>
      <c r="S28" s="44">
        <f>S26-S27</f>
        <v/>
      </c>
      <c r="T28" s="44">
        <f>T26-T27</f>
        <v/>
      </c>
      <c r="U28" s="44">
        <f>U26-U27</f>
        <v/>
      </c>
      <c r="V28" s="44">
        <f>V26-V27</f>
        <v/>
      </c>
      <c r="W28" s="44">
        <f>W26-W27</f>
        <v/>
      </c>
      <c r="X28" s="44">
        <f>X26-X27</f>
        <v/>
      </c>
      <c r="Y28" s="44">
        <f>Y26-Y27</f>
        <v/>
      </c>
      <c r="Z28" s="44">
        <f>Z26-Z27</f>
        <v/>
      </c>
      <c r="AA28" s="44">
        <f>AA26-AA27</f>
        <v/>
      </c>
      <c r="AB28" s="44">
        <f>AB26-AB27</f>
        <v/>
      </c>
      <c r="AC28" s="44">
        <f>AC26-AC27</f>
        <v/>
      </c>
      <c r="AD28" s="44">
        <f>AD26-AD27</f>
        <v/>
      </c>
      <c r="AE28" s="44">
        <f>AE26-AE27</f>
        <v/>
      </c>
      <c r="AF28" s="44">
        <f>AF26-AF27</f>
        <v/>
      </c>
      <c r="AG28" s="44">
        <f>AG26-AG27</f>
        <v/>
      </c>
      <c r="AH28" s="44">
        <f>AH26-AH27</f>
        <v/>
      </c>
      <c r="AI28" s="44">
        <f>AI26-AI27</f>
        <v/>
      </c>
      <c r="AJ28" s="44">
        <f>AJ26-AJ27</f>
        <v/>
      </c>
      <c r="AK28" s="44">
        <f>AK26-AK27</f>
        <v/>
      </c>
      <c r="AL28" s="44">
        <f>AL26-AL27</f>
        <v/>
      </c>
      <c r="AM28" s="44">
        <f>AM26-AM27</f>
        <v/>
      </c>
      <c r="AN28" s="44">
        <f>AN26-AN27</f>
        <v/>
      </c>
      <c r="AO28" s="44">
        <f>AO26-AO27</f>
        <v/>
      </c>
      <c r="AP28" s="44">
        <f>AP26-AP27</f>
        <v/>
      </c>
      <c r="AQ28" s="44">
        <f>AQ26-AQ27</f>
        <v/>
      </c>
      <c r="AR28" s="44">
        <f>AR26-AR27</f>
        <v/>
      </c>
      <c r="AS28" s="44">
        <f>AS26-AS27</f>
        <v/>
      </c>
      <c r="AT28" s="44">
        <f>AT26-AT27</f>
        <v/>
      </c>
      <c r="AU28" s="44">
        <f>AU26-AU27</f>
        <v/>
      </c>
      <c r="AV28" s="44">
        <f>AV26-AV27</f>
        <v/>
      </c>
      <c r="AW28" s="44">
        <f>AW26-AW27</f>
        <v/>
      </c>
      <c r="AX28" s="44">
        <f>AX26-AX27</f>
        <v/>
      </c>
      <c r="AY28" s="44">
        <f>AY26-AY27</f>
        <v/>
      </c>
      <c r="AZ28" s="44">
        <f>AZ26-AZ27</f>
        <v/>
      </c>
      <c r="BA28" s="44">
        <f>BA26-BA27</f>
        <v/>
      </c>
      <c r="BB28" s="44">
        <f>BB26-BB27</f>
        <v/>
      </c>
    </row>
    <row r="29" ht="15" customHeight="1">
      <c r="A29" s="5" t="n"/>
      <c r="B29" s="21" t="n"/>
      <c r="C29" s="5" t="n"/>
      <c r="D29" s="5" t="n"/>
      <c r="E29" s="21" t="inlineStr">
        <is>
          <t>Availability target</t>
        </is>
      </c>
      <c r="G29" s="19" t="inlineStr">
        <is>
          <t>MWh</t>
        </is>
      </c>
      <c r="H29" s="21" t="inlineStr">
        <is>
          <t>AT</t>
        </is>
      </c>
      <c r="I29" s="19" t="n"/>
      <c r="J29" s="16" t="n"/>
      <c r="K29" s="16" t="n"/>
      <c r="L29" s="16" t="n"/>
      <c r="M29" s="16" t="n"/>
      <c r="N29" s="16" t="n"/>
      <c r="O29" s="33" t="n"/>
      <c r="P29" s="44">
        <f>P26*$I24</f>
        <v/>
      </c>
      <c r="Q29" s="44">
        <f>Q26*$I24</f>
        <v/>
      </c>
      <c r="R29" s="44">
        <f>R26*$I24</f>
        <v/>
      </c>
      <c r="S29" s="44">
        <f>S26*$I24</f>
        <v/>
      </c>
      <c r="T29" s="44">
        <f>T26*$I24</f>
        <v/>
      </c>
      <c r="U29" s="44">
        <f>U26*$I24</f>
        <v/>
      </c>
      <c r="V29" s="44">
        <f>V26*$I24</f>
        <v/>
      </c>
      <c r="W29" s="44">
        <f>W26*$I24</f>
        <v/>
      </c>
      <c r="X29" s="44">
        <f>X26*$I24</f>
        <v/>
      </c>
      <c r="Y29" s="44">
        <f>Y26*$I24</f>
        <v/>
      </c>
      <c r="Z29" s="44">
        <f>Z26*$I24</f>
        <v/>
      </c>
      <c r="AA29" s="44">
        <f>AA26*$I24</f>
        <v/>
      </c>
      <c r="AB29" s="44">
        <f>AB26*$I24</f>
        <v/>
      </c>
      <c r="AC29" s="44">
        <f>AC26*$I24</f>
        <v/>
      </c>
      <c r="AD29" s="44">
        <f>AD26*$I24</f>
        <v/>
      </c>
      <c r="AE29" s="44">
        <f>AE26*$I24</f>
        <v/>
      </c>
      <c r="AF29" s="44">
        <f>AF26*$I24</f>
        <v/>
      </c>
      <c r="AG29" s="44">
        <f>AG26*$I24</f>
        <v/>
      </c>
      <c r="AH29" s="44">
        <f>AH26*$I24</f>
        <v/>
      </c>
      <c r="AI29" s="44">
        <f>AI26*$I24</f>
        <v/>
      </c>
      <c r="AJ29" s="44">
        <f>AJ26*$I24</f>
        <v/>
      </c>
      <c r="AK29" s="44">
        <f>AK26*$I24</f>
        <v/>
      </c>
      <c r="AL29" s="44">
        <f>AL26*$I24</f>
        <v/>
      </c>
      <c r="AM29" s="44">
        <f>AM26*$I24</f>
        <v/>
      </c>
      <c r="AN29" s="44">
        <f>AN26*$I24</f>
        <v/>
      </c>
      <c r="AO29" s="44">
        <f>AO26*$I24</f>
        <v/>
      </c>
      <c r="AP29" s="44">
        <f>AP26*$I24</f>
        <v/>
      </c>
      <c r="AQ29" s="44">
        <f>AQ26*$I24</f>
        <v/>
      </c>
      <c r="AR29" s="44">
        <f>AR26*$I24</f>
        <v/>
      </c>
      <c r="AS29" s="44">
        <f>AS26*$I24</f>
        <v/>
      </c>
      <c r="AT29" s="44">
        <f>AT26*$I24</f>
        <v/>
      </c>
      <c r="AU29" s="44">
        <f>AU26*$I24</f>
        <v/>
      </c>
      <c r="AV29" s="44">
        <f>AV26*$I24</f>
        <v/>
      </c>
      <c r="AW29" s="44">
        <f>AW26*$I24</f>
        <v/>
      </c>
      <c r="AX29" s="44">
        <f>AX26*$I24</f>
        <v/>
      </c>
      <c r="AY29" s="44">
        <f>AY26*$I24</f>
        <v/>
      </c>
      <c r="AZ29" s="44">
        <f>AZ26*$I24</f>
        <v/>
      </c>
      <c r="BA29" s="44">
        <f>BA26*$I24</f>
        <v/>
      </c>
      <c r="BB29" s="44">
        <f>BB26*$I24</f>
        <v/>
      </c>
    </row>
    <row r="30" ht="15" customHeight="1">
      <c r="A30" s="5" t="n"/>
      <c r="B30" s="21" t="n"/>
      <c r="C30" s="5" t="n"/>
      <c r="D30" s="5" t="n"/>
      <c r="E30" s="21" t="inlineStr">
        <is>
          <t>Availability performance at Cap</t>
        </is>
      </c>
      <c r="G30" s="19" t="inlineStr">
        <is>
          <t>scalar</t>
        </is>
      </c>
      <c r="H30" s="21" t="inlineStr">
        <is>
          <t>APCt</t>
        </is>
      </c>
      <c r="I30" s="19" t="n"/>
      <c r="J30" s="16" t="n"/>
      <c r="K30" s="16" t="n"/>
      <c r="L30" s="16" t="n"/>
      <c r="M30" s="16" t="n"/>
      <c r="N30" s="16" t="n"/>
      <c r="O30" s="33" t="n"/>
      <c r="P30" s="100">
        <f>IF(P29=0,0,P28/P29)</f>
        <v/>
      </c>
      <c r="Q30" s="100">
        <f>IF(Q29=0,0,Q28/Q29)</f>
        <v/>
      </c>
      <c r="R30" s="100">
        <f>IF(R29=0,0,R28/R29)</f>
        <v/>
      </c>
      <c r="S30" s="100">
        <f>IF(S29=0,0,S28/S29)</f>
        <v/>
      </c>
      <c r="T30" s="100">
        <f>IF(T29=0,0,T28/T29)</f>
        <v/>
      </c>
      <c r="U30" s="100">
        <f>IF(U29=0,0,U28/U29)</f>
        <v/>
      </c>
      <c r="V30" s="100">
        <f>IF(V29=0,0,V28/V29)</f>
        <v/>
      </c>
      <c r="W30" s="100">
        <f>IF(W29=0,0,W28/W29)</f>
        <v/>
      </c>
      <c r="X30" s="100">
        <f>IF(X29=0,0,X28/X29)</f>
        <v/>
      </c>
      <c r="Y30" s="100">
        <f>IF(Y29=0,0,Y28/Y29)</f>
        <v/>
      </c>
      <c r="Z30" s="100">
        <f>IF(Z29=0,0,Z28/Z29)</f>
        <v/>
      </c>
      <c r="AA30" s="100">
        <f>IF(AA29=0,0,AA28/AA29)</f>
        <v/>
      </c>
      <c r="AB30" s="100">
        <f>IF(AB29=0,0,AB28/AB29)</f>
        <v/>
      </c>
      <c r="AC30" s="100">
        <f>IF(AC29=0,0,AC28/AC29)</f>
        <v/>
      </c>
      <c r="AD30" s="100">
        <f>IF(AD29=0,0,AD28/AD29)</f>
        <v/>
      </c>
      <c r="AE30" s="100">
        <f>IF(AE29=0,0,AE28/AE29)</f>
        <v/>
      </c>
      <c r="AF30" s="100">
        <f>IF(AF29=0,0,AF28/AF29)</f>
        <v/>
      </c>
      <c r="AG30" s="100">
        <f>IF(AG29=0,0,AG28/AG29)</f>
        <v/>
      </c>
      <c r="AH30" s="100">
        <f>IF(AH29=0,0,AH28/AH29)</f>
        <v/>
      </c>
      <c r="AI30" s="100">
        <f>IF(AI29=0,0,AI28/AI29)</f>
        <v/>
      </c>
      <c r="AJ30" s="100">
        <f>IF(AJ29=0,0,AJ28/AJ29)</f>
        <v/>
      </c>
      <c r="AK30" s="100">
        <f>IF(AK29=0,0,AK28/AK29)</f>
        <v/>
      </c>
      <c r="AL30" s="100">
        <f>IF(AL29=0,0,AL28/AL29)</f>
        <v/>
      </c>
      <c r="AM30" s="100">
        <f>IF(AM29=0,0,AM28/AM29)</f>
        <v/>
      </c>
      <c r="AN30" s="100">
        <f>IF(AN29=0,0,AN28/AN29)</f>
        <v/>
      </c>
      <c r="AO30" s="100">
        <f>IF(AO29=0,0,AO28/AO29)</f>
        <v/>
      </c>
      <c r="AP30" s="100">
        <f>IF(AP29=0,0,AP28/AP29)</f>
        <v/>
      </c>
      <c r="AQ30" s="100">
        <f>IF(AQ29=0,0,AQ28/AQ29)</f>
        <v/>
      </c>
      <c r="AR30" s="100">
        <f>IF(AR29=0,0,AR28/AR29)</f>
        <v/>
      </c>
      <c r="AS30" s="100">
        <f>IF(AS29=0,0,AS28/AS29)</f>
        <v/>
      </c>
      <c r="AT30" s="100">
        <f>IF(AT29=0,0,AT28/AT29)</f>
        <v/>
      </c>
      <c r="AU30" s="100">
        <f>IF(AU29=0,0,AU28/AU29)</f>
        <v/>
      </c>
      <c r="AV30" s="100">
        <f>IF(AV29=0,0,AV28/AV29)</f>
        <v/>
      </c>
      <c r="AW30" s="100">
        <f>IF(AW29=0,0,AW28/AW29)</f>
        <v/>
      </c>
      <c r="AX30" s="100">
        <f>IF(AX29=0,0,AX28/AX29)</f>
        <v/>
      </c>
      <c r="AY30" s="100">
        <f>IF(AY29=0,0,AY28/AY29)</f>
        <v/>
      </c>
      <c r="AZ30" s="100">
        <f>IF(AZ29=0,0,AZ28/AZ29)</f>
        <v/>
      </c>
      <c r="BA30" s="100">
        <f>IF(BA29=0,0,BA28/BA29)</f>
        <v/>
      </c>
      <c r="BB30" s="100">
        <f>IF(BB29=0,0,BB28/BB29)</f>
        <v/>
      </c>
    </row>
    <row r="31" ht="15" customHeight="1"/>
    <row r="32" ht="15" customHeight="1">
      <c r="A32" s="5" t="n"/>
      <c r="B32" s="21" t="n"/>
      <c r="C32" s="5" t="n"/>
      <c r="D32" s="5" t="n"/>
      <c r="E32" s="18">
        <f>Inputs!E118</f>
        <v/>
      </c>
      <c r="G32" s="21" t="inlineStr">
        <is>
          <t>scalar</t>
        </is>
      </c>
      <c r="I32" s="116">
        <f>Inputs!I118</f>
        <v/>
      </c>
      <c r="J32" s="16" t="n"/>
      <c r="K32" s="16" t="n"/>
      <c r="L32" s="16" t="n"/>
      <c r="M32" s="16" t="n"/>
      <c r="N32" s="16" t="n"/>
      <c r="O32" s="16" t="n"/>
      <c r="P32" s="16" t="n"/>
      <c r="Q32" s="16" t="n"/>
      <c r="R32" s="16" t="n"/>
      <c r="S32" s="16" t="n"/>
      <c r="T32" s="16" t="n"/>
      <c r="U32" s="16" t="n"/>
      <c r="V32" s="16" t="n"/>
      <c r="W32" s="16" t="n"/>
      <c r="X32" s="16" t="n"/>
      <c r="Z32" s="16" t="n"/>
      <c r="AA32" s="16" t="n"/>
      <c r="AB32" s="16" t="n"/>
      <c r="AC32" s="16" t="n"/>
      <c r="AD32" s="16" t="n"/>
      <c r="AE32" s="16" t="n"/>
      <c r="AF32" s="16" t="n"/>
      <c r="AG32" s="16" t="n"/>
      <c r="AH32" s="16" t="n"/>
      <c r="AI32" s="16" t="n"/>
      <c r="AJ32" s="16" t="n"/>
      <c r="AK32" s="16" t="n"/>
      <c r="AL32" s="16" t="n"/>
      <c r="AM32" s="16" t="n"/>
      <c r="AN32" s="16" t="n"/>
      <c r="AO32" s="16" t="n"/>
      <c r="AP32" s="16" t="n"/>
      <c r="AQ32" s="16" t="n"/>
      <c r="AR32" s="16" t="n"/>
      <c r="AS32" s="16" t="n"/>
      <c r="AT32" s="16" t="n"/>
      <c r="AU32" s="16" t="n"/>
      <c r="AV32" s="16" t="n"/>
      <c r="AW32" s="16" t="n"/>
      <c r="AX32" s="16" t="n"/>
      <c r="AY32" s="16" t="n"/>
      <c r="AZ32" s="16" t="n"/>
      <c r="BA32" s="16" t="n"/>
      <c r="BB32" s="16" t="n"/>
    </row>
    <row r="33" ht="15" customHeight="1">
      <c r="A33" s="5" t="n"/>
      <c r="B33" s="21" t="n"/>
      <c r="C33" s="5" t="n"/>
      <c r="D33" s="5" t="n"/>
      <c r="E33" s="18">
        <f>Inputs!E119</f>
        <v/>
      </c>
      <c r="G33" s="21" t="inlineStr">
        <is>
          <t>scalar</t>
        </is>
      </c>
      <c r="I33" s="116">
        <f>Inputs!I119</f>
        <v/>
      </c>
      <c r="J33" s="16" t="n"/>
      <c r="K33" s="16" t="n"/>
      <c r="L33" s="16" t="n"/>
      <c r="M33" s="16" t="n"/>
      <c r="N33" s="16" t="n"/>
      <c r="O33" s="16" t="n"/>
      <c r="P33" s="16" t="n"/>
      <c r="Q33" s="16" t="n"/>
      <c r="R33" s="16" t="n"/>
      <c r="S33" s="16" t="n"/>
      <c r="T33" s="16" t="n"/>
      <c r="U33" s="16" t="n"/>
      <c r="V33" s="16" t="n"/>
      <c r="W33" s="16" t="n"/>
      <c r="X33" s="16" t="n"/>
      <c r="Z33" s="16" t="n"/>
      <c r="AA33" s="16" t="n"/>
      <c r="AB33" s="16" t="n"/>
      <c r="AC33" s="16" t="n"/>
      <c r="AD33" s="16" t="n"/>
      <c r="AE33" s="16" t="n"/>
      <c r="AF33" s="16" t="n"/>
      <c r="AG33" s="16" t="n"/>
      <c r="AH33" s="16" t="n"/>
      <c r="AI33" s="16" t="n"/>
      <c r="AJ33" s="16" t="n"/>
      <c r="AK33" s="16" t="n"/>
      <c r="AL33" s="16" t="n"/>
      <c r="AM33" s="16" t="n"/>
      <c r="AN33" s="16" t="n"/>
      <c r="AO33" s="16" t="n"/>
      <c r="AP33" s="16" t="n"/>
      <c r="AQ33" s="16" t="n"/>
      <c r="AR33" s="16" t="n"/>
      <c r="AS33" s="16" t="n"/>
      <c r="AT33" s="16" t="n"/>
      <c r="AU33" s="16" t="n"/>
      <c r="AV33" s="16" t="n"/>
      <c r="AW33" s="16" t="n"/>
      <c r="AX33" s="16" t="n"/>
      <c r="AY33" s="16" t="n"/>
      <c r="AZ33" s="16" t="n"/>
      <c r="BA33" s="16" t="n"/>
      <c r="BB33" s="16" t="n"/>
    </row>
    <row r="34" ht="15" customHeight="1">
      <c r="A34" s="5" t="n"/>
      <c r="B34" s="5" t="n"/>
      <c r="C34" s="5" t="n"/>
      <c r="D34" s="5" t="n"/>
      <c r="E34" s="19" t="n"/>
      <c r="G34" s="19" t="n"/>
      <c r="I34" s="19" t="n"/>
      <c r="J34" s="16" t="n"/>
      <c r="K34" s="16" t="n"/>
      <c r="L34" s="16" t="n"/>
      <c r="M34" s="16" t="n"/>
      <c r="N34" s="16" t="n"/>
      <c r="O34" s="16" t="n"/>
      <c r="P34" s="16" t="n"/>
      <c r="Q34" s="16" t="n"/>
      <c r="R34" s="16" t="n"/>
      <c r="S34" s="16" t="n"/>
      <c r="T34" s="16" t="n"/>
      <c r="U34" s="16" t="n"/>
      <c r="V34" s="16" t="n"/>
      <c r="W34" s="16" t="n"/>
      <c r="X34" s="16" t="n"/>
      <c r="Z34" s="16" t="n"/>
      <c r="AA34" s="16" t="n"/>
      <c r="AB34" s="16" t="n"/>
      <c r="AC34" s="16" t="n"/>
      <c r="AD34" s="16" t="n"/>
      <c r="AE34" s="16" t="n"/>
      <c r="AF34" s="16" t="n"/>
      <c r="AG34" s="16" t="n"/>
      <c r="AH34" s="16" t="n"/>
      <c r="AI34" s="16" t="n"/>
      <c r="AJ34" s="16" t="n"/>
      <c r="AK34" s="16" t="n"/>
      <c r="AL34" s="16" t="n"/>
      <c r="AM34" s="16" t="n"/>
      <c r="AN34" s="16" t="n"/>
      <c r="AO34" s="16" t="n"/>
      <c r="AP34" s="16" t="n"/>
      <c r="AQ34" s="16" t="n"/>
      <c r="AR34" s="16" t="n"/>
      <c r="AS34" s="16" t="n"/>
      <c r="AT34" s="16" t="n"/>
      <c r="AU34" s="16" t="n"/>
      <c r="AV34" s="16" t="n"/>
      <c r="AW34" s="16" t="n"/>
      <c r="AX34" s="16" t="n"/>
      <c r="AY34" s="16" t="n"/>
      <c r="AZ34" s="16" t="n"/>
      <c r="BA34" s="16" t="n"/>
      <c r="BB34" s="16" t="n"/>
    </row>
    <row r="35" ht="15" customHeight="1">
      <c r="A35" s="5" t="n"/>
      <c r="B35" s="5" t="n"/>
      <c r="C35" s="5" t="n"/>
      <c r="D35" s="5" t="n"/>
      <c r="E35" s="21" t="inlineStr">
        <is>
          <t>Cap availability incentive rate</t>
        </is>
      </c>
      <c r="G35" s="21" t="inlineStr">
        <is>
          <t>scalar</t>
        </is>
      </c>
      <c r="H35" s="21" t="inlineStr">
        <is>
          <t>AICt</t>
        </is>
      </c>
      <c r="J35" s="16" t="n"/>
      <c r="K35" s="16" t="n"/>
      <c r="L35" s="16" t="n"/>
      <c r="M35" s="16" t="n"/>
      <c r="N35" s="16" t="n"/>
      <c r="O35" s="33" t="n"/>
      <c r="P35" s="100">
        <f>IF(P30&gt;$I32,$I32,IF(P30&lt;$I33,$I33,P30))*P17</f>
        <v/>
      </c>
      <c r="Q35" s="100">
        <f>IF(Q30&gt;$I32,$I32,IF(Q30&lt;$I33,$I33,Q30))*Q17</f>
        <v/>
      </c>
      <c r="R35" s="100">
        <f>IF(R30&gt;$I32,$I32,IF(R30&lt;$I33,$I33,R30))*R17</f>
        <v/>
      </c>
      <c r="S35" s="100">
        <f>IF(S30&gt;$I32,$I32,IF(S30&lt;$I33,$I33,S30))*S17</f>
        <v/>
      </c>
      <c r="T35" s="100">
        <f>IF(T30&gt;$I32,$I32,IF(T30&lt;$I33,$I33,T30))*T17</f>
        <v/>
      </c>
      <c r="U35" s="100">
        <f>IF(U30&gt;$I32,$I32,IF(U30&lt;$I33,$I33,U30))*U17</f>
        <v/>
      </c>
      <c r="V35" s="100">
        <f>IF(V30&gt;$I32,$I32,IF(V30&lt;$I33,$I33,V30))*V17</f>
        <v/>
      </c>
      <c r="W35" s="100">
        <f>IF(W30&gt;$I32,$I32,IF(W30&lt;$I33,$I33,W30))*W17</f>
        <v/>
      </c>
      <c r="X35" s="100">
        <f>IF(X30&gt;$I32,$I32,IF(X30&lt;$I33,$I33,X30))*X17</f>
        <v/>
      </c>
      <c r="Y35" s="100">
        <f>IF(Y30&gt;$I32,$I32,IF(Y30&lt;$I33,$I33,Y30))*Y17</f>
        <v/>
      </c>
      <c r="Z35" s="100">
        <f>IF(Z30&gt;$I32,$I32,IF(Z30&lt;$I33,$I33,Z30))*Z17</f>
        <v/>
      </c>
      <c r="AA35" s="100">
        <f>IF(AA30&gt;$I32,$I32,IF(AA30&lt;$I33,$I33,AA30))*AA17</f>
        <v/>
      </c>
      <c r="AB35" s="100">
        <f>IF(AB30&gt;$I32,$I32,IF(AB30&lt;$I33,$I33,AB30))*AB17</f>
        <v/>
      </c>
      <c r="AC35" s="100">
        <f>IF(AC30&gt;$I32,$I32,IF(AC30&lt;$I33,$I33,AC30))*AC17</f>
        <v/>
      </c>
      <c r="AD35" s="100">
        <f>IF(AD30&gt;$I32,$I32,IF(AD30&lt;$I33,$I33,AD30))*AD17</f>
        <v/>
      </c>
      <c r="AE35" s="100">
        <f>IF(AE30&gt;$I32,$I32,IF(AE30&lt;$I33,$I33,AE30))*AE17</f>
        <v/>
      </c>
      <c r="AF35" s="100">
        <f>IF(AF30&gt;$I32,$I32,IF(AF30&lt;$I33,$I33,AF30))*AF17</f>
        <v/>
      </c>
      <c r="AG35" s="100">
        <f>IF(AG30&gt;$I32,$I32,IF(AG30&lt;$I33,$I33,AG30))*AG17</f>
        <v/>
      </c>
      <c r="AH35" s="100">
        <f>IF(AH30&gt;$I32,$I32,IF(AH30&lt;$I33,$I33,AH30))*AH17</f>
        <v/>
      </c>
      <c r="AI35" s="100">
        <f>IF(AI30&gt;$I32,$I32,IF(AI30&lt;$I33,$I33,AI30))*AI17</f>
        <v/>
      </c>
      <c r="AJ35" s="100">
        <f>IF(AJ30&gt;$I32,$I32,IF(AJ30&lt;$I33,$I33,AJ30))*AJ17</f>
        <v/>
      </c>
      <c r="AK35" s="100">
        <f>IF(AK30&gt;$I32,$I32,IF(AK30&lt;$I33,$I33,AK30))*AK17</f>
        <v/>
      </c>
      <c r="AL35" s="100">
        <f>IF(AL30&gt;$I32,$I32,IF(AL30&lt;$I33,$I33,AL30))*AL17</f>
        <v/>
      </c>
      <c r="AM35" s="100">
        <f>IF(AM30&gt;$I32,$I32,IF(AM30&lt;$I33,$I33,AM30))*AM17</f>
        <v/>
      </c>
      <c r="AN35" s="100">
        <f>IF(AN30&gt;$I32,$I32,IF(AN30&lt;$I33,$I33,AN30))*AN17</f>
        <v/>
      </c>
      <c r="AO35" s="100">
        <f>IF(AO30&gt;$I32,$I32,IF(AO30&lt;$I33,$I33,AO30))*AO17</f>
        <v/>
      </c>
      <c r="AP35" s="100">
        <f>IF(AP30&gt;$I32,$I32,IF(AP30&lt;$I33,$I33,AP30))*AP17</f>
        <v/>
      </c>
      <c r="AQ35" s="100">
        <f>IF(AQ30&gt;$I32,$I32,IF(AQ30&lt;$I33,$I33,AQ30))*AQ17</f>
        <v/>
      </c>
      <c r="AR35" s="100">
        <f>IF(AR30&gt;$I32,$I32,IF(AR30&lt;$I33,$I33,AR30))*AR17</f>
        <v/>
      </c>
      <c r="AS35" s="100">
        <f>IF(AS30&gt;$I32,$I32,IF(AS30&lt;$I33,$I33,AS30))*AS17</f>
        <v/>
      </c>
      <c r="AT35" s="100">
        <f>IF(AT30&gt;$I32,$I32,IF(AT30&lt;$I33,$I33,AT30))*AT17</f>
        <v/>
      </c>
      <c r="AU35" s="100">
        <f>IF(AU30&gt;$I32,$I32,IF(AU30&lt;$I33,$I33,AU30))*AU17</f>
        <v/>
      </c>
      <c r="AV35" s="100">
        <f>IF(AV30&gt;$I32,$I32,IF(AV30&lt;$I33,$I33,AV30))*AV17</f>
        <v/>
      </c>
      <c r="AW35" s="100">
        <f>IF(AW30&gt;$I32,$I32,IF(AW30&lt;$I33,$I33,AW30))*AW17</f>
        <v/>
      </c>
      <c r="AX35" s="100">
        <f>IF(AX30&gt;$I32,$I32,IF(AX30&lt;$I33,$I33,AX30))*AX17</f>
        <v/>
      </c>
      <c r="AY35" s="100">
        <f>IF(AY30&gt;$I32,$I32,IF(AY30&lt;$I33,$I33,AY30))*AY17</f>
        <v/>
      </c>
      <c r="AZ35" s="100">
        <f>IF(AZ30&gt;$I32,$I32,IF(AZ30&lt;$I33,$I33,AZ30))*AZ17</f>
        <v/>
      </c>
      <c r="BA35" s="100">
        <f>IF(BA30&gt;$I32,$I32,IF(BA30&lt;$I33,$I33,BA30))*BA17</f>
        <v/>
      </c>
      <c r="BB35" s="100">
        <f>IF(BB30&gt;$I32,$I32,IF(BB30&lt;$I33,$I33,BB30))*BB17</f>
        <v/>
      </c>
    </row>
    <row r="36" ht="15" customHeight="1">
      <c r="A36" s="5" t="n"/>
      <c r="B36" s="5" t="n"/>
      <c r="C36" s="5" t="n"/>
      <c r="D36" s="5" t="n"/>
      <c r="J36" s="16" t="n"/>
      <c r="K36" s="16" t="n"/>
      <c r="L36" s="16" t="n"/>
      <c r="M36" s="16" t="n"/>
      <c r="N36" s="16" t="n"/>
      <c r="O36" s="16" t="n"/>
      <c r="P36" s="16" t="n"/>
      <c r="Q36" s="16" t="n"/>
      <c r="R36" s="16" t="n"/>
      <c r="S36" s="16" t="n"/>
      <c r="T36" s="16" t="n"/>
      <c r="U36" s="16" t="n"/>
      <c r="V36" s="16" t="n"/>
      <c r="W36" s="16" t="n"/>
      <c r="X36" s="16" t="n"/>
      <c r="Y36" s="16" t="n"/>
      <c r="Z36" s="16" t="n"/>
      <c r="AA36" s="16" t="n"/>
      <c r="AB36" s="16" t="n"/>
      <c r="AC36" s="16" t="n"/>
      <c r="AD36" s="16" t="n"/>
      <c r="AE36" s="16" t="n"/>
      <c r="AF36" s="16" t="n"/>
      <c r="AG36" s="16" t="n"/>
      <c r="AH36" s="16" t="n"/>
      <c r="AI36" s="16" t="n"/>
      <c r="AJ36" s="16" t="n"/>
      <c r="AK36" s="16" t="n"/>
      <c r="AL36" s="16" t="n"/>
      <c r="AM36" s="16" t="n"/>
      <c r="AN36" s="16" t="n"/>
      <c r="AO36" s="16" t="n"/>
      <c r="AP36" s="16" t="n"/>
      <c r="AQ36" s="16" t="n"/>
      <c r="AR36" s="16" t="n"/>
      <c r="AS36" s="16" t="n"/>
      <c r="AT36" s="16" t="n"/>
      <c r="AU36" s="16" t="n"/>
      <c r="AV36" s="16" t="n"/>
      <c r="AW36" s="16" t="n"/>
      <c r="AX36" s="16" t="n"/>
      <c r="AY36" s="16" t="n"/>
      <c r="AZ36" s="16" t="n"/>
      <c r="BA36" s="16" t="n"/>
      <c r="BB36" s="16" t="n"/>
    </row>
    <row r="37" ht="15" customFormat="1" customHeight="1" s="63">
      <c r="C37" s="40" t="inlineStr">
        <is>
          <t>Floor incentive rate</t>
        </is>
      </c>
      <c r="D37" s="40" t="n"/>
      <c r="E37" s="40" t="n"/>
      <c r="F37" s="40" t="n"/>
      <c r="G37" s="40" t="n"/>
      <c r="H37" s="40" t="n"/>
      <c r="I37" s="40" t="n"/>
      <c r="J37" s="40" t="n"/>
      <c r="K37" s="40" t="n"/>
      <c r="L37" s="40" t="n"/>
      <c r="M37" s="40" t="n"/>
      <c r="N37" s="40" t="n"/>
      <c r="O37" s="40" t="n"/>
      <c r="P37" s="40" t="n"/>
      <c r="Q37" s="40" t="n"/>
      <c r="R37" s="40" t="n"/>
      <c r="S37" s="40" t="n"/>
      <c r="T37" s="40" t="n"/>
      <c r="U37" s="40" t="n"/>
      <c r="V37" s="40" t="n"/>
      <c r="W37" s="40" t="n"/>
      <c r="X37" s="40" t="n"/>
      <c r="Y37" s="40" t="n"/>
      <c r="Z37" s="40" t="n"/>
      <c r="AA37" s="40" t="n"/>
      <c r="AB37" s="40" t="n"/>
      <c r="AC37" s="40" t="n"/>
      <c r="AD37" s="40" t="n"/>
      <c r="AE37" s="40" t="n"/>
      <c r="AF37" s="40" t="n"/>
      <c r="AG37" s="40" t="n"/>
      <c r="AH37" s="40" t="n"/>
      <c r="AI37" s="40" t="n"/>
      <c r="AJ37" s="40" t="n"/>
      <c r="AK37" s="40" t="n"/>
      <c r="AL37" s="40" t="n"/>
      <c r="AM37" s="40" t="n"/>
      <c r="AN37" s="40" t="n"/>
      <c r="AO37" s="40" t="n"/>
      <c r="AP37" s="40" t="n"/>
      <c r="AQ37" s="40" t="n"/>
      <c r="AR37" s="40" t="n"/>
      <c r="AS37" s="40" t="n"/>
      <c r="AT37" s="40" t="n"/>
      <c r="AU37" s="40" t="n"/>
      <c r="AV37" s="40" t="n"/>
      <c r="AW37" s="40" t="n"/>
      <c r="AX37" s="40" t="n"/>
      <c r="AY37" s="40" t="n"/>
      <c r="AZ37" s="40" t="n"/>
      <c r="BA37" s="40" t="n"/>
      <c r="BB37" s="40" t="n"/>
    </row>
    <row r="38" ht="15" customHeight="1">
      <c r="A38" s="5" t="n"/>
      <c r="B38" s="5" t="n"/>
      <c r="C38" s="5" t="n"/>
      <c r="D38" s="5" t="n"/>
      <c r="J38" s="16" t="n"/>
      <c r="K38" s="16" t="n"/>
      <c r="L38" s="16" t="n"/>
      <c r="M38" s="16" t="n"/>
      <c r="N38" s="16" t="n"/>
      <c r="O38" s="16" t="n"/>
      <c r="P38" s="16" t="n"/>
      <c r="Q38" s="16" t="n"/>
      <c r="R38" s="16" t="n"/>
      <c r="S38" s="16" t="n"/>
      <c r="T38" s="16" t="n"/>
      <c r="U38" s="16" t="n"/>
      <c r="V38" s="16" t="n"/>
      <c r="W38" s="16" t="n"/>
      <c r="X38" s="16" t="n"/>
      <c r="Y38" s="16" t="n"/>
      <c r="Z38" s="16" t="n"/>
      <c r="AA38" s="16" t="n"/>
      <c r="AB38" s="16" t="n"/>
      <c r="AC38" s="16" t="n"/>
      <c r="AD38" s="16" t="n"/>
      <c r="AE38" s="16" t="n"/>
      <c r="AF38" s="16" t="n"/>
      <c r="AG38" s="16" t="n"/>
      <c r="AH38" s="16" t="n"/>
      <c r="AI38" s="16" t="n"/>
      <c r="AJ38" s="16" t="n"/>
      <c r="AK38" s="16" t="n"/>
      <c r="AL38" s="16" t="n"/>
      <c r="AM38" s="16" t="n"/>
      <c r="AN38" s="16" t="n"/>
      <c r="AO38" s="16" t="n"/>
      <c r="AP38" s="16" t="n"/>
      <c r="AQ38" s="16" t="n"/>
      <c r="AR38" s="16" t="n"/>
      <c r="AS38" s="16" t="n"/>
      <c r="AT38" s="16" t="n"/>
      <c r="AU38" s="16" t="n"/>
      <c r="AV38" s="16" t="n"/>
      <c r="AW38" s="16" t="n"/>
      <c r="AX38" s="16" t="n"/>
      <c r="AY38" s="16" t="n"/>
      <c r="AZ38" s="16" t="n"/>
      <c r="BA38" s="16" t="n"/>
      <c r="BB38" s="16" t="n"/>
    </row>
    <row r="39" ht="15" customHeight="1">
      <c r="A39" s="5" t="n"/>
      <c r="B39" s="5" t="n"/>
      <c r="C39" s="5" t="n"/>
      <c r="D39" s="5" t="n"/>
      <c r="E39" s="21" t="inlineStr">
        <is>
          <t>Floor availability incentive target</t>
        </is>
      </c>
      <c r="G39" s="5" t="inlineStr">
        <is>
          <t>%</t>
        </is>
      </c>
      <c r="I39" s="87">
        <f>Inputs!I132</f>
        <v/>
      </c>
      <c r="J39" s="16" t="n"/>
      <c r="K39" s="16" t="n"/>
      <c r="L39" s="16" t="n"/>
      <c r="M39" s="16" t="n"/>
      <c r="N39" s="16" t="n"/>
      <c r="O39" s="16" t="n"/>
      <c r="P39" s="16" t="n"/>
      <c r="Q39" s="16" t="n"/>
      <c r="R39" s="16" t="n"/>
      <c r="S39" s="16" t="n"/>
      <c r="T39" s="16" t="n"/>
      <c r="U39" s="16" t="n"/>
      <c r="V39" s="16" t="n"/>
      <c r="W39" s="16" t="n"/>
      <c r="X39" s="16" t="n"/>
      <c r="Y39" s="16" t="n"/>
      <c r="Z39" s="16" t="n"/>
      <c r="AA39" s="16" t="n"/>
      <c r="AB39" s="16" t="n"/>
      <c r="AC39" s="16" t="n"/>
      <c r="AD39" s="16" t="n"/>
      <c r="AE39" s="16" t="n"/>
      <c r="AF39" s="16" t="n"/>
      <c r="AG39" s="16" t="n"/>
      <c r="AH39" s="16" t="n"/>
      <c r="AI39" s="16" t="n"/>
      <c r="AJ39" s="16" t="n"/>
      <c r="AK39" s="16" t="n"/>
      <c r="AL39" s="16" t="n"/>
      <c r="AM39" s="16" t="n"/>
      <c r="AN39" s="16" t="n"/>
      <c r="AO39" s="16" t="n"/>
      <c r="AP39" s="16" t="n"/>
      <c r="AQ39" s="16" t="n"/>
      <c r="AR39" s="16" t="n"/>
      <c r="AS39" s="16" t="n"/>
      <c r="AT39" s="16" t="n"/>
      <c r="AU39" s="16" t="n"/>
      <c r="AV39" s="16" t="n"/>
      <c r="AW39" s="16" t="n"/>
      <c r="AX39" s="16" t="n"/>
      <c r="AY39" s="16" t="n"/>
      <c r="AZ39" s="16" t="n"/>
      <c r="BA39" s="16" t="n"/>
      <c r="BB39" s="16" t="n"/>
    </row>
    <row r="40" ht="15" customHeight="1">
      <c r="A40" s="5" t="n"/>
      <c r="B40" s="21" t="n"/>
      <c r="C40" s="5" t="n"/>
      <c r="D40" s="5" t="n"/>
      <c r="E40" s="21" t="inlineStr">
        <is>
          <t>Partial year Floor adjustment factor</t>
        </is>
      </c>
      <c r="G40" s="5" t="inlineStr">
        <is>
          <t>scalar</t>
        </is>
      </c>
      <c r="H40" s="21" t="inlineStr">
        <is>
          <t>PYFt</t>
        </is>
      </c>
      <c r="I40" s="19" t="n"/>
      <c r="J40" s="16" t="n"/>
      <c r="K40" s="16" t="n"/>
      <c r="L40" s="16" t="n"/>
      <c r="M40" s="16" t="n"/>
      <c r="N40" s="16" t="n"/>
      <c r="O40" s="33" t="n"/>
      <c r="P40" s="99">
        <f>Indexation!P51</f>
        <v/>
      </c>
      <c r="Q40" s="99">
        <f>Indexation!Q51</f>
        <v/>
      </c>
      <c r="R40" s="99">
        <f>Indexation!R51</f>
        <v/>
      </c>
      <c r="S40" s="99">
        <f>Indexation!S51</f>
        <v/>
      </c>
      <c r="T40" s="99">
        <f>Indexation!T51</f>
        <v/>
      </c>
      <c r="U40" s="99">
        <f>Indexation!U51</f>
        <v/>
      </c>
      <c r="V40" s="99">
        <f>Indexation!V51</f>
        <v/>
      </c>
      <c r="W40" s="99">
        <f>Indexation!W51</f>
        <v/>
      </c>
      <c r="X40" s="99">
        <f>Indexation!X51</f>
        <v/>
      </c>
      <c r="Y40" s="99">
        <f>Indexation!Y51</f>
        <v/>
      </c>
      <c r="Z40" s="99">
        <f>Indexation!Z51</f>
        <v/>
      </c>
      <c r="AA40" s="99">
        <f>Indexation!AA51</f>
        <v/>
      </c>
      <c r="AB40" s="99">
        <f>Indexation!AB51</f>
        <v/>
      </c>
      <c r="AC40" s="99">
        <f>Indexation!AC51</f>
        <v/>
      </c>
      <c r="AD40" s="99">
        <f>Indexation!AD51</f>
        <v/>
      </c>
      <c r="AE40" s="99">
        <f>Indexation!AE51</f>
        <v/>
      </c>
      <c r="AF40" s="99">
        <f>Indexation!AF51</f>
        <v/>
      </c>
      <c r="AG40" s="99">
        <f>Indexation!AG51</f>
        <v/>
      </c>
      <c r="AH40" s="99">
        <f>Indexation!AH51</f>
        <v/>
      </c>
      <c r="AI40" s="99">
        <f>Indexation!AI51</f>
        <v/>
      </c>
      <c r="AJ40" s="99">
        <f>Indexation!AJ51</f>
        <v/>
      </c>
      <c r="AK40" s="99">
        <f>Indexation!AK51</f>
        <v/>
      </c>
      <c r="AL40" s="99">
        <f>Indexation!AL51</f>
        <v/>
      </c>
      <c r="AM40" s="99">
        <f>Indexation!AM51</f>
        <v/>
      </c>
      <c r="AN40" s="99">
        <f>Indexation!AN51</f>
        <v/>
      </c>
      <c r="AO40" s="99">
        <f>Indexation!AO51</f>
        <v/>
      </c>
      <c r="AP40" s="99">
        <f>Indexation!AP51</f>
        <v/>
      </c>
      <c r="AQ40" s="99">
        <f>Indexation!AQ51</f>
        <v/>
      </c>
      <c r="AR40" s="99">
        <f>Indexation!AR51</f>
        <v/>
      </c>
      <c r="AS40" s="99">
        <f>Indexation!AS51</f>
        <v/>
      </c>
      <c r="AT40" s="99">
        <f>Indexation!AT51</f>
        <v/>
      </c>
      <c r="AU40" s="99">
        <f>Indexation!AU51</f>
        <v/>
      </c>
      <c r="AV40" s="99">
        <f>Indexation!AV51</f>
        <v/>
      </c>
      <c r="AW40" s="99">
        <f>Indexation!AW51</f>
        <v/>
      </c>
      <c r="AX40" s="99">
        <f>Indexation!AX51</f>
        <v/>
      </c>
      <c r="AY40" s="99">
        <f>Indexation!AY51</f>
        <v/>
      </c>
      <c r="AZ40" s="99">
        <f>Indexation!AZ51</f>
        <v/>
      </c>
      <c r="BA40" s="99">
        <f>Indexation!BA51</f>
        <v/>
      </c>
      <c r="BB40" s="99">
        <f>Indexation!BB51</f>
        <v/>
      </c>
    </row>
    <row r="41" ht="15" customHeight="1">
      <c r="A41" s="5" t="n"/>
      <c r="B41" s="21" t="n"/>
      <c r="C41" s="5" t="n"/>
      <c r="D41" s="5" t="n"/>
      <c r="E41" s="21" t="inlineStr">
        <is>
          <t>Maximum possible availability</t>
        </is>
      </c>
      <c r="G41" s="5" t="inlineStr">
        <is>
          <t>MWh</t>
        </is>
      </c>
      <c r="H41" s="21" t="inlineStr">
        <is>
          <t>MPA</t>
        </is>
      </c>
      <c r="I41" s="19" t="n"/>
      <c r="J41" s="16" t="n"/>
      <c r="K41" s="16" t="n"/>
      <c r="L41" s="16" t="n"/>
      <c r="M41" s="16" t="n"/>
      <c r="N41" s="16" t="n"/>
      <c r="O41" s="33" t="n"/>
      <c r="P41" s="44">
        <f>$I$19*$I$20*P40</f>
        <v/>
      </c>
      <c r="Q41" s="44">
        <f>$I$19*$I$20*Q40</f>
        <v/>
      </c>
      <c r="R41" s="44">
        <f>$I$19*$I$20*R40</f>
        <v/>
      </c>
      <c r="S41" s="44">
        <f>$I$19*$I$20*S40</f>
        <v/>
      </c>
      <c r="T41" s="44">
        <f>$I$19*$I$20*T40</f>
        <v/>
      </c>
      <c r="U41" s="44">
        <f>$I$19*$I$20*U40</f>
        <v/>
      </c>
      <c r="V41" s="44">
        <f>$I$19*$I$20*V40</f>
        <v/>
      </c>
      <c r="W41" s="44">
        <f>$I$19*$I$20*W40</f>
        <v/>
      </c>
      <c r="X41" s="44">
        <f>$I$19*$I$20*X40</f>
        <v/>
      </c>
      <c r="Y41" s="44">
        <f>$I$19*$I$20*Y40</f>
        <v/>
      </c>
      <c r="Z41" s="44">
        <f>$I$19*$I$20*Z40</f>
        <v/>
      </c>
      <c r="AA41" s="44">
        <f>$I$19*$I$20*AA40</f>
        <v/>
      </c>
      <c r="AB41" s="44">
        <f>$I$19*$I$20*AB40</f>
        <v/>
      </c>
      <c r="AC41" s="44">
        <f>$I$19*$I$20*AC40</f>
        <v/>
      </c>
      <c r="AD41" s="44">
        <f>$I$19*$I$20*AD40</f>
        <v/>
      </c>
      <c r="AE41" s="44">
        <f>$I$19*$I$20*AE40</f>
        <v/>
      </c>
      <c r="AF41" s="44">
        <f>$I$19*$I$20*AF40</f>
        <v/>
      </c>
      <c r="AG41" s="44">
        <f>$I$19*$I$20*AG40</f>
        <v/>
      </c>
      <c r="AH41" s="44">
        <f>$I$19*$I$20*AH40</f>
        <v/>
      </c>
      <c r="AI41" s="44">
        <f>$I$19*$I$20*AI40</f>
        <v/>
      </c>
      <c r="AJ41" s="44">
        <f>$I$19*$I$20*AJ40</f>
        <v/>
      </c>
      <c r="AK41" s="44">
        <f>$I$19*$I$20*AK40</f>
        <v/>
      </c>
      <c r="AL41" s="44">
        <f>$I$19*$I$20*AL40</f>
        <v/>
      </c>
      <c r="AM41" s="44">
        <f>$I$19*$I$20*AM40</f>
        <v/>
      </c>
      <c r="AN41" s="44">
        <f>$I$19*$I$20*AN40</f>
        <v/>
      </c>
      <c r="AO41" s="44">
        <f>$I$19*$I$20*AO40</f>
        <v/>
      </c>
      <c r="AP41" s="44">
        <f>$I$19*$I$20*AP40</f>
        <v/>
      </c>
      <c r="AQ41" s="44">
        <f>$I$19*$I$20*AQ40</f>
        <v/>
      </c>
      <c r="AR41" s="44">
        <f>$I$19*$I$20*AR40</f>
        <v/>
      </c>
      <c r="AS41" s="44">
        <f>$I$19*$I$20*AS40</f>
        <v/>
      </c>
      <c r="AT41" s="44">
        <f>$I$19*$I$20*AT40</f>
        <v/>
      </c>
      <c r="AU41" s="44">
        <f>$I$19*$I$20*AU40</f>
        <v/>
      </c>
      <c r="AV41" s="44">
        <f>$I$19*$I$20*AV40</f>
        <v/>
      </c>
      <c r="AW41" s="44">
        <f>$I$19*$I$20*AW40</f>
        <v/>
      </c>
      <c r="AX41" s="44">
        <f>$I$19*$I$20*AX40</f>
        <v/>
      </c>
      <c r="AY41" s="44">
        <f>$I$19*$I$20*AY40</f>
        <v/>
      </c>
      <c r="AZ41" s="44">
        <f>$I$19*$I$20*AZ40</f>
        <v/>
      </c>
      <c r="BA41" s="44">
        <f>$I$19*$I$20*BA40</f>
        <v/>
      </c>
      <c r="BB41" s="44">
        <f>$I$19*$I$20*BB40</f>
        <v/>
      </c>
    </row>
    <row r="42" ht="26" customHeight="1">
      <c r="A42" s="5" t="n"/>
      <c r="B42" s="21" t="n"/>
      <c r="C42" s="5" t="n"/>
      <c r="D42" s="5" t="n"/>
      <c r="E42" s="47" t="inlineStr">
        <is>
          <t>Total interconnector outages less allowed outages during active Floor period</t>
        </is>
      </c>
      <c r="G42" s="5" t="inlineStr">
        <is>
          <t>MWh</t>
        </is>
      </c>
      <c r="H42" s="21" t="inlineStr">
        <is>
          <t>IOt</t>
        </is>
      </c>
      <c r="I42" s="19" t="n"/>
      <c r="J42" s="16" t="n"/>
      <c r="K42" s="16" t="n"/>
      <c r="L42" s="16" t="n"/>
      <c r="M42" s="16" t="n"/>
      <c r="N42" s="16" t="n"/>
      <c r="O42" s="33" t="n"/>
      <c r="P42" s="99">
        <f>INDEX(Inputs!$P$129:$BB$129,MATCH('Costs &amp; Revenue'!P$5,Inputs!$P$5:$BB$5,0))</f>
        <v/>
      </c>
      <c r="Q42" s="99">
        <f>INDEX(Inputs!$P$129:$BB$129,MATCH('Costs &amp; Revenue'!Q$5,Inputs!$P$5:$BB$5,0))</f>
        <v/>
      </c>
      <c r="R42" s="99">
        <f>INDEX(Inputs!$P$129:$BB$129,MATCH('Costs &amp; Revenue'!R$5,Inputs!$P$5:$BB$5,0))</f>
        <v/>
      </c>
      <c r="S42" s="99">
        <f>INDEX(Inputs!$P$129:$BB$129,MATCH('Costs &amp; Revenue'!S$5,Inputs!$P$5:$BB$5,0))</f>
        <v/>
      </c>
      <c r="T42" s="99">
        <f>INDEX(Inputs!$P$129:$BB$129,MATCH('Costs &amp; Revenue'!T$5,Inputs!$P$5:$BB$5,0))</f>
        <v/>
      </c>
      <c r="U42" s="99">
        <f>INDEX(Inputs!$P$129:$BB$129,MATCH('Costs &amp; Revenue'!U$5,Inputs!$P$5:$BB$5,0))</f>
        <v/>
      </c>
      <c r="V42" s="99">
        <f>INDEX(Inputs!$P$129:$BB$129,MATCH('Costs &amp; Revenue'!V$5,Inputs!$P$5:$BB$5,0))</f>
        <v/>
      </c>
      <c r="W42" s="99">
        <f>INDEX(Inputs!$P$129:$BB$129,MATCH('Costs &amp; Revenue'!W$5,Inputs!$P$5:$BB$5,0))</f>
        <v/>
      </c>
      <c r="X42" s="99">
        <f>INDEX(Inputs!$P$129:$BB$129,MATCH('Costs &amp; Revenue'!X$5,Inputs!$P$5:$BB$5,0))</f>
        <v/>
      </c>
      <c r="Y42" s="99">
        <f>INDEX(Inputs!$P$129:$BB$129,MATCH('Costs &amp; Revenue'!Y$5,Inputs!$P$5:$BB$5,0))</f>
        <v/>
      </c>
      <c r="Z42" s="99">
        <f>INDEX(Inputs!$P$129:$BB$129,MATCH('Costs &amp; Revenue'!Z$5,Inputs!$P$5:$BB$5,0))</f>
        <v/>
      </c>
      <c r="AA42" s="99">
        <f>INDEX(Inputs!$P$129:$BB$129,MATCH('Costs &amp; Revenue'!AA$5,Inputs!$P$5:$BB$5,0))</f>
        <v/>
      </c>
      <c r="AB42" s="99">
        <f>INDEX(Inputs!$P$129:$BB$129,MATCH('Costs &amp; Revenue'!AB$5,Inputs!$P$5:$BB$5,0))</f>
        <v/>
      </c>
      <c r="AC42" s="99">
        <f>INDEX(Inputs!$P$129:$BB$129,MATCH('Costs &amp; Revenue'!AC$5,Inputs!$P$5:$BB$5,0))</f>
        <v/>
      </c>
      <c r="AD42" s="99">
        <f>INDEX(Inputs!$P$129:$BB$129,MATCH('Costs &amp; Revenue'!AD$5,Inputs!$P$5:$BB$5,0))</f>
        <v/>
      </c>
      <c r="AE42" s="99">
        <f>INDEX(Inputs!$P$129:$BB$129,MATCH('Costs &amp; Revenue'!AE$5,Inputs!$P$5:$BB$5,0))</f>
        <v/>
      </c>
      <c r="AF42" s="99">
        <f>INDEX(Inputs!$P$129:$BB$129,MATCH('Costs &amp; Revenue'!AF$5,Inputs!$P$5:$BB$5,0))</f>
        <v/>
      </c>
      <c r="AG42" s="99">
        <f>INDEX(Inputs!$P$129:$BB$129,MATCH('Costs &amp; Revenue'!AG$5,Inputs!$P$5:$BB$5,0))</f>
        <v/>
      </c>
      <c r="AH42" s="99">
        <f>INDEX(Inputs!$P$129:$BB$129,MATCH('Costs &amp; Revenue'!AH$5,Inputs!$P$5:$BB$5,0))</f>
        <v/>
      </c>
      <c r="AI42" s="99">
        <f>INDEX(Inputs!$P$129:$BB$129,MATCH('Costs &amp; Revenue'!AI$5,Inputs!$P$5:$BB$5,0))</f>
        <v/>
      </c>
      <c r="AJ42" s="99">
        <f>INDEX(Inputs!$P$129:$BB$129,MATCH('Costs &amp; Revenue'!AJ$5,Inputs!$P$5:$BB$5,0))</f>
        <v/>
      </c>
      <c r="AK42" s="99">
        <f>INDEX(Inputs!$P$129:$BB$129,MATCH('Costs &amp; Revenue'!AK$5,Inputs!$P$5:$BB$5,0))</f>
        <v/>
      </c>
      <c r="AL42" s="99">
        <f>INDEX(Inputs!$P$129:$BB$129,MATCH('Costs &amp; Revenue'!AL$5,Inputs!$P$5:$BB$5,0))</f>
        <v/>
      </c>
      <c r="AM42" s="99">
        <f>INDEX(Inputs!$P$129:$BB$129,MATCH('Costs &amp; Revenue'!AM$5,Inputs!$P$5:$BB$5,0))</f>
        <v/>
      </c>
      <c r="AN42" s="99">
        <f>INDEX(Inputs!$P$129:$BB$129,MATCH('Costs &amp; Revenue'!AN$5,Inputs!$P$5:$BB$5,0))</f>
        <v/>
      </c>
      <c r="AO42" s="99">
        <f>INDEX(Inputs!$P$129:$BB$129,MATCH('Costs &amp; Revenue'!AO$5,Inputs!$P$5:$BB$5,0))</f>
        <v/>
      </c>
      <c r="AP42" s="99">
        <f>INDEX(Inputs!$P$129:$BB$129,MATCH('Costs &amp; Revenue'!AP$5,Inputs!$P$5:$BB$5,0))</f>
        <v/>
      </c>
      <c r="AQ42" s="99">
        <f>INDEX(Inputs!$P$129:$BB$129,MATCH('Costs &amp; Revenue'!AQ$5,Inputs!$P$5:$BB$5,0))</f>
        <v/>
      </c>
      <c r="AR42" s="99">
        <f>INDEX(Inputs!$P$129:$BB$129,MATCH('Costs &amp; Revenue'!AR$5,Inputs!$P$5:$BB$5,0))</f>
        <v/>
      </c>
      <c r="AS42" s="99">
        <f>INDEX(Inputs!$P$129:$BB$129,MATCH('Costs &amp; Revenue'!AS$5,Inputs!$P$5:$BB$5,0))</f>
        <v/>
      </c>
      <c r="AT42" s="99">
        <f>INDEX(Inputs!$P$129:$BB$129,MATCH('Costs &amp; Revenue'!AT$5,Inputs!$P$5:$BB$5,0))</f>
        <v/>
      </c>
      <c r="AU42" s="99">
        <f>INDEX(Inputs!$P$129:$BB$129,MATCH('Costs &amp; Revenue'!AU$5,Inputs!$P$5:$BB$5,0))</f>
        <v/>
      </c>
      <c r="AV42" s="99">
        <f>INDEX(Inputs!$P$129:$BB$129,MATCH('Costs &amp; Revenue'!AV$5,Inputs!$P$5:$BB$5,0))</f>
        <v/>
      </c>
      <c r="AW42" s="99">
        <f>INDEX(Inputs!$P$129:$BB$129,MATCH('Costs &amp; Revenue'!AW$5,Inputs!$P$5:$BB$5,0))</f>
        <v/>
      </c>
      <c r="AX42" s="99">
        <f>INDEX(Inputs!$P$129:$BB$129,MATCH('Costs &amp; Revenue'!AX$5,Inputs!$P$5:$BB$5,0))</f>
        <v/>
      </c>
      <c r="AY42" s="99">
        <f>INDEX(Inputs!$P$129:$BB$129,MATCH('Costs &amp; Revenue'!AY$5,Inputs!$P$5:$BB$5,0))</f>
        <v/>
      </c>
      <c r="AZ42" s="99">
        <f>INDEX(Inputs!$P$129:$BB$129,MATCH('Costs &amp; Revenue'!AZ$5,Inputs!$P$5:$BB$5,0))</f>
        <v/>
      </c>
      <c r="BA42" s="99">
        <f>INDEX(Inputs!$P$129:$BB$129,MATCH('Costs &amp; Revenue'!BA$5,Inputs!$P$5:$BB$5,0))</f>
        <v/>
      </c>
      <c r="BB42" s="99">
        <f>INDEX(Inputs!$P$129:$BB$129,MATCH('Costs &amp; Revenue'!BB$5,Inputs!$P$5:$BB$5,0))</f>
        <v/>
      </c>
    </row>
    <row r="43" ht="15" customHeight="1">
      <c r="A43" s="5" t="n"/>
      <c r="B43" s="5" t="n"/>
      <c r="C43" s="5" t="n"/>
      <c r="D43" s="5" t="n"/>
      <c r="E43" s="21" t="inlineStr">
        <is>
          <t>Outages associated with exceptional events</t>
        </is>
      </c>
      <c r="G43" s="5" t="inlineStr">
        <is>
          <t>MWh</t>
        </is>
      </c>
      <c r="J43" s="16" t="n"/>
      <c r="K43" s="16" t="n"/>
      <c r="L43" s="16" t="n"/>
      <c r="M43" s="16" t="n"/>
      <c r="N43" s="16" t="n"/>
      <c r="O43" s="33" t="n"/>
      <c r="P43" s="99">
        <f>INDEX(Inputs!$P$130:$BB$130,MATCH('Costs &amp; Revenue'!P$5,Inputs!$P$5:$BB$5,0))</f>
        <v/>
      </c>
      <c r="Q43" s="99">
        <f>INDEX(Inputs!$P$130:$BB$130,MATCH('Costs &amp; Revenue'!Q$5,Inputs!$P$5:$BB$5,0))</f>
        <v/>
      </c>
      <c r="R43" s="99">
        <f>INDEX(Inputs!$P$130:$BB$130,MATCH('Costs &amp; Revenue'!R$5,Inputs!$P$5:$BB$5,0))</f>
        <v/>
      </c>
      <c r="S43" s="99">
        <f>INDEX(Inputs!$P$130:$BB$130,MATCH('Costs &amp; Revenue'!S$5,Inputs!$P$5:$BB$5,0))</f>
        <v/>
      </c>
      <c r="T43" s="99">
        <f>INDEX(Inputs!$P$130:$BB$130,MATCH('Costs &amp; Revenue'!T$5,Inputs!$P$5:$BB$5,0))</f>
        <v/>
      </c>
      <c r="U43" s="99">
        <f>INDEX(Inputs!$P$130:$BB$130,MATCH('Costs &amp; Revenue'!U$5,Inputs!$P$5:$BB$5,0))</f>
        <v/>
      </c>
      <c r="V43" s="99">
        <f>INDEX(Inputs!$P$130:$BB$130,MATCH('Costs &amp; Revenue'!V$5,Inputs!$P$5:$BB$5,0))</f>
        <v/>
      </c>
      <c r="W43" s="99">
        <f>INDEX(Inputs!$P$130:$BB$130,MATCH('Costs &amp; Revenue'!W$5,Inputs!$P$5:$BB$5,0))</f>
        <v/>
      </c>
      <c r="X43" s="99">
        <f>INDEX(Inputs!$P$130:$BB$130,MATCH('Costs &amp; Revenue'!X$5,Inputs!$P$5:$BB$5,0))</f>
        <v/>
      </c>
      <c r="Y43" s="99">
        <f>INDEX(Inputs!$P$130:$BB$130,MATCH('Costs &amp; Revenue'!Y$5,Inputs!$P$5:$BB$5,0))</f>
        <v/>
      </c>
      <c r="Z43" s="99">
        <f>INDEX(Inputs!$P$130:$BB$130,MATCH('Costs &amp; Revenue'!Z$5,Inputs!$P$5:$BB$5,0))</f>
        <v/>
      </c>
      <c r="AA43" s="99">
        <f>INDEX(Inputs!$P$130:$BB$130,MATCH('Costs &amp; Revenue'!AA$5,Inputs!$P$5:$BB$5,0))</f>
        <v/>
      </c>
      <c r="AB43" s="99">
        <f>INDEX(Inputs!$P$130:$BB$130,MATCH('Costs &amp; Revenue'!AB$5,Inputs!$P$5:$BB$5,0))</f>
        <v/>
      </c>
      <c r="AC43" s="99">
        <f>INDEX(Inputs!$P$130:$BB$130,MATCH('Costs &amp; Revenue'!AC$5,Inputs!$P$5:$BB$5,0))</f>
        <v/>
      </c>
      <c r="AD43" s="99">
        <f>INDEX(Inputs!$P$130:$BB$130,MATCH('Costs &amp; Revenue'!AD$5,Inputs!$P$5:$BB$5,0))</f>
        <v/>
      </c>
      <c r="AE43" s="99">
        <f>INDEX(Inputs!$P$130:$BB$130,MATCH('Costs &amp; Revenue'!AE$5,Inputs!$P$5:$BB$5,0))</f>
        <v/>
      </c>
      <c r="AF43" s="99">
        <f>INDEX(Inputs!$P$130:$BB$130,MATCH('Costs &amp; Revenue'!AF$5,Inputs!$P$5:$BB$5,0))</f>
        <v/>
      </c>
      <c r="AG43" s="99">
        <f>INDEX(Inputs!$P$130:$BB$130,MATCH('Costs &amp; Revenue'!AG$5,Inputs!$P$5:$BB$5,0))</f>
        <v/>
      </c>
      <c r="AH43" s="99">
        <f>INDEX(Inputs!$P$130:$BB$130,MATCH('Costs &amp; Revenue'!AH$5,Inputs!$P$5:$BB$5,0))</f>
        <v/>
      </c>
      <c r="AI43" s="99">
        <f>INDEX(Inputs!$P$130:$BB$130,MATCH('Costs &amp; Revenue'!AI$5,Inputs!$P$5:$BB$5,0))</f>
        <v/>
      </c>
      <c r="AJ43" s="99">
        <f>INDEX(Inputs!$P$130:$BB$130,MATCH('Costs &amp; Revenue'!AJ$5,Inputs!$P$5:$BB$5,0))</f>
        <v/>
      </c>
      <c r="AK43" s="99">
        <f>INDEX(Inputs!$P$130:$BB$130,MATCH('Costs &amp; Revenue'!AK$5,Inputs!$P$5:$BB$5,0))</f>
        <v/>
      </c>
      <c r="AL43" s="99">
        <f>INDEX(Inputs!$P$130:$BB$130,MATCH('Costs &amp; Revenue'!AL$5,Inputs!$P$5:$BB$5,0))</f>
        <v/>
      </c>
      <c r="AM43" s="99">
        <f>INDEX(Inputs!$P$130:$BB$130,MATCH('Costs &amp; Revenue'!AM$5,Inputs!$P$5:$BB$5,0))</f>
        <v/>
      </c>
      <c r="AN43" s="99">
        <f>INDEX(Inputs!$P$130:$BB$130,MATCH('Costs &amp; Revenue'!AN$5,Inputs!$P$5:$BB$5,0))</f>
        <v/>
      </c>
      <c r="AO43" s="99">
        <f>INDEX(Inputs!$P$130:$BB$130,MATCH('Costs &amp; Revenue'!AO$5,Inputs!$P$5:$BB$5,0))</f>
        <v/>
      </c>
      <c r="AP43" s="99">
        <f>INDEX(Inputs!$P$130:$BB$130,MATCH('Costs &amp; Revenue'!AP$5,Inputs!$P$5:$BB$5,0))</f>
        <v/>
      </c>
      <c r="AQ43" s="99">
        <f>INDEX(Inputs!$P$130:$BB$130,MATCH('Costs &amp; Revenue'!AQ$5,Inputs!$P$5:$BB$5,0))</f>
        <v/>
      </c>
      <c r="AR43" s="99">
        <f>INDEX(Inputs!$P$130:$BB$130,MATCH('Costs &amp; Revenue'!AR$5,Inputs!$P$5:$BB$5,0))</f>
        <v/>
      </c>
      <c r="AS43" s="99">
        <f>INDEX(Inputs!$P$130:$BB$130,MATCH('Costs &amp; Revenue'!AS$5,Inputs!$P$5:$BB$5,0))</f>
        <v/>
      </c>
      <c r="AT43" s="99">
        <f>INDEX(Inputs!$P$130:$BB$130,MATCH('Costs &amp; Revenue'!AT$5,Inputs!$P$5:$BB$5,0))</f>
        <v/>
      </c>
      <c r="AU43" s="99">
        <f>INDEX(Inputs!$P$130:$BB$130,MATCH('Costs &amp; Revenue'!AU$5,Inputs!$P$5:$BB$5,0))</f>
        <v/>
      </c>
      <c r="AV43" s="99">
        <f>INDEX(Inputs!$P$130:$BB$130,MATCH('Costs &amp; Revenue'!AV$5,Inputs!$P$5:$BB$5,0))</f>
        <v/>
      </c>
      <c r="AW43" s="99">
        <f>INDEX(Inputs!$P$130:$BB$130,MATCH('Costs &amp; Revenue'!AW$5,Inputs!$P$5:$BB$5,0))</f>
        <v/>
      </c>
      <c r="AX43" s="99">
        <f>INDEX(Inputs!$P$130:$BB$130,MATCH('Costs &amp; Revenue'!AX$5,Inputs!$P$5:$BB$5,0))</f>
        <v/>
      </c>
      <c r="AY43" s="99">
        <f>INDEX(Inputs!$P$130:$BB$130,MATCH('Costs &amp; Revenue'!AY$5,Inputs!$P$5:$BB$5,0))</f>
        <v/>
      </c>
      <c r="AZ43" s="99">
        <f>INDEX(Inputs!$P$130:$BB$130,MATCH('Costs &amp; Revenue'!AZ$5,Inputs!$P$5:$BB$5,0))</f>
        <v/>
      </c>
      <c r="BA43" s="99">
        <f>INDEX(Inputs!$P$130:$BB$130,MATCH('Costs &amp; Revenue'!BA$5,Inputs!$P$5:$BB$5,0))</f>
        <v/>
      </c>
      <c r="BB43" s="99">
        <f>INDEX(Inputs!$P$130:$BB$130,MATCH('Costs &amp; Revenue'!BB$5,Inputs!$P$5:$BB$5,0))</f>
        <v/>
      </c>
    </row>
    <row r="44" ht="15" customHeight="1">
      <c r="A44" s="5" t="n"/>
      <c r="B44" s="21" t="n"/>
      <c r="C44" s="5" t="n"/>
      <c r="D44" s="5" t="n"/>
      <c r="E44" s="21" t="inlineStr">
        <is>
          <t>Actual availability for Floor</t>
        </is>
      </c>
      <c r="G44" s="19" t="inlineStr">
        <is>
          <t>MWh</t>
        </is>
      </c>
      <c r="H44" s="21" t="inlineStr">
        <is>
          <t>AAFt (AAt)</t>
        </is>
      </c>
      <c r="I44" s="19" t="n"/>
      <c r="J44" s="16" t="n"/>
      <c r="K44" s="16" t="n"/>
      <c r="L44" s="16" t="n"/>
      <c r="M44" s="16" t="n"/>
      <c r="N44" s="16" t="n"/>
      <c r="O44" s="33" t="n"/>
      <c r="P44" s="44">
        <f>P41-P42+P43</f>
        <v/>
      </c>
      <c r="Q44" s="44">
        <f>Q41-Q42+Q43</f>
        <v/>
      </c>
      <c r="R44" s="44">
        <f>R41-R42+R43</f>
        <v/>
      </c>
      <c r="S44" s="44">
        <f>S41-S42+S43</f>
        <v/>
      </c>
      <c r="T44" s="44">
        <f>T41-T42+T43</f>
        <v/>
      </c>
      <c r="U44" s="44">
        <f>U41-U42+U43</f>
        <v/>
      </c>
      <c r="V44" s="44">
        <f>V41-V42+V43</f>
        <v/>
      </c>
      <c r="W44" s="44">
        <f>W41-W42+W43</f>
        <v/>
      </c>
      <c r="X44" s="44">
        <f>X41-X42+X43</f>
        <v/>
      </c>
      <c r="Y44" s="44">
        <f>Y41-Y42+Y43</f>
        <v/>
      </c>
      <c r="Z44" s="44">
        <f>Z41-Z42+Z43</f>
        <v/>
      </c>
      <c r="AA44" s="44">
        <f>AA41-AA42+AA43</f>
        <v/>
      </c>
      <c r="AB44" s="44">
        <f>AB41-AB42+AB43</f>
        <v/>
      </c>
      <c r="AC44" s="44">
        <f>AC41-AC42+AC43</f>
        <v/>
      </c>
      <c r="AD44" s="44">
        <f>AD41-AD42+AD43</f>
        <v/>
      </c>
      <c r="AE44" s="44">
        <f>AE41-AE42+AE43</f>
        <v/>
      </c>
      <c r="AF44" s="44">
        <f>AF41-AF42+AF43</f>
        <v/>
      </c>
      <c r="AG44" s="44">
        <f>AG41-AG42+AG43</f>
        <v/>
      </c>
      <c r="AH44" s="44">
        <f>AH41-AH42+AH43</f>
        <v/>
      </c>
      <c r="AI44" s="44">
        <f>AI41-AI42+AI43</f>
        <v/>
      </c>
      <c r="AJ44" s="44">
        <f>AJ41-AJ42+AJ43</f>
        <v/>
      </c>
      <c r="AK44" s="44">
        <f>AK41-AK42+AK43</f>
        <v/>
      </c>
      <c r="AL44" s="44">
        <f>AL41-AL42+AL43</f>
        <v/>
      </c>
      <c r="AM44" s="44">
        <f>AM41-AM42+AM43</f>
        <v/>
      </c>
      <c r="AN44" s="44">
        <f>AN41-AN42+AN43</f>
        <v/>
      </c>
      <c r="AO44" s="44">
        <f>AO41-AO42+AO43</f>
        <v/>
      </c>
      <c r="AP44" s="44">
        <f>AP41-AP42+AP43</f>
        <v/>
      </c>
      <c r="AQ44" s="44">
        <f>AQ41-AQ42+AQ43</f>
        <v/>
      </c>
      <c r="AR44" s="44">
        <f>AR41-AR42+AR43</f>
        <v/>
      </c>
      <c r="AS44" s="44">
        <f>AS41-AS42+AS43</f>
        <v/>
      </c>
      <c r="AT44" s="44">
        <f>AT41-AT42+AT43</f>
        <v/>
      </c>
      <c r="AU44" s="44">
        <f>AU41-AU42+AU43</f>
        <v/>
      </c>
      <c r="AV44" s="44">
        <f>AV41-AV42+AV43</f>
        <v/>
      </c>
      <c r="AW44" s="44">
        <f>AW41-AW42+AW43</f>
        <v/>
      </c>
      <c r="AX44" s="44">
        <f>AX41-AX42+AX43</f>
        <v/>
      </c>
      <c r="AY44" s="44">
        <f>AY41-AY42+AY43</f>
        <v/>
      </c>
      <c r="AZ44" s="44">
        <f>AZ41-AZ42+AZ43</f>
        <v/>
      </c>
      <c r="BA44" s="44">
        <f>BA41-BA42+BA43</f>
        <v/>
      </c>
      <c r="BB44" s="44">
        <f>BB41-BB42+BB43</f>
        <v/>
      </c>
    </row>
    <row r="45" ht="15" customHeight="1">
      <c r="A45" s="5" t="n"/>
      <c r="B45" s="21" t="n"/>
      <c r="C45" s="5" t="n"/>
      <c r="D45" s="5" t="n"/>
      <c r="E45" s="21" t="inlineStr">
        <is>
          <t>Minimum availability target</t>
        </is>
      </c>
      <c r="G45" s="19" t="inlineStr">
        <is>
          <t>MWh</t>
        </is>
      </c>
      <c r="H45" s="21" t="inlineStr">
        <is>
          <t>MAT</t>
        </is>
      </c>
      <c r="I45" s="19" t="n"/>
      <c r="J45" s="16" t="n"/>
      <c r="K45" s="16" t="n"/>
      <c r="L45" s="16" t="n"/>
      <c r="M45" s="16" t="n"/>
      <c r="N45" s="16" t="n"/>
      <c r="O45" s="33" t="n"/>
      <c r="P45" s="44">
        <f>$I$39*P41</f>
        <v/>
      </c>
      <c r="Q45" s="44">
        <f>$I$39*Q41</f>
        <v/>
      </c>
      <c r="R45" s="44">
        <f>$I$39*R41</f>
        <v/>
      </c>
      <c r="S45" s="44">
        <f>$I$39*S41</f>
        <v/>
      </c>
      <c r="T45" s="44">
        <f>$I$39*T41</f>
        <v/>
      </c>
      <c r="U45" s="44">
        <f>$I$39*U41</f>
        <v/>
      </c>
      <c r="V45" s="44">
        <f>$I$39*V41</f>
        <v/>
      </c>
      <c r="W45" s="44">
        <f>$I$39*W41</f>
        <v/>
      </c>
      <c r="X45" s="44">
        <f>$I$39*X41</f>
        <v/>
      </c>
      <c r="Y45" s="44">
        <f>$I$39*Y41</f>
        <v/>
      </c>
      <c r="Z45" s="44">
        <f>$I$39*Z41</f>
        <v/>
      </c>
      <c r="AA45" s="44">
        <f>$I$39*AA41</f>
        <v/>
      </c>
      <c r="AB45" s="44">
        <f>$I$39*AB41</f>
        <v/>
      </c>
      <c r="AC45" s="44">
        <f>$I$39*AC41</f>
        <v/>
      </c>
      <c r="AD45" s="44">
        <f>$I$39*AD41</f>
        <v/>
      </c>
      <c r="AE45" s="44">
        <f>$I$39*AE41</f>
        <v/>
      </c>
      <c r="AF45" s="44">
        <f>$I$39*AF41</f>
        <v/>
      </c>
      <c r="AG45" s="44">
        <f>$I$39*AG41</f>
        <v/>
      </c>
      <c r="AH45" s="44">
        <f>$I$39*AH41</f>
        <v/>
      </c>
      <c r="AI45" s="44">
        <f>$I$39*AI41</f>
        <v/>
      </c>
      <c r="AJ45" s="44">
        <f>$I$39*AJ41</f>
        <v/>
      </c>
      <c r="AK45" s="44">
        <f>$I$39*AK41</f>
        <v/>
      </c>
      <c r="AL45" s="44">
        <f>$I$39*AL41</f>
        <v/>
      </c>
      <c r="AM45" s="44">
        <f>$I$39*AM41</f>
        <v/>
      </c>
      <c r="AN45" s="44">
        <f>$I$39*AN41</f>
        <v/>
      </c>
      <c r="AO45" s="44">
        <f>$I$39*AO41</f>
        <v/>
      </c>
      <c r="AP45" s="44">
        <f>$I$39*AP41</f>
        <v/>
      </c>
      <c r="AQ45" s="44">
        <f>$I$39*AQ41</f>
        <v/>
      </c>
      <c r="AR45" s="44">
        <f>$I$39*AR41</f>
        <v/>
      </c>
      <c r="AS45" s="44">
        <f>$I$39*AS41</f>
        <v/>
      </c>
      <c r="AT45" s="44">
        <f>$I$39*AT41</f>
        <v/>
      </c>
      <c r="AU45" s="44">
        <f>$I$39*AU41</f>
        <v/>
      </c>
      <c r="AV45" s="44">
        <f>$I$39*AV41</f>
        <v/>
      </c>
      <c r="AW45" s="44">
        <f>$I$39*AW41</f>
        <v/>
      </c>
      <c r="AX45" s="44">
        <f>$I$39*AX41</f>
        <v/>
      </c>
      <c r="AY45" s="44">
        <f>$I$39*AY41</f>
        <v/>
      </c>
      <c r="AZ45" s="44">
        <f>$I$39*AZ41</f>
        <v/>
      </c>
      <c r="BA45" s="44">
        <f>$I$39*BA41</f>
        <v/>
      </c>
      <c r="BB45" s="44">
        <f>$I$39*BB41</f>
        <v/>
      </c>
    </row>
    <row r="46" ht="15" customHeight="1">
      <c r="A46" s="5" t="n"/>
      <c r="B46" s="21" t="n"/>
      <c r="C46" s="5" t="n"/>
      <c r="D46" s="5" t="n"/>
      <c r="E46" s="21" t="inlineStr">
        <is>
          <t>Availability performance at Floor</t>
        </is>
      </c>
      <c r="G46" s="19" t="inlineStr">
        <is>
          <t>scalar</t>
        </is>
      </c>
      <c r="H46" s="21" t="inlineStr">
        <is>
          <t>APFt</t>
        </is>
      </c>
      <c r="I46" s="19" t="n"/>
      <c r="J46" s="16" t="n"/>
      <c r="K46" s="16" t="n"/>
      <c r="L46" s="16" t="n"/>
      <c r="M46" s="16" t="n"/>
      <c r="N46" s="16" t="n"/>
      <c r="O46" s="33" t="n"/>
      <c r="P46" s="45">
        <f>IF(P45=0,0,P44/P45)</f>
        <v/>
      </c>
      <c r="Q46" s="45">
        <f>IF(Q45=0,0,Q44/Q45)</f>
        <v/>
      </c>
      <c r="R46" s="45">
        <f>IF(R45=0,0,R44/R45)</f>
        <v/>
      </c>
      <c r="S46" s="45">
        <f>IF(S45=0,0,S44/S45)</f>
        <v/>
      </c>
      <c r="T46" s="45">
        <f>IF(T45=0,0,T44/T45)</f>
        <v/>
      </c>
      <c r="U46" s="45">
        <f>IF(U45=0,0,U44/U45)</f>
        <v/>
      </c>
      <c r="V46" s="45">
        <f>IF(V45=0,0,V44/V45)</f>
        <v/>
      </c>
      <c r="W46" s="45">
        <f>IF(W45=0,0,W44/W45)</f>
        <v/>
      </c>
      <c r="X46" s="45">
        <f>IF(X45=0,0,X44/X45)</f>
        <v/>
      </c>
      <c r="Y46" s="45">
        <f>IF(Y45=0,0,Y44/Y45)</f>
        <v/>
      </c>
      <c r="Z46" s="45">
        <f>IF(Z45=0,0,Z44/Z45)</f>
        <v/>
      </c>
      <c r="AA46" s="45">
        <f>IF(AA45=0,0,AA44/AA45)</f>
        <v/>
      </c>
      <c r="AB46" s="45">
        <f>IF(AB45=0,0,AB44/AB45)</f>
        <v/>
      </c>
      <c r="AC46" s="45">
        <f>IF(AC45=0,0,AC44/AC45)</f>
        <v/>
      </c>
      <c r="AD46" s="45">
        <f>IF(AD45=0,0,AD44/AD45)</f>
        <v/>
      </c>
      <c r="AE46" s="45">
        <f>IF(AE45=0,0,AE44/AE45)</f>
        <v/>
      </c>
      <c r="AF46" s="45">
        <f>IF(AF45=0,0,AF44/AF45)</f>
        <v/>
      </c>
      <c r="AG46" s="45">
        <f>IF(AG45=0,0,AG44/AG45)</f>
        <v/>
      </c>
      <c r="AH46" s="45">
        <f>IF(AH45=0,0,AH44/AH45)</f>
        <v/>
      </c>
      <c r="AI46" s="45">
        <f>IF(AI45=0,0,AI44/AI45)</f>
        <v/>
      </c>
      <c r="AJ46" s="45">
        <f>IF(AJ45=0,0,AJ44/AJ45)</f>
        <v/>
      </c>
      <c r="AK46" s="45">
        <f>IF(AK45=0,0,AK44/AK45)</f>
        <v/>
      </c>
      <c r="AL46" s="45">
        <f>IF(AL45=0,0,AL44/AL45)</f>
        <v/>
      </c>
      <c r="AM46" s="45">
        <f>IF(AM45=0,0,AM44/AM45)</f>
        <v/>
      </c>
      <c r="AN46" s="45">
        <f>IF(AN45=0,0,AN44/AN45)</f>
        <v/>
      </c>
      <c r="AO46" s="45">
        <f>IF(AO45=0,0,AO44/AO45)</f>
        <v/>
      </c>
      <c r="AP46" s="45">
        <f>IF(AP45=0,0,AP44/AP45)</f>
        <v/>
      </c>
      <c r="AQ46" s="45">
        <f>IF(AQ45=0,0,AQ44/AQ45)</f>
        <v/>
      </c>
      <c r="AR46" s="45">
        <f>IF(AR45=0,0,AR44/AR45)</f>
        <v/>
      </c>
      <c r="AS46" s="45">
        <f>IF(AS45=0,0,AS44/AS45)</f>
        <v/>
      </c>
      <c r="AT46" s="45">
        <f>IF(AT45=0,0,AT44/AT45)</f>
        <v/>
      </c>
      <c r="AU46" s="45">
        <f>IF(AU45=0,0,AU44/AU45)</f>
        <v/>
      </c>
      <c r="AV46" s="45">
        <f>IF(AV45=0,0,AV44/AV45)</f>
        <v/>
      </c>
      <c r="AW46" s="45">
        <f>IF(AW45=0,0,AW44/AW45)</f>
        <v/>
      </c>
      <c r="AX46" s="45">
        <f>IF(AX45=0,0,AX44/AX45)</f>
        <v/>
      </c>
      <c r="AY46" s="45">
        <f>IF(AY45=0,0,AY44/AY45)</f>
        <v/>
      </c>
      <c r="AZ46" s="45">
        <f>IF(AZ45=0,0,AZ44/AZ45)</f>
        <v/>
      </c>
      <c r="BA46" s="45">
        <f>IF(BA45=0,0,BA44/BA45)</f>
        <v/>
      </c>
      <c r="BB46" s="45">
        <f>IF(BB45=0,0,BB44/BB45)</f>
        <v/>
      </c>
    </row>
    <row r="47" ht="15" customHeight="1">
      <c r="A47" s="5" t="n"/>
      <c r="B47" s="5" t="n"/>
      <c r="C47" s="5" t="n"/>
      <c r="D47" s="5" t="n"/>
      <c r="J47" s="16" t="n"/>
      <c r="K47" s="16" t="n"/>
      <c r="L47" s="16" t="n"/>
      <c r="M47" s="16" t="n"/>
      <c r="N47" s="16" t="n"/>
      <c r="O47" s="16" t="n"/>
      <c r="P47" s="16" t="n"/>
      <c r="Q47" s="16" t="n"/>
      <c r="R47" s="16" t="n"/>
      <c r="S47" s="16" t="n"/>
      <c r="T47" s="16" t="n"/>
      <c r="U47" s="16" t="n"/>
      <c r="V47" s="16" t="n"/>
      <c r="W47" s="16" t="n"/>
      <c r="X47" s="16" t="n"/>
      <c r="Y47" s="16" t="n"/>
      <c r="Z47" s="16" t="n"/>
      <c r="AA47" s="16" t="n"/>
      <c r="AB47" s="16" t="n"/>
      <c r="AC47" s="16" t="n"/>
      <c r="AD47" s="16" t="n"/>
      <c r="AE47" s="16" t="n"/>
      <c r="AF47" s="16" t="n"/>
      <c r="AG47" s="16" t="n"/>
      <c r="AH47" s="16" t="n"/>
      <c r="AI47" s="16" t="n"/>
      <c r="AJ47" s="16" t="n"/>
      <c r="AK47" s="16" t="n"/>
      <c r="AL47" s="16" t="n"/>
      <c r="AM47" s="16" t="n"/>
      <c r="AN47" s="16" t="n"/>
      <c r="AO47" s="16" t="n"/>
      <c r="AP47" s="16" t="n"/>
      <c r="AQ47" s="16" t="n"/>
      <c r="AR47" s="16" t="n"/>
      <c r="AS47" s="16" t="n"/>
      <c r="AT47" s="16" t="n"/>
      <c r="AU47" s="16" t="n"/>
      <c r="AV47" s="16" t="n"/>
      <c r="AW47" s="16" t="n"/>
      <c r="AX47" s="16" t="n"/>
      <c r="AY47" s="16" t="n"/>
      <c r="AZ47" s="16" t="n"/>
      <c r="BA47" s="16" t="n"/>
      <c r="BB47" s="16" t="n"/>
    </row>
    <row r="48" ht="15" customHeight="1">
      <c r="A48" s="5" t="n"/>
      <c r="B48" s="5" t="n"/>
      <c r="C48" s="5" t="n"/>
      <c r="D48" s="5" t="n"/>
      <c r="E48" s="21" t="inlineStr">
        <is>
          <t>Floor availability incentive rate</t>
        </is>
      </c>
      <c r="G48" s="21">
        <f>G46</f>
        <v/>
      </c>
      <c r="H48" s="21" t="inlineStr">
        <is>
          <t>AIFt</t>
        </is>
      </c>
      <c r="J48" s="16" t="n"/>
      <c r="K48" s="16" t="n"/>
      <c r="L48" s="16" t="n"/>
      <c r="M48" s="16" t="n"/>
      <c r="N48" s="16" t="n"/>
      <c r="O48" s="33" t="n"/>
      <c r="P48" s="100">
        <f>IF(P46&lt;1,0,1)*P17</f>
        <v/>
      </c>
      <c r="Q48" s="100">
        <f>IF(Q46&lt;1,0,1)*Q17</f>
        <v/>
      </c>
      <c r="R48" s="100">
        <f>IF(R46&lt;1,0,1)*R17</f>
        <v/>
      </c>
      <c r="S48" s="100">
        <f>IF(S46&lt;1,0,1)*S17</f>
        <v/>
      </c>
      <c r="T48" s="100">
        <f>IF(T46&lt;1,0,1)*T17</f>
        <v/>
      </c>
      <c r="U48" s="100">
        <f>IF(U46&lt;1,0,1)*U17</f>
        <v/>
      </c>
      <c r="V48" s="100">
        <f>IF(V46&lt;1,0,1)*V17</f>
        <v/>
      </c>
      <c r="W48" s="100">
        <f>IF(W46&lt;1,0,1)*W17</f>
        <v/>
      </c>
      <c r="X48" s="100">
        <f>IF(X46&lt;1,0,1)*X17</f>
        <v/>
      </c>
      <c r="Y48" s="100">
        <f>IF(Y46&lt;1,0,1)*Y17</f>
        <v/>
      </c>
      <c r="Z48" s="100">
        <f>IF(Z46&lt;1,0,1)*Z17</f>
        <v/>
      </c>
      <c r="AA48" s="100">
        <f>IF(AA46&lt;1,0,1)*AA17</f>
        <v/>
      </c>
      <c r="AB48" s="100">
        <f>IF(AB46&lt;1,0,1)*AB17</f>
        <v/>
      </c>
      <c r="AC48" s="100">
        <f>IF(AC46&lt;1,0,1)*AC17</f>
        <v/>
      </c>
      <c r="AD48" s="100">
        <f>IF(AD46&lt;1,0,1)*AD17</f>
        <v/>
      </c>
      <c r="AE48" s="100">
        <f>IF(AE46&lt;1,0,1)*AE17</f>
        <v/>
      </c>
      <c r="AF48" s="100">
        <f>IF(AF46&lt;1,0,1)*AF17</f>
        <v/>
      </c>
      <c r="AG48" s="100">
        <f>IF(AG46&lt;1,0,1)*AG17</f>
        <v/>
      </c>
      <c r="AH48" s="100">
        <f>IF(AH46&lt;1,0,1)*AH17</f>
        <v/>
      </c>
      <c r="AI48" s="100">
        <f>IF(AI46&lt;1,0,1)*AI17</f>
        <v/>
      </c>
      <c r="AJ48" s="100">
        <f>IF(AJ46&lt;1,0,1)*AJ17</f>
        <v/>
      </c>
      <c r="AK48" s="100">
        <f>IF(AK46&lt;1,0,1)*AK17</f>
        <v/>
      </c>
      <c r="AL48" s="100">
        <f>IF(AL46&lt;1,0,1)*AL17</f>
        <v/>
      </c>
      <c r="AM48" s="100">
        <f>IF(AM46&lt;1,0,1)*AM17</f>
        <v/>
      </c>
      <c r="AN48" s="100">
        <f>IF(AN46&lt;1,0,1)*AN17</f>
        <v/>
      </c>
      <c r="AO48" s="100">
        <f>IF(AO46&lt;1,0,1)*AO17</f>
        <v/>
      </c>
      <c r="AP48" s="100">
        <f>IF(AP46&lt;1,0,1)*AP17</f>
        <v/>
      </c>
      <c r="AQ48" s="100">
        <f>IF(AQ46&lt;1,0,1)*AQ17</f>
        <v/>
      </c>
      <c r="AR48" s="100">
        <f>IF(AR46&lt;1,0,1)*AR17</f>
        <v/>
      </c>
      <c r="AS48" s="100">
        <f>IF(AS46&lt;1,0,1)*AS17</f>
        <v/>
      </c>
      <c r="AT48" s="100">
        <f>IF(AT46&lt;1,0,1)*AT17</f>
        <v/>
      </c>
      <c r="AU48" s="100">
        <f>IF(AU46&lt;1,0,1)*AU17</f>
        <v/>
      </c>
      <c r="AV48" s="100">
        <f>IF(AV46&lt;1,0,1)*AV17</f>
        <v/>
      </c>
      <c r="AW48" s="100">
        <f>IF(AW46&lt;1,0,1)*AW17</f>
        <v/>
      </c>
      <c r="AX48" s="100">
        <f>IF(AX46&lt;1,0,1)*AX17</f>
        <v/>
      </c>
      <c r="AY48" s="100">
        <f>IF(AY46&lt;1,0,1)*AY17</f>
        <v/>
      </c>
      <c r="AZ48" s="100">
        <f>IF(AZ46&lt;1,0,1)*AZ17</f>
        <v/>
      </c>
      <c r="BA48" s="100">
        <f>IF(BA46&lt;1,0,1)*BA17</f>
        <v/>
      </c>
      <c r="BB48" s="100">
        <f>IF(BB46&lt;1,0,1)*BB17</f>
        <v/>
      </c>
    </row>
    <row r="49" ht="15" customHeight="1">
      <c r="A49" s="5" t="n"/>
      <c r="B49" s="5" t="n"/>
      <c r="C49" s="5" t="n"/>
      <c r="D49" s="5" t="n"/>
      <c r="J49" s="16" t="n"/>
      <c r="K49" s="16" t="n"/>
      <c r="L49" s="16" t="n"/>
      <c r="M49" s="16" t="n"/>
      <c r="N49" s="16" t="n"/>
      <c r="O49" s="33" t="n"/>
      <c r="P49" s="100" t="n"/>
      <c r="Q49" s="100" t="n"/>
      <c r="R49" s="100" t="n"/>
      <c r="S49" s="100" t="n"/>
      <c r="T49" s="100" t="n"/>
      <c r="U49" s="100" t="n"/>
      <c r="V49" s="100" t="n"/>
      <c r="W49" s="100" t="n"/>
      <c r="X49" s="100" t="n"/>
      <c r="Y49" s="100" t="n"/>
      <c r="Z49" s="100" t="n"/>
      <c r="AA49" s="100" t="n"/>
      <c r="AB49" s="100" t="n"/>
      <c r="AC49" s="100" t="n"/>
      <c r="AD49" s="100" t="n"/>
      <c r="AE49" s="100" t="n"/>
      <c r="AF49" s="100" t="n"/>
      <c r="AG49" s="100" t="n"/>
      <c r="AH49" s="100" t="n"/>
      <c r="AI49" s="100" t="n"/>
      <c r="AJ49" s="100" t="n"/>
      <c r="AK49" s="100" t="n"/>
      <c r="AL49" s="100" t="n"/>
      <c r="AM49" s="100" t="n"/>
      <c r="AN49" s="100" t="n"/>
      <c r="AO49" s="100" t="n"/>
      <c r="AP49" s="100" t="n"/>
      <c r="AQ49" s="100" t="n"/>
      <c r="AR49" s="100" t="n"/>
      <c r="AS49" s="100" t="n"/>
      <c r="AT49" s="100" t="n"/>
      <c r="AU49" s="100" t="n"/>
      <c r="AV49" s="100" t="n"/>
      <c r="AW49" s="100" t="n"/>
      <c r="AX49" s="100" t="n"/>
      <c r="AY49" s="100" t="n"/>
      <c r="AZ49" s="100" t="n"/>
      <c r="BA49" s="100" t="n"/>
      <c r="BB49" s="100" t="n"/>
    </row>
    <row r="50" ht="15" customHeight="1">
      <c r="A50" s="5" t="n"/>
      <c r="B50" s="5" t="n"/>
      <c r="C50" s="40" t="inlineStr">
        <is>
          <t>Cap and Floor (post-availability incentive)</t>
        </is>
      </c>
      <c r="D50" s="40" t="n"/>
      <c r="E50" s="40" t="n"/>
      <c r="F50" s="40" t="n"/>
      <c r="G50" s="40" t="n"/>
      <c r="H50" s="40" t="n"/>
      <c r="I50" s="40" t="n"/>
      <c r="J50" s="40" t="n"/>
      <c r="K50" s="40" t="n"/>
      <c r="L50" s="40" t="n"/>
      <c r="M50" s="40" t="n"/>
      <c r="N50" s="40" t="n"/>
      <c r="O50" s="40" t="n"/>
      <c r="P50" s="40" t="n"/>
      <c r="Q50" s="40" t="n"/>
      <c r="R50" s="40" t="n"/>
      <c r="S50" s="40" t="n"/>
      <c r="T50" s="40" t="n"/>
      <c r="U50" s="40" t="n"/>
      <c r="V50" s="40" t="n"/>
      <c r="W50" s="40" t="n"/>
      <c r="X50" s="40" t="n"/>
      <c r="Y50" s="40" t="n"/>
      <c r="Z50" s="40" t="n"/>
      <c r="AA50" s="40" t="n"/>
      <c r="AB50" s="40" t="n"/>
      <c r="AC50" s="40" t="n"/>
      <c r="AD50" s="40" t="n"/>
      <c r="AE50" s="40" t="n"/>
      <c r="AF50" s="40" t="n"/>
      <c r="AG50" s="40" t="n"/>
      <c r="AH50" s="40" t="n"/>
      <c r="AI50" s="40" t="n"/>
      <c r="AJ50" s="40" t="n"/>
      <c r="AK50" s="40" t="n"/>
      <c r="AL50" s="40" t="n"/>
      <c r="AM50" s="40" t="n"/>
      <c r="AN50" s="40" t="n"/>
      <c r="AO50" s="40" t="n"/>
      <c r="AP50" s="40" t="n"/>
      <c r="AQ50" s="40" t="n"/>
      <c r="AR50" s="40" t="n"/>
      <c r="AS50" s="40" t="n"/>
      <c r="AT50" s="40" t="n"/>
      <c r="AU50" s="40" t="n"/>
      <c r="AV50" s="40" t="n"/>
      <c r="AW50" s="40" t="n"/>
      <c r="AX50" s="40" t="n"/>
      <c r="AY50" s="40" t="n"/>
      <c r="AZ50" s="40" t="n"/>
      <c r="BA50" s="40" t="n"/>
      <c r="BB50" s="40" t="n"/>
    </row>
    <row r="51" ht="15" customHeight="1">
      <c r="A51" s="5" t="n"/>
      <c r="B51" s="5" t="n"/>
      <c r="C51" s="5" t="n"/>
      <c r="D51" s="5" t="n"/>
      <c r="J51" s="16" t="n"/>
      <c r="K51" s="16" t="n"/>
      <c r="L51" s="16" t="n"/>
      <c r="M51" s="16" t="n"/>
      <c r="N51" s="16" t="n"/>
      <c r="O51" s="33" t="n"/>
      <c r="P51" s="100" t="n"/>
      <c r="Q51" s="100" t="n"/>
      <c r="R51" s="100" t="n"/>
      <c r="S51" s="100" t="n"/>
      <c r="T51" s="100" t="n"/>
      <c r="U51" s="100" t="n"/>
      <c r="V51" s="100" t="n"/>
      <c r="W51" s="100" t="n"/>
      <c r="X51" s="100" t="n"/>
      <c r="Y51" s="100" t="n"/>
      <c r="Z51" s="100" t="n"/>
      <c r="AA51" s="100" t="n"/>
      <c r="AB51" s="100" t="n"/>
      <c r="AC51" s="100" t="n"/>
      <c r="AD51" s="100" t="n"/>
      <c r="AE51" s="100" t="n"/>
      <c r="AF51" s="100" t="n"/>
      <c r="AG51" s="100" t="n"/>
      <c r="AH51" s="100" t="n"/>
      <c r="AI51" s="100" t="n"/>
      <c r="AJ51" s="100" t="n"/>
      <c r="AK51" s="100" t="n"/>
      <c r="AL51" s="100" t="n"/>
      <c r="AM51" s="100" t="n"/>
      <c r="AN51" s="100" t="n"/>
      <c r="AO51" s="100" t="n"/>
      <c r="AP51" s="100" t="n"/>
      <c r="AQ51" s="100" t="n"/>
      <c r="AR51" s="100" t="n"/>
      <c r="AS51" s="100" t="n"/>
      <c r="AT51" s="100" t="n"/>
      <c r="AU51" s="100" t="n"/>
      <c r="AV51" s="100" t="n"/>
      <c r="AW51" s="100" t="n"/>
      <c r="AX51" s="100" t="n"/>
      <c r="AY51" s="100" t="n"/>
      <c r="AZ51" s="100" t="n"/>
      <c r="BA51" s="100" t="n"/>
      <c r="BB51" s="100" t="n"/>
    </row>
    <row r="52" ht="15" customHeight="1">
      <c r="A52" s="5" t="n"/>
      <c r="B52" s="5" t="n"/>
      <c r="C52" s="5" t="n"/>
      <c r="D52" s="5" t="n"/>
      <c r="E52" s="21" t="inlineStr">
        <is>
          <t>Cap (post-availability incentive)</t>
        </is>
      </c>
      <c r="G52" s="5" t="inlineStr">
        <is>
          <t>£m nominal prices</t>
        </is>
      </c>
      <c r="H52" s="21" t="inlineStr">
        <is>
          <t>CLt</t>
        </is>
      </c>
      <c r="J52" s="16" t="n"/>
      <c r="K52" s="16" t="n"/>
      <c r="L52" s="16" t="n"/>
      <c r="M52" s="16" t="n"/>
      <c r="N52" s="16" t="n"/>
      <c r="O52" s="33" t="n"/>
      <c r="P52" s="151">
        <f>P11 * P35</f>
        <v/>
      </c>
      <c r="Q52" s="151">
        <f>Q11 * Q35</f>
        <v/>
      </c>
      <c r="R52" s="151">
        <f>R11 * R35</f>
        <v/>
      </c>
      <c r="S52" s="151">
        <f>S11 * S35</f>
        <v/>
      </c>
      <c r="T52" s="151">
        <f>T11 * T35</f>
        <v/>
      </c>
      <c r="U52" s="151">
        <f>U11 * U35</f>
        <v/>
      </c>
      <c r="V52" s="151">
        <f>V11 * V35</f>
        <v/>
      </c>
      <c r="W52" s="151">
        <f>W11 * W35</f>
        <v/>
      </c>
      <c r="X52" s="151">
        <f>X11 * X35</f>
        <v/>
      </c>
      <c r="Y52" s="151">
        <f>Y11 * Y35</f>
        <v/>
      </c>
      <c r="Z52" s="151">
        <f>Z11 * Z35</f>
        <v/>
      </c>
      <c r="AA52" s="151">
        <f>AA11 * AA35</f>
        <v/>
      </c>
      <c r="AB52" s="151">
        <f>AB11 * AB35</f>
        <v/>
      </c>
      <c r="AC52" s="151">
        <f>AC11 * AC35</f>
        <v/>
      </c>
      <c r="AD52" s="151">
        <f>AD11 * AD35</f>
        <v/>
      </c>
      <c r="AE52" s="151">
        <f>AE11 * AE35</f>
        <v/>
      </c>
      <c r="AF52" s="151">
        <f>AF11 * AF35</f>
        <v/>
      </c>
      <c r="AG52" s="151">
        <f>AG11 * AG35</f>
        <v/>
      </c>
      <c r="AH52" s="151">
        <f>AH11 * AH35</f>
        <v/>
      </c>
      <c r="AI52" s="151">
        <f>AI11 * AI35</f>
        <v/>
      </c>
      <c r="AJ52" s="151">
        <f>AJ11 * AJ35</f>
        <v/>
      </c>
      <c r="AK52" s="151">
        <f>AK11 * AK35</f>
        <v/>
      </c>
      <c r="AL52" s="151">
        <f>AL11 * AL35</f>
        <v/>
      </c>
      <c r="AM52" s="151">
        <f>AM11 * AM35</f>
        <v/>
      </c>
      <c r="AN52" s="151">
        <f>AN11 * AN35</f>
        <v/>
      </c>
      <c r="AO52" s="151">
        <f>AO11 * AO35</f>
        <v/>
      </c>
      <c r="AP52" s="151">
        <f>AP11 * AP35</f>
        <v/>
      </c>
      <c r="AQ52" s="151">
        <f>AQ11 * AQ35</f>
        <v/>
      </c>
      <c r="AR52" s="151">
        <f>AR11 * AR35</f>
        <v/>
      </c>
      <c r="AS52" s="151">
        <f>AS11 * AS35</f>
        <v/>
      </c>
      <c r="AT52" s="151">
        <f>AT11 * AT35</f>
        <v/>
      </c>
      <c r="AU52" s="151">
        <f>AU11 * AU35</f>
        <v/>
      </c>
      <c r="AV52" s="151">
        <f>AV11 * AV35</f>
        <v/>
      </c>
      <c r="AW52" s="151">
        <f>AW11 * AW35</f>
        <v/>
      </c>
      <c r="AX52" s="151">
        <f>AX11 * AX35</f>
        <v/>
      </c>
      <c r="AY52" s="151">
        <f>AY11 * AY35</f>
        <v/>
      </c>
      <c r="AZ52" s="151">
        <f>AZ11 * AZ35</f>
        <v/>
      </c>
      <c r="BA52" s="151">
        <f>BA11 * BA35</f>
        <v/>
      </c>
      <c r="BB52" s="151">
        <f>BB11 * BB35</f>
        <v/>
      </c>
    </row>
    <row r="53" ht="15" customHeight="1">
      <c r="A53" s="5" t="n"/>
      <c r="B53" s="5" t="n"/>
      <c r="C53" s="5" t="n"/>
      <c r="D53" s="5" t="n"/>
      <c r="E53" s="21" t="inlineStr">
        <is>
          <t>Floor (post-availability incentive)</t>
        </is>
      </c>
      <c r="G53" s="5" t="inlineStr">
        <is>
          <t>£m nominal prices</t>
        </is>
      </c>
      <c r="H53" s="21" t="inlineStr">
        <is>
          <t>FLt</t>
        </is>
      </c>
      <c r="J53" s="16" t="n"/>
      <c r="K53" s="16" t="n"/>
      <c r="L53" s="16" t="n"/>
      <c r="M53" s="16" t="n"/>
      <c r="N53" s="16" t="n"/>
      <c r="O53" s="33" t="n"/>
      <c r="P53" s="151">
        <f>P12 * P48</f>
        <v/>
      </c>
      <c r="Q53" s="151">
        <f>Q12 * Q48</f>
        <v/>
      </c>
      <c r="R53" s="151">
        <f>R12 * R48</f>
        <v/>
      </c>
      <c r="S53" s="151">
        <f>S12 * S48</f>
        <v/>
      </c>
      <c r="T53" s="151">
        <f>T12 * T48</f>
        <v/>
      </c>
      <c r="U53" s="151">
        <f>U12 * U48</f>
        <v/>
      </c>
      <c r="V53" s="151">
        <f>V12 * V48</f>
        <v/>
      </c>
      <c r="W53" s="151">
        <f>W12 * W48</f>
        <v/>
      </c>
      <c r="X53" s="151">
        <f>X12 * X48</f>
        <v/>
      </c>
      <c r="Y53" s="151">
        <f>Y12 * Y48</f>
        <v/>
      </c>
      <c r="Z53" s="151">
        <f>Z12 * Z48</f>
        <v/>
      </c>
      <c r="AA53" s="151">
        <f>AA12 * AA48</f>
        <v/>
      </c>
      <c r="AB53" s="151">
        <f>AB12 * AB48</f>
        <v/>
      </c>
      <c r="AC53" s="151">
        <f>AC12 * AC48</f>
        <v/>
      </c>
      <c r="AD53" s="151">
        <f>AD12 * AD48</f>
        <v/>
      </c>
      <c r="AE53" s="151">
        <f>AE12 * AE48</f>
        <v/>
      </c>
      <c r="AF53" s="151">
        <f>AF12 * AF48</f>
        <v/>
      </c>
      <c r="AG53" s="151">
        <f>AG12 * AG48</f>
        <v/>
      </c>
      <c r="AH53" s="151">
        <f>AH12 * AH48</f>
        <v/>
      </c>
      <c r="AI53" s="151">
        <f>AI12 * AI48</f>
        <v/>
      </c>
      <c r="AJ53" s="151">
        <f>AJ12 * AJ48</f>
        <v/>
      </c>
      <c r="AK53" s="151">
        <f>AK12 * AK48</f>
        <v/>
      </c>
      <c r="AL53" s="151">
        <f>AL12 * AL48</f>
        <v/>
      </c>
      <c r="AM53" s="151">
        <f>AM12 * AM48</f>
        <v/>
      </c>
      <c r="AN53" s="151">
        <f>AN12 * AN48</f>
        <v/>
      </c>
      <c r="AO53" s="151">
        <f>AO12 * AO48</f>
        <v/>
      </c>
      <c r="AP53" s="151">
        <f>AP12 * AP48</f>
        <v/>
      </c>
      <c r="AQ53" s="151">
        <f>AQ12 * AQ48</f>
        <v/>
      </c>
      <c r="AR53" s="151">
        <f>AR12 * AR48</f>
        <v/>
      </c>
      <c r="AS53" s="151">
        <f>AS12 * AS48</f>
        <v/>
      </c>
      <c r="AT53" s="151">
        <f>AT12 * AT48</f>
        <v/>
      </c>
      <c r="AU53" s="151">
        <f>AU12 * AU48</f>
        <v/>
      </c>
      <c r="AV53" s="151">
        <f>AV12 * AV48</f>
        <v/>
      </c>
      <c r="AW53" s="151">
        <f>AW12 * AW48</f>
        <v/>
      </c>
      <c r="AX53" s="151">
        <f>AX12 * AX48</f>
        <v/>
      </c>
      <c r="AY53" s="151">
        <f>AY12 * AY48</f>
        <v/>
      </c>
      <c r="AZ53" s="151">
        <f>AZ12 * AZ48</f>
        <v/>
      </c>
      <c r="BA53" s="151">
        <f>BA12 * BA48</f>
        <v/>
      </c>
      <c r="BB53" s="151">
        <f>BB12 * BB48</f>
        <v/>
      </c>
    </row>
    <row r="54" ht="15" customHeight="1">
      <c r="A54" s="5" t="n"/>
      <c r="B54" s="5" t="n"/>
      <c r="C54" s="5" t="n"/>
      <c r="D54" s="5" t="n"/>
      <c r="J54" s="16" t="n"/>
      <c r="K54" s="16" t="n"/>
      <c r="L54" s="16" t="n"/>
      <c r="M54" s="16" t="n"/>
      <c r="N54" s="16" t="n"/>
      <c r="O54" s="16" t="n"/>
      <c r="P54" s="16" t="n"/>
      <c r="Q54" s="16" t="n"/>
      <c r="R54" s="16" t="n"/>
      <c r="S54" s="16" t="n"/>
      <c r="T54" s="16" t="n"/>
      <c r="U54" s="16" t="n"/>
      <c r="V54" s="16" t="n"/>
      <c r="W54" s="16" t="n"/>
      <c r="X54" s="16" t="n"/>
      <c r="Y54" s="16" t="n"/>
      <c r="Z54" s="16" t="n"/>
      <c r="AA54" s="16" t="n"/>
      <c r="AB54" s="16" t="n"/>
      <c r="AC54" s="16" t="n"/>
      <c r="AD54" s="16" t="n"/>
      <c r="AE54" s="16" t="n"/>
      <c r="AF54" s="16" t="n"/>
      <c r="AG54" s="16" t="n"/>
      <c r="AH54" s="16" t="n"/>
      <c r="AI54" s="16" t="n"/>
      <c r="AJ54" s="16" t="n"/>
      <c r="AK54" s="16" t="n"/>
      <c r="AL54" s="16" t="n"/>
      <c r="AM54" s="16" t="n"/>
      <c r="AN54" s="16" t="n"/>
      <c r="AO54" s="16" t="n"/>
      <c r="AP54" s="16" t="n"/>
      <c r="AQ54" s="16" t="n"/>
      <c r="AR54" s="16" t="n"/>
      <c r="AS54" s="16" t="n"/>
      <c r="AT54" s="16" t="n"/>
      <c r="AU54" s="16" t="n"/>
      <c r="AV54" s="16" t="n"/>
      <c r="AW54" s="16" t="n"/>
      <c r="AX54" s="16" t="n"/>
      <c r="AY54" s="16" t="n"/>
      <c r="AZ54" s="16" t="n"/>
      <c r="BA54" s="16" t="n"/>
      <c r="BB54" s="16" t="n"/>
    </row>
    <row r="55" ht="15" customFormat="1" customHeight="1" s="4">
      <c r="B55" s="8" t="inlineStr">
        <is>
          <t>End of sheet</t>
        </is>
      </c>
      <c r="C55" s="8" t="n"/>
      <c r="D55" s="8" t="n"/>
      <c r="E55" s="8" t="n"/>
      <c r="F55" s="8" t="n"/>
      <c r="G55" s="8" t="n"/>
      <c r="H55" s="8" t="n"/>
      <c r="I55" s="8" t="n"/>
      <c r="J55" s="8" t="n"/>
      <c r="K55" s="8" t="n"/>
      <c r="L55" s="8" t="n"/>
      <c r="M55" s="8" t="n"/>
      <c r="N55" s="8" t="n"/>
      <c r="O55" s="8" t="n"/>
      <c r="P55" s="8" t="n"/>
      <c r="Q55" s="8" t="n"/>
      <c r="R55" s="8" t="n"/>
      <c r="S55" s="8" t="n"/>
      <c r="T55" s="8" t="n"/>
      <c r="U55" s="8" t="n"/>
      <c r="V55" s="8" t="n"/>
      <c r="W55" s="8" t="n"/>
      <c r="X55" s="8" t="n"/>
      <c r="Y55" s="8" t="n"/>
      <c r="Z55" s="8" t="n"/>
      <c r="AA55" s="8" t="n"/>
      <c r="AB55" s="8" t="n"/>
      <c r="AC55" s="8" t="n"/>
      <c r="AD55" s="8" t="n"/>
      <c r="AE55" s="8" t="n"/>
      <c r="AF55" s="8" t="n"/>
      <c r="AG55" s="8" t="n"/>
      <c r="AH55" s="8" t="n"/>
      <c r="AI55" s="8" t="n"/>
      <c r="AJ55" s="8" t="n"/>
      <c r="AK55" s="8" t="n"/>
      <c r="AL55" s="8" t="n"/>
      <c r="AM55" s="8" t="n"/>
      <c r="AN55" s="8" t="n"/>
      <c r="AO55" s="8" t="n"/>
      <c r="AP55" s="8" t="n"/>
      <c r="AQ55" s="8" t="n"/>
      <c r="AR55" s="8" t="n"/>
      <c r="AS55" s="8" t="n"/>
      <c r="AT55" s="8" t="n"/>
      <c r="AU55" s="8" t="n"/>
      <c r="AV55" s="8" t="n"/>
      <c r="AW55" s="8" t="n"/>
      <c r="AX55" s="8" t="n"/>
      <c r="AY55" s="8" t="n"/>
      <c r="AZ55" s="8" t="n"/>
      <c r="BA55" s="8" t="n"/>
      <c r="BB55" s="8" t="n"/>
    </row>
    <row r="56" ht="15" customHeight="1"/>
    <row r="58" ht="15" customHeight="1"/>
    <row r="59" ht="15" customHeight="1"/>
    <row r="60" ht="15" customHeight="1"/>
    <row r="61" ht="15" customHeight="1"/>
    <row r="62" ht="15" customHeight="1"/>
    <row r="63" ht="15" customHeight="1"/>
    <row r="64" ht="15" customHeight="1"/>
    <row r="72" ht="15" customHeight="1"/>
    <row r="73" ht="15" customHeight="1"/>
    <row r="104" ht="15" customHeight="1"/>
    <row r="105" ht="15" customHeight="1"/>
    <row r="106" ht="15" customHeight="1"/>
    <row r="107" ht="15" customHeight="1"/>
    <row r="108" ht="15" customHeight="1"/>
    <row r="109" ht="15" customHeight="1"/>
    <row r="110" ht="15" customHeight="1"/>
    <row r="111" ht="15" customHeight="1"/>
    <row r="117" hidden="1" ht="15" customHeight="1">
      <c r="G117" s="21" t="inlineStr">
        <is>
          <t>scalar</t>
        </is>
      </c>
    </row>
    <row r="118" hidden="1" ht="15" customHeight="1">
      <c r="G118" s="21" t="inlineStr">
        <is>
          <t>scalar</t>
        </is>
      </c>
    </row>
    <row r="119" ht="15" customHeight="1"/>
    <row r="120" ht="15" customHeight="1"/>
    <row r="121" ht="15" customHeight="1"/>
    <row r="122" ht="15" customHeight="1"/>
    <row r="123" ht="15" customHeight="1"/>
    <row r="124" ht="15" customHeight="1"/>
    <row r="125" ht="15" customHeight="1"/>
    <row r="126" ht="15" customHeight="1"/>
  </sheetData>
  <conditionalFormatting sqref="P17:BB17">
    <cfRule type="cellIs" priority="13" operator="equal" dxfId="0">
      <formula>FALSE()</formula>
    </cfRule>
  </conditionalFormatting>
  <pageMargins left="0.2362204724409449" right="0.2362204724409449" top="0.7480314960629921" bottom="0.7480314960629921" header="0.3149606299212598" footer="0.3149606299212598"/>
  <pageSetup orientation="landscape" paperSize="8" scale="42" fitToHeight="0"/>
</worksheet>
</file>

<file path=xl/worksheets/sheet10.xml><?xml version="1.0" encoding="utf-8"?>
<worksheet xmlns="http://schemas.openxmlformats.org/spreadsheetml/2006/main">
  <sheetPr codeName="Sheet17">
    <tabColor theme="7" tint="0.5999938962981048"/>
    <outlinePr summaryBelow="1" summaryRight="1"/>
    <pageSetUpPr fitToPage="1"/>
  </sheetPr>
  <dimension ref="A1:BC80"/>
  <sheetViews>
    <sheetView zoomScaleNormal="100" workbookViewId="0">
      <pane xSplit="10" ySplit="5" topLeftCell="N60" activePane="bottomRight" state="frozen"/>
      <selection pane="topRight" activeCell="A1" sqref="A1"/>
      <selection pane="bottomLeft" activeCell="A1" sqref="A1"/>
      <selection pane="bottomRight" activeCell="A76" sqref="A76:XFD76"/>
    </sheetView>
  </sheetViews>
  <sheetFormatPr baseColWidth="10" defaultColWidth="0" defaultRowHeight="15" customHeight="1" zeroHeight="1"/>
  <cols>
    <col width="2.59765625" customWidth="1" style="15" min="1" max="1"/>
    <col width="2.59765625" customWidth="1" style="32" min="2" max="2"/>
    <col width="2.59765625" customWidth="1" style="21" min="3" max="3"/>
    <col width="2.59765625" customWidth="1" style="32" min="4" max="4"/>
    <col width="52.3984375" bestFit="1" customWidth="1" style="21" min="5" max="5"/>
    <col width="1.59765625" customWidth="1" style="21" min="6" max="6"/>
    <col width="15.59765625" customWidth="1" style="21" min="7" max="7"/>
    <col width="12" customWidth="1" style="21" min="8" max="8"/>
    <col width="10.59765625" customWidth="1" style="21" min="9" max="9"/>
    <col width="1.59765625" customWidth="1" style="21" min="10" max="11"/>
    <col width="11" customWidth="1" style="21" min="12" max="15"/>
    <col width="10.59765625" customWidth="1" style="21" min="16" max="54"/>
    <col width="2.59765625" customWidth="1" style="21" min="55" max="55"/>
    <col hidden="1" width="9" customWidth="1" style="21" min="56" max="56"/>
    <col hidden="1" width="9" customWidth="1" style="21" min="57" max="16384"/>
  </cols>
  <sheetData>
    <row r="1" ht="14.5" customFormat="1" customHeight="1" s="10">
      <c r="A1" s="126" t="inlineStr">
        <is>
          <t>Assessment</t>
        </is>
      </c>
      <c r="H1" s="9" t="inlineStr">
        <is>
          <t>Licence</t>
        </is>
      </c>
      <c r="J1" s="61" t="n"/>
      <c r="K1" s="61" t="n"/>
      <c r="L1" s="61" t="n"/>
      <c r="M1" s="61" t="n"/>
      <c r="N1" s="61" t="n"/>
      <c r="O1" s="61" t="n"/>
      <c r="P1" s="61" t="n"/>
      <c r="Q1" s="61" t="n"/>
      <c r="R1" s="61" t="n"/>
      <c r="S1" s="61" t="n"/>
      <c r="T1" s="61" t="n"/>
      <c r="U1" s="61" t="n"/>
      <c r="V1" s="61" t="n"/>
      <c r="W1" s="61" t="n"/>
      <c r="X1" s="61" t="n"/>
      <c r="Y1" s="61" t="n"/>
      <c r="Z1" s="61" t="n"/>
      <c r="AA1" s="61" t="n"/>
      <c r="AB1" s="61" t="n"/>
      <c r="AC1" s="61" t="n"/>
      <c r="AD1" s="61" t="n"/>
      <c r="AE1" s="61" t="n"/>
      <c r="AF1" s="61" t="n"/>
      <c r="AG1" s="61" t="n"/>
      <c r="AH1" s="61" t="n"/>
      <c r="AI1" s="61" t="n"/>
      <c r="AJ1" s="61" t="n"/>
    </row>
    <row r="2" ht="15" customFormat="1" customHeight="1" s="10">
      <c r="E2" s="9" t="inlineStr">
        <is>
          <t>Parameter</t>
        </is>
      </c>
      <c r="F2" s="9" t="n"/>
      <c r="G2" s="9" t="inlineStr">
        <is>
          <t>Units</t>
        </is>
      </c>
      <c r="H2" s="9" t="inlineStr">
        <is>
          <t>Terminology</t>
        </is>
      </c>
      <c r="I2" s="13" t="inlineStr">
        <is>
          <t>Constant</t>
        </is>
      </c>
      <c r="O2" s="9" t="inlineStr">
        <is>
          <t>Annual values</t>
        </is>
      </c>
    </row>
    <row r="3" ht="15" customFormat="1" customHeight="1" s="10">
      <c r="E3" s="52" t="inlineStr">
        <is>
          <t>Year commencing</t>
        </is>
      </c>
      <c r="F3" s="9" t="n"/>
      <c r="G3" s="9" t="n"/>
      <c r="H3" s="9" t="n"/>
      <c r="I3" s="9" t="n"/>
      <c r="O3" s="62">
        <f>INDEX(Inputs!$O3:$BB3,MATCH('Costs &amp; Revenue'!O$5,Inputs!$O$5:$BB$5,0))</f>
        <v/>
      </c>
      <c r="P3" s="62">
        <f>INDEX(Inputs!$O3:$BB3,MATCH('Costs &amp; Revenue'!P$5,Inputs!$O$5:$BB$5,0))</f>
        <v/>
      </c>
      <c r="Q3" s="62">
        <f>INDEX(Inputs!$O3:$BB3,MATCH('Costs &amp; Revenue'!Q$5,Inputs!$O$5:$BB$5,0))</f>
        <v/>
      </c>
      <c r="R3" s="62">
        <f>INDEX(Inputs!$O3:$BB3,MATCH('Costs &amp; Revenue'!R$5,Inputs!$O$5:$BB$5,0))</f>
        <v/>
      </c>
      <c r="S3" s="62">
        <f>INDEX(Inputs!$O3:$BB3,MATCH('Costs &amp; Revenue'!S$5,Inputs!$O$5:$BB$5,0))</f>
        <v/>
      </c>
      <c r="T3" s="62">
        <f>INDEX(Inputs!$O3:$BB3,MATCH('Costs &amp; Revenue'!T$5,Inputs!$O$5:$BB$5,0))</f>
        <v/>
      </c>
      <c r="U3" s="62">
        <f>INDEX(Inputs!$O3:$BB3,MATCH('Costs &amp; Revenue'!U$5,Inputs!$O$5:$BB$5,0))</f>
        <v/>
      </c>
      <c r="V3" s="62">
        <f>INDEX(Inputs!$O3:$BB3,MATCH('Costs &amp; Revenue'!V$5,Inputs!$O$5:$BB$5,0))</f>
        <v/>
      </c>
      <c r="W3" s="62">
        <f>INDEX(Inputs!$O3:$BB3,MATCH('Costs &amp; Revenue'!W$5,Inputs!$O$5:$BB$5,0))</f>
        <v/>
      </c>
      <c r="X3" s="62">
        <f>INDEX(Inputs!$O3:$BB3,MATCH('Costs &amp; Revenue'!X$5,Inputs!$O$5:$BB$5,0))</f>
        <v/>
      </c>
      <c r="Y3" s="62">
        <f>INDEX(Inputs!$O3:$BB3,MATCH('Costs &amp; Revenue'!Y$5,Inputs!$O$5:$BB$5,0))</f>
        <v/>
      </c>
      <c r="Z3" s="62">
        <f>INDEX(Inputs!$O3:$BB3,MATCH('Costs &amp; Revenue'!Z$5,Inputs!$O$5:$BB$5,0))</f>
        <v/>
      </c>
      <c r="AA3" s="62">
        <f>INDEX(Inputs!$O3:$BB3,MATCH('Costs &amp; Revenue'!AA$5,Inputs!$O$5:$BB$5,0))</f>
        <v/>
      </c>
      <c r="AB3" s="62">
        <f>INDEX(Inputs!$O3:$BB3,MATCH('Costs &amp; Revenue'!AB$5,Inputs!$O$5:$BB$5,0))</f>
        <v/>
      </c>
      <c r="AC3" s="62">
        <f>INDEX(Inputs!$O3:$BB3,MATCH('Costs &amp; Revenue'!AC$5,Inputs!$O$5:$BB$5,0))</f>
        <v/>
      </c>
      <c r="AD3" s="62">
        <f>INDEX(Inputs!$O3:$BB3,MATCH('Costs &amp; Revenue'!AD$5,Inputs!$O$5:$BB$5,0))</f>
        <v/>
      </c>
      <c r="AE3" s="62">
        <f>INDEX(Inputs!$O3:$BB3,MATCH('Costs &amp; Revenue'!AE$5,Inputs!$O$5:$BB$5,0))</f>
        <v/>
      </c>
      <c r="AF3" s="62">
        <f>INDEX(Inputs!$O3:$BB3,MATCH('Costs &amp; Revenue'!AF$5,Inputs!$O$5:$BB$5,0))</f>
        <v/>
      </c>
      <c r="AG3" s="62">
        <f>INDEX(Inputs!$O3:$BB3,MATCH('Costs &amp; Revenue'!AG$5,Inputs!$O$5:$BB$5,0))</f>
        <v/>
      </c>
      <c r="AH3" s="62">
        <f>INDEX(Inputs!$O3:$BB3,MATCH('Costs &amp; Revenue'!AH$5,Inputs!$O$5:$BB$5,0))</f>
        <v/>
      </c>
      <c r="AI3" s="62">
        <f>INDEX(Inputs!$O3:$BB3,MATCH('Costs &amp; Revenue'!AI$5,Inputs!$O$5:$BB$5,0))</f>
        <v/>
      </c>
      <c r="AJ3" s="62">
        <f>INDEX(Inputs!$O3:$BB3,MATCH('Costs &amp; Revenue'!AJ$5,Inputs!$O$5:$BB$5,0))</f>
        <v/>
      </c>
      <c r="AK3" s="62">
        <f>INDEX(Inputs!$O3:$BB3,MATCH('Costs &amp; Revenue'!AK$5,Inputs!$O$5:$BB$5,0))</f>
        <v/>
      </c>
      <c r="AL3" s="62">
        <f>INDEX(Inputs!$O3:$BB3,MATCH('Costs &amp; Revenue'!AL$5,Inputs!$O$5:$BB$5,0))</f>
        <v/>
      </c>
      <c r="AM3" s="62">
        <f>INDEX(Inputs!$O3:$BB3,MATCH('Costs &amp; Revenue'!AM$5,Inputs!$O$5:$BB$5,0))</f>
        <v/>
      </c>
      <c r="AN3" s="62">
        <f>INDEX(Inputs!$O3:$BB3,MATCH('Costs &amp; Revenue'!AN$5,Inputs!$O$5:$BB$5,0))</f>
        <v/>
      </c>
      <c r="AO3" s="62">
        <f>INDEX(Inputs!$O3:$BB3,MATCH('Costs &amp; Revenue'!AO$5,Inputs!$O$5:$BB$5,0))</f>
        <v/>
      </c>
      <c r="AP3" s="62">
        <f>INDEX(Inputs!$O3:$BB3,MATCH('Costs &amp; Revenue'!AP$5,Inputs!$O$5:$BB$5,0))</f>
        <v/>
      </c>
      <c r="AQ3" s="62">
        <f>INDEX(Inputs!$O3:$BB3,MATCH('Costs &amp; Revenue'!AQ$5,Inputs!$O$5:$BB$5,0))</f>
        <v/>
      </c>
      <c r="AR3" s="62">
        <f>INDEX(Inputs!$O3:$BB3,MATCH('Costs &amp; Revenue'!AR$5,Inputs!$O$5:$BB$5,0))</f>
        <v/>
      </c>
      <c r="AS3" s="62">
        <f>INDEX(Inputs!$O3:$BB3,MATCH('Costs &amp; Revenue'!AS$5,Inputs!$O$5:$BB$5,0))</f>
        <v/>
      </c>
      <c r="AT3" s="62">
        <f>INDEX(Inputs!$O3:$BB3,MATCH('Costs &amp; Revenue'!AT$5,Inputs!$O$5:$BB$5,0))</f>
        <v/>
      </c>
      <c r="AU3" s="62">
        <f>INDEX(Inputs!$O3:$BB3,MATCH('Costs &amp; Revenue'!AU$5,Inputs!$O$5:$BB$5,0))</f>
        <v/>
      </c>
      <c r="AV3" s="62">
        <f>INDEX(Inputs!$O3:$BB3,MATCH('Costs &amp; Revenue'!AV$5,Inputs!$O$5:$BB$5,0))</f>
        <v/>
      </c>
      <c r="AW3" s="62">
        <f>INDEX(Inputs!$O3:$BB3,MATCH('Costs &amp; Revenue'!AW$5,Inputs!$O$5:$BB$5,0))</f>
        <v/>
      </c>
      <c r="AX3" s="62">
        <f>INDEX(Inputs!$O3:$BB3,MATCH('Costs &amp; Revenue'!AX$5,Inputs!$O$5:$BB$5,0))</f>
        <v/>
      </c>
      <c r="AY3" s="62">
        <f>INDEX(Inputs!$O3:$BB3,MATCH('Costs &amp; Revenue'!AY$5,Inputs!$O$5:$BB$5,0))</f>
        <v/>
      </c>
      <c r="AZ3" s="62">
        <f>INDEX(Inputs!$O3:$BB3,MATCH('Costs &amp; Revenue'!AZ$5,Inputs!$O$5:$BB$5,0))</f>
        <v/>
      </c>
      <c r="BA3" s="62">
        <f>INDEX(Inputs!$O3:$BB3,MATCH('Costs &amp; Revenue'!BA$5,Inputs!$O$5:$BB$5,0))</f>
        <v/>
      </c>
      <c r="BB3" s="62">
        <f>INDEX(Inputs!$O3:$BB3,MATCH('Costs &amp; Revenue'!BB$5,Inputs!$O$5:$BB$5,0))</f>
        <v/>
      </c>
    </row>
    <row r="4" ht="15" customFormat="1" customHeight="1" s="52">
      <c r="E4" s="52" t="inlineStr">
        <is>
          <t>Year ending</t>
        </is>
      </c>
      <c r="O4" s="62">
        <f>INDEX(Inputs!$O4:$BB4,MATCH('Costs &amp; Revenue'!O$5,Inputs!$O$5:$BB$5,0))</f>
        <v/>
      </c>
      <c r="P4" s="62">
        <f>INDEX(Inputs!$O4:$BB4,MATCH('Costs &amp; Revenue'!P$5,Inputs!$O$5:$BB$5,0))</f>
        <v/>
      </c>
      <c r="Q4" s="62">
        <f>INDEX(Inputs!$O4:$BB4,MATCH('Costs &amp; Revenue'!Q$5,Inputs!$O$5:$BB$5,0))</f>
        <v/>
      </c>
      <c r="R4" s="62">
        <f>INDEX(Inputs!$O4:$BB4,MATCH('Costs &amp; Revenue'!R$5,Inputs!$O$5:$BB$5,0))</f>
        <v/>
      </c>
      <c r="S4" s="62">
        <f>INDEX(Inputs!$O4:$BB4,MATCH('Costs &amp; Revenue'!S$5,Inputs!$O$5:$BB$5,0))</f>
        <v/>
      </c>
      <c r="T4" s="62">
        <f>INDEX(Inputs!$O4:$BB4,MATCH('Costs &amp; Revenue'!T$5,Inputs!$O$5:$BB$5,0))</f>
        <v/>
      </c>
      <c r="U4" s="62">
        <f>INDEX(Inputs!$O4:$BB4,MATCH('Costs &amp; Revenue'!U$5,Inputs!$O$5:$BB$5,0))</f>
        <v/>
      </c>
      <c r="V4" s="62">
        <f>INDEX(Inputs!$O4:$BB4,MATCH('Costs &amp; Revenue'!V$5,Inputs!$O$5:$BB$5,0))</f>
        <v/>
      </c>
      <c r="W4" s="62">
        <f>INDEX(Inputs!$O4:$BB4,MATCH('Costs &amp; Revenue'!W$5,Inputs!$O$5:$BB$5,0))</f>
        <v/>
      </c>
      <c r="X4" s="62">
        <f>INDEX(Inputs!$O4:$BB4,MATCH('Costs &amp; Revenue'!X$5,Inputs!$O$5:$BB$5,0))</f>
        <v/>
      </c>
      <c r="Y4" s="62">
        <f>INDEX(Inputs!$O4:$BB4,MATCH('Costs &amp; Revenue'!Y$5,Inputs!$O$5:$BB$5,0))</f>
        <v/>
      </c>
      <c r="Z4" s="62">
        <f>INDEX(Inputs!$O4:$BB4,MATCH('Costs &amp; Revenue'!Z$5,Inputs!$O$5:$BB$5,0))</f>
        <v/>
      </c>
      <c r="AA4" s="62">
        <f>INDEX(Inputs!$O4:$BB4,MATCH('Costs &amp; Revenue'!AA$5,Inputs!$O$5:$BB$5,0))</f>
        <v/>
      </c>
      <c r="AB4" s="62">
        <f>INDEX(Inputs!$O4:$BB4,MATCH('Costs &amp; Revenue'!AB$5,Inputs!$O$5:$BB$5,0))</f>
        <v/>
      </c>
      <c r="AC4" s="62">
        <f>INDEX(Inputs!$O4:$BB4,MATCH('Costs &amp; Revenue'!AC$5,Inputs!$O$5:$BB$5,0))</f>
        <v/>
      </c>
      <c r="AD4" s="62">
        <f>INDEX(Inputs!$O4:$BB4,MATCH('Costs &amp; Revenue'!AD$5,Inputs!$O$5:$BB$5,0))</f>
        <v/>
      </c>
      <c r="AE4" s="62">
        <f>INDEX(Inputs!$O4:$BB4,MATCH('Costs &amp; Revenue'!AE$5,Inputs!$O$5:$BB$5,0))</f>
        <v/>
      </c>
      <c r="AF4" s="62">
        <f>INDEX(Inputs!$O4:$BB4,MATCH('Costs &amp; Revenue'!AF$5,Inputs!$O$5:$BB$5,0))</f>
        <v/>
      </c>
      <c r="AG4" s="62">
        <f>INDEX(Inputs!$O4:$BB4,MATCH('Costs &amp; Revenue'!AG$5,Inputs!$O$5:$BB$5,0))</f>
        <v/>
      </c>
      <c r="AH4" s="62">
        <f>INDEX(Inputs!$O4:$BB4,MATCH('Costs &amp; Revenue'!AH$5,Inputs!$O$5:$BB$5,0))</f>
        <v/>
      </c>
      <c r="AI4" s="62">
        <f>INDEX(Inputs!$O4:$BB4,MATCH('Costs &amp; Revenue'!AI$5,Inputs!$O$5:$BB$5,0))</f>
        <v/>
      </c>
      <c r="AJ4" s="62">
        <f>INDEX(Inputs!$O4:$BB4,MATCH('Costs &amp; Revenue'!AJ$5,Inputs!$O$5:$BB$5,0))</f>
        <v/>
      </c>
      <c r="AK4" s="62">
        <f>INDEX(Inputs!$O4:$BB4,MATCH('Costs &amp; Revenue'!AK$5,Inputs!$O$5:$BB$5,0))</f>
        <v/>
      </c>
      <c r="AL4" s="62">
        <f>INDEX(Inputs!$O4:$BB4,MATCH('Costs &amp; Revenue'!AL$5,Inputs!$O$5:$BB$5,0))</f>
        <v/>
      </c>
      <c r="AM4" s="62">
        <f>INDEX(Inputs!$O4:$BB4,MATCH('Costs &amp; Revenue'!AM$5,Inputs!$O$5:$BB$5,0))</f>
        <v/>
      </c>
      <c r="AN4" s="62">
        <f>INDEX(Inputs!$O4:$BB4,MATCH('Costs &amp; Revenue'!AN$5,Inputs!$O$5:$BB$5,0))</f>
        <v/>
      </c>
      <c r="AO4" s="62">
        <f>INDEX(Inputs!$O4:$BB4,MATCH('Costs &amp; Revenue'!AO$5,Inputs!$O$5:$BB$5,0))</f>
        <v/>
      </c>
      <c r="AP4" s="62">
        <f>INDEX(Inputs!$O4:$BB4,MATCH('Costs &amp; Revenue'!AP$5,Inputs!$O$5:$BB$5,0))</f>
        <v/>
      </c>
      <c r="AQ4" s="62">
        <f>INDEX(Inputs!$O4:$BB4,MATCH('Costs &amp; Revenue'!AQ$5,Inputs!$O$5:$BB$5,0))</f>
        <v/>
      </c>
      <c r="AR4" s="62">
        <f>INDEX(Inputs!$O4:$BB4,MATCH('Costs &amp; Revenue'!AR$5,Inputs!$O$5:$BB$5,0))</f>
        <v/>
      </c>
      <c r="AS4" s="62">
        <f>INDEX(Inputs!$O4:$BB4,MATCH('Costs &amp; Revenue'!AS$5,Inputs!$O$5:$BB$5,0))</f>
        <v/>
      </c>
      <c r="AT4" s="62">
        <f>INDEX(Inputs!$O4:$BB4,MATCH('Costs &amp; Revenue'!AT$5,Inputs!$O$5:$BB$5,0))</f>
        <v/>
      </c>
      <c r="AU4" s="62">
        <f>INDEX(Inputs!$O4:$BB4,MATCH('Costs &amp; Revenue'!AU$5,Inputs!$O$5:$BB$5,0))</f>
        <v/>
      </c>
      <c r="AV4" s="62">
        <f>INDEX(Inputs!$O4:$BB4,MATCH('Costs &amp; Revenue'!AV$5,Inputs!$O$5:$BB$5,0))</f>
        <v/>
      </c>
      <c r="AW4" s="62">
        <f>INDEX(Inputs!$O4:$BB4,MATCH('Costs &amp; Revenue'!AW$5,Inputs!$O$5:$BB$5,0))</f>
        <v/>
      </c>
      <c r="AX4" s="62">
        <f>INDEX(Inputs!$O4:$BB4,MATCH('Costs &amp; Revenue'!AX$5,Inputs!$O$5:$BB$5,0))</f>
        <v/>
      </c>
      <c r="AY4" s="62">
        <f>INDEX(Inputs!$O4:$BB4,MATCH('Costs &amp; Revenue'!AY$5,Inputs!$O$5:$BB$5,0))</f>
        <v/>
      </c>
      <c r="AZ4" s="62">
        <f>INDEX(Inputs!$O4:$BB4,MATCH('Costs &amp; Revenue'!AZ$5,Inputs!$O$5:$BB$5,0))</f>
        <v/>
      </c>
      <c r="BA4" s="62">
        <f>INDEX(Inputs!$O4:$BB4,MATCH('Costs &amp; Revenue'!BA$5,Inputs!$O$5:$BB$5,0))</f>
        <v/>
      </c>
      <c r="BB4" s="62">
        <f>INDEX(Inputs!$O4:$BB4,MATCH('Costs &amp; Revenue'!BB$5,Inputs!$O$5:$BB$5,0))</f>
        <v/>
      </c>
      <c r="BC4" s="62" t="n"/>
    </row>
    <row r="5" ht="15" customFormat="1" customHeight="1" s="52">
      <c r="E5" s="52" t="inlineStr">
        <is>
          <t>Operational year</t>
        </is>
      </c>
      <c r="O5" s="11">
        <f>Inputs!O5</f>
        <v/>
      </c>
      <c r="P5" s="11">
        <f>Inputs!P5</f>
        <v/>
      </c>
      <c r="Q5" s="11">
        <f>Inputs!Q5</f>
        <v/>
      </c>
      <c r="R5" s="11">
        <f>Inputs!R5</f>
        <v/>
      </c>
      <c r="S5" s="11">
        <f>Inputs!S5</f>
        <v/>
      </c>
      <c r="T5" s="11">
        <f>Inputs!T5</f>
        <v/>
      </c>
      <c r="U5" s="11">
        <f>Inputs!U5</f>
        <v/>
      </c>
      <c r="V5" s="11">
        <f>Inputs!V5</f>
        <v/>
      </c>
      <c r="W5" s="11">
        <f>Inputs!W5</f>
        <v/>
      </c>
      <c r="X5" s="11">
        <f>Inputs!X5</f>
        <v/>
      </c>
      <c r="Y5" s="11">
        <f>Inputs!Y5</f>
        <v/>
      </c>
      <c r="Z5" s="11">
        <f>Inputs!Z5</f>
        <v/>
      </c>
      <c r="AA5" s="11">
        <f>Inputs!AA5</f>
        <v/>
      </c>
      <c r="AB5" s="11">
        <f>Inputs!AB5</f>
        <v/>
      </c>
      <c r="AC5" s="11">
        <f>Inputs!AC5</f>
        <v/>
      </c>
      <c r="AD5" s="11">
        <f>Inputs!AD5</f>
        <v/>
      </c>
      <c r="AE5" s="11">
        <f>Inputs!AE5</f>
        <v/>
      </c>
      <c r="AF5" s="11">
        <f>Inputs!AF5</f>
        <v/>
      </c>
      <c r="AG5" s="11">
        <f>Inputs!AG5</f>
        <v/>
      </c>
      <c r="AH5" s="11">
        <f>Inputs!AH5</f>
        <v/>
      </c>
      <c r="AI5" s="11">
        <f>Inputs!AI5</f>
        <v/>
      </c>
      <c r="AJ5" s="11">
        <f>Inputs!AJ5</f>
        <v/>
      </c>
      <c r="AK5" s="11">
        <f>Inputs!AK5</f>
        <v/>
      </c>
      <c r="AL5" s="11">
        <f>Inputs!AL5</f>
        <v/>
      </c>
      <c r="AM5" s="11">
        <f>Inputs!AM5</f>
        <v/>
      </c>
      <c r="AN5" s="11">
        <f>Inputs!AN5</f>
        <v/>
      </c>
      <c r="AO5" s="11">
        <f>Inputs!AO5</f>
        <v/>
      </c>
      <c r="AP5" s="11">
        <f>Inputs!AP5</f>
        <v/>
      </c>
      <c r="AQ5" s="11">
        <f>Inputs!AQ5</f>
        <v/>
      </c>
      <c r="AR5" s="11">
        <f>Inputs!AR5</f>
        <v/>
      </c>
      <c r="AS5" s="11">
        <f>Inputs!AS5</f>
        <v/>
      </c>
      <c r="AT5" s="11">
        <f>Inputs!AT5</f>
        <v/>
      </c>
      <c r="AU5" s="11">
        <f>Inputs!AU5</f>
        <v/>
      </c>
      <c r="AV5" s="11">
        <f>Inputs!AV5</f>
        <v/>
      </c>
      <c r="AW5" s="11">
        <f>Inputs!AW5</f>
        <v/>
      </c>
      <c r="AX5" s="11">
        <f>Inputs!AX5</f>
        <v/>
      </c>
      <c r="AY5" s="11">
        <f>Inputs!AY5</f>
        <v/>
      </c>
      <c r="AZ5" s="11">
        <f>Inputs!AZ5</f>
        <v/>
      </c>
      <c r="BA5" s="11">
        <f>Inputs!BA5</f>
        <v/>
      </c>
      <c r="BB5" s="11">
        <f>Inputs!BB5</f>
        <v/>
      </c>
      <c r="BC5" s="62" t="n"/>
    </row>
    <row r="6" ht="15" customHeight="1">
      <c r="A6" s="21" t="n"/>
      <c r="B6" s="21" t="n"/>
      <c r="D6" s="21" t="n"/>
    </row>
    <row r="7" ht="15" customFormat="1" customHeight="1" s="4">
      <c r="B7" s="8" t="inlineStr">
        <is>
          <t>Revenue assessment</t>
        </is>
      </c>
      <c r="C7" s="8" t="n"/>
      <c r="D7" s="8" t="n"/>
      <c r="E7" s="8" t="n"/>
      <c r="F7" s="8" t="n"/>
      <c r="G7" s="8" t="n"/>
      <c r="H7" s="8" t="n"/>
      <c r="I7" s="8" t="n"/>
      <c r="J7" s="8" t="n"/>
      <c r="K7" s="8" t="n"/>
      <c r="L7" s="8" t="n"/>
      <c r="M7" s="8" t="n"/>
      <c r="N7" s="8" t="n"/>
      <c r="O7" s="8" t="n"/>
      <c r="P7" s="8" t="n"/>
      <c r="Q7" s="8" t="n"/>
      <c r="R7" s="8" t="n"/>
      <c r="S7" s="8" t="n"/>
      <c r="T7" s="8" t="n"/>
      <c r="U7" s="8" t="n"/>
      <c r="V7" s="8" t="n"/>
      <c r="W7" s="8" t="n"/>
      <c r="X7" s="8" t="n"/>
      <c r="Y7" s="8" t="n"/>
      <c r="Z7" s="8" t="n"/>
      <c r="AA7" s="8" t="n"/>
      <c r="AB7" s="8" t="n"/>
      <c r="AC7" s="8" t="n"/>
      <c r="AD7" s="8" t="n"/>
      <c r="AE7" s="8" t="n"/>
      <c r="AF7" s="8" t="n"/>
      <c r="AG7" s="8" t="n"/>
      <c r="AH7" s="8" t="n"/>
      <c r="AI7" s="8" t="n"/>
      <c r="AJ7" s="8" t="n"/>
      <c r="AK7" s="8" t="n"/>
      <c r="AL7" s="8" t="n"/>
      <c r="AM7" s="8" t="n"/>
      <c r="AN7" s="8" t="n"/>
      <c r="AO7" s="8" t="n"/>
      <c r="AP7" s="8" t="n"/>
      <c r="AQ7" s="8" t="n"/>
      <c r="AR7" s="8" t="n"/>
      <c r="AS7" s="8" t="n"/>
      <c r="AT7" s="8" t="n"/>
      <c r="AU7" s="8" t="n"/>
      <c r="AV7" s="8" t="n"/>
      <c r="AW7" s="8" t="n"/>
      <c r="AX7" s="8" t="n"/>
      <c r="AY7" s="8" t="n"/>
      <c r="AZ7" s="8" t="n"/>
      <c r="BA7" s="8" t="n"/>
      <c r="BB7" s="8" t="n"/>
    </row>
    <row r="8" ht="15" customHeight="1">
      <c r="A8" s="21" t="n"/>
      <c r="B8" s="21" t="n"/>
      <c r="D8" s="21" t="n"/>
    </row>
    <row r="9" ht="15" customFormat="1" customHeight="1" s="63">
      <c r="C9" s="40" t="inlineStr">
        <is>
          <t>NPV uplift factors</t>
        </is>
      </c>
      <c r="D9" s="40" t="n"/>
      <c r="E9" s="40" t="n"/>
      <c r="F9" s="40" t="n"/>
      <c r="G9" s="40" t="n"/>
      <c r="H9" s="40" t="n"/>
      <c r="I9" s="40" t="n"/>
      <c r="J9" s="40" t="n"/>
      <c r="K9" s="40" t="n"/>
      <c r="L9" s="40" t="n"/>
      <c r="M9" s="40" t="n"/>
      <c r="N9" s="40" t="n"/>
      <c r="O9" s="40" t="n"/>
      <c r="P9" s="40" t="n"/>
      <c r="Q9" s="40" t="n"/>
      <c r="R9" s="40" t="n"/>
      <c r="S9" s="40" t="n"/>
      <c r="T9" s="40" t="n"/>
      <c r="U9" s="40" t="n"/>
      <c r="V9" s="40" t="n"/>
      <c r="W9" s="40" t="n"/>
      <c r="X9" s="40" t="n"/>
      <c r="Y9" s="40" t="n"/>
      <c r="Z9" s="40" t="n"/>
      <c r="AA9" s="40" t="n"/>
      <c r="AB9" s="40" t="n"/>
      <c r="AC9" s="40" t="n"/>
      <c r="AD9" s="40" t="n"/>
      <c r="AE9" s="40" t="n"/>
      <c r="AF9" s="40" t="n"/>
      <c r="AG9" s="40" t="n"/>
      <c r="AH9" s="40" t="n"/>
      <c r="AI9" s="40" t="n"/>
      <c r="AJ9" s="40" t="n"/>
      <c r="AK9" s="40" t="n"/>
      <c r="AL9" s="40" t="n"/>
      <c r="AM9" s="40" t="n"/>
      <c r="AN9" s="40" t="n"/>
      <c r="AO9" s="40" t="n"/>
      <c r="AP9" s="40" t="n"/>
      <c r="AQ9" s="40" t="n"/>
      <c r="AR9" s="40" t="n"/>
      <c r="AS9" s="40" t="n"/>
      <c r="AT9" s="40" t="n"/>
      <c r="AU9" s="40" t="n"/>
      <c r="AV9" s="40" t="n"/>
      <c r="AW9" s="40" t="n"/>
      <c r="AX9" s="40" t="n"/>
      <c r="AY9" s="40" t="n"/>
      <c r="AZ9" s="40" t="n"/>
      <c r="BA9" s="40" t="n"/>
      <c r="BB9" s="40" t="n"/>
    </row>
    <row r="10" ht="15" customHeight="1">
      <c r="A10" s="21" t="n"/>
      <c r="D10" s="21" t="n"/>
      <c r="W10" s="68" t="n"/>
      <c r="X10" s="68" t="n"/>
      <c r="Y10" s="68" t="n"/>
      <c r="Z10" s="68" t="n"/>
      <c r="AA10" s="68" t="n"/>
      <c r="AB10" s="68" t="n"/>
      <c r="AC10" s="68" t="n"/>
      <c r="AD10" s="68" t="n"/>
      <c r="AE10" s="68" t="n"/>
      <c r="AF10" s="68" t="n"/>
      <c r="AG10" s="68" t="n"/>
      <c r="AH10" s="68" t="n"/>
      <c r="AI10" s="68" t="n"/>
      <c r="AJ10" s="68" t="n"/>
      <c r="AK10" s="68" t="n"/>
      <c r="AL10" s="68" t="n"/>
      <c r="AM10" s="68" t="n"/>
      <c r="AN10" s="68" t="n"/>
      <c r="AO10" s="68" t="n"/>
      <c r="AP10" s="68" t="n"/>
      <c r="AQ10" s="68" t="n"/>
      <c r="AR10" s="68" t="n"/>
      <c r="AS10" s="68" t="n"/>
      <c r="AT10" s="68" t="n"/>
      <c r="AU10" s="68" t="n"/>
      <c r="AV10" s="68" t="n"/>
      <c r="AW10" s="68" t="n"/>
      <c r="AX10" s="68" t="n"/>
      <c r="AY10" s="68" t="n"/>
      <c r="AZ10" s="68" t="n"/>
      <c r="BA10" s="68" t="n"/>
      <c r="BB10" s="68" t="n"/>
    </row>
    <row r="11" ht="15" customHeight="1">
      <c r="A11" s="21" t="n"/>
      <c r="D11" s="21" t="n"/>
      <c r="E11" s="21" t="inlineStr">
        <is>
          <t>PPPI index</t>
        </is>
      </c>
      <c r="G11" s="21" t="inlineStr">
        <is>
          <t>scalar</t>
        </is>
      </c>
      <c r="H11" s="21">
        <f>Indexation!H11</f>
        <v/>
      </c>
      <c r="L11" s="33" t="n"/>
      <c r="M11" s="33" t="n"/>
      <c r="N11" s="33" t="n"/>
      <c r="O11" s="84">
        <f>INDEX(Inputs!$O$145:$BB$145,MATCH(O5,Inputs!$O$5:$BB$5,0))</f>
        <v/>
      </c>
      <c r="P11" s="84">
        <f>INDEX(Inputs!$O$145:$BB$145,MATCH(P5,Inputs!$O$5:$BB$5,0))</f>
        <v/>
      </c>
      <c r="Q11" s="84">
        <f>INDEX(Inputs!$O$145:$BB$145,MATCH(Q5,Inputs!$O$5:$BB$5,0))</f>
        <v/>
      </c>
      <c r="R11" s="84">
        <f>INDEX(Inputs!$O$145:$BB$145,MATCH(R5,Inputs!$O$5:$BB$5,0))</f>
        <v/>
      </c>
      <c r="S11" s="84">
        <f>INDEX(Inputs!$O$145:$BB$145,MATCH(S5,Inputs!$O$5:$BB$5,0))</f>
        <v/>
      </c>
      <c r="T11" s="84">
        <f>INDEX(Inputs!$O$145:$BB$145,MATCH(T5,Inputs!$O$5:$BB$5,0))</f>
        <v/>
      </c>
      <c r="U11" s="84">
        <f>INDEX(Inputs!$O$145:$BB$145,MATCH(U5,Inputs!$O$5:$BB$5,0))</f>
        <v/>
      </c>
      <c r="V11" s="84">
        <f>INDEX(Inputs!$O$145:$BB$145,MATCH(V5,Inputs!$O$5:$BB$5,0))</f>
        <v/>
      </c>
      <c r="W11" s="84">
        <f>INDEX(Inputs!$O$145:$BB$145,MATCH(W5,Inputs!$O$5:$BB$5,0))</f>
        <v/>
      </c>
      <c r="X11" s="84">
        <f>INDEX(Inputs!$O$145:$BB$145,MATCH(X5,Inputs!$O$5:$BB$5,0))</f>
        <v/>
      </c>
      <c r="Y11" s="84">
        <f>INDEX(Inputs!$O$145:$BB$145,MATCH(Y5,Inputs!$O$5:$BB$5,0))</f>
        <v/>
      </c>
      <c r="Z11" s="84">
        <f>INDEX(Inputs!$O$145:$BB$145,MATCH(Z5,Inputs!$O$5:$BB$5,0))</f>
        <v/>
      </c>
      <c r="AA11" s="84">
        <f>INDEX(Inputs!$O$145:$BB$145,MATCH(AA5,Inputs!$O$5:$BB$5,0))</f>
        <v/>
      </c>
      <c r="AB11" s="84">
        <f>INDEX(Inputs!$O$145:$BB$145,MATCH(AB5,Inputs!$O$5:$BB$5,0))</f>
        <v/>
      </c>
      <c r="AC11" s="84">
        <f>INDEX(Inputs!$O$145:$BB$145,MATCH(AC5,Inputs!$O$5:$BB$5,0))</f>
        <v/>
      </c>
      <c r="AD11" s="84">
        <f>INDEX(Inputs!$O$145:$BB$145,MATCH(AD5,Inputs!$O$5:$BB$5,0))</f>
        <v/>
      </c>
      <c r="AE11" s="84">
        <f>INDEX(Inputs!$O$145:$BB$145,MATCH(AE5,Inputs!$O$5:$BB$5,0))</f>
        <v/>
      </c>
      <c r="AF11" s="84">
        <f>INDEX(Inputs!$O$145:$BB$145,MATCH(AF5,Inputs!$O$5:$BB$5,0))</f>
        <v/>
      </c>
      <c r="AG11" s="84">
        <f>INDEX(Inputs!$O$145:$BB$145,MATCH(AG5,Inputs!$O$5:$BB$5,0))</f>
        <v/>
      </c>
      <c r="AH11" s="84">
        <f>INDEX(Inputs!$O$145:$BB$145,MATCH(AH5,Inputs!$O$5:$BB$5,0))</f>
        <v/>
      </c>
      <c r="AI11" s="84">
        <f>INDEX(Inputs!$O$145:$BB$145,MATCH(AI5,Inputs!$O$5:$BB$5,0))</f>
        <v/>
      </c>
      <c r="AJ11" s="84">
        <f>INDEX(Inputs!$O$145:$BB$145,MATCH(AJ5,Inputs!$O$5:$BB$5,0))</f>
        <v/>
      </c>
      <c r="AK11" s="84">
        <f>INDEX(Inputs!$O$145:$BB$145,MATCH(AK5,Inputs!$O$5:$BB$5,0))</f>
        <v/>
      </c>
      <c r="AL11" s="84">
        <f>INDEX(Inputs!$O$145:$BB$145,MATCH(AL5,Inputs!$O$5:$BB$5,0))</f>
        <v/>
      </c>
      <c r="AM11" s="84">
        <f>INDEX(Inputs!$O$145:$BB$145,MATCH(AM5,Inputs!$O$5:$BB$5,0))</f>
        <v/>
      </c>
      <c r="AN11" s="84">
        <f>INDEX(Inputs!$O$145:$BB$145,MATCH(AN5,Inputs!$O$5:$BB$5,0))</f>
        <v/>
      </c>
      <c r="AO11" s="84">
        <f>INDEX(Inputs!$O$145:$BB$145,MATCH(AO5,Inputs!$O$5:$BB$5,0))</f>
        <v/>
      </c>
      <c r="AP11" s="84">
        <f>INDEX(Inputs!$O$145:$BB$145,MATCH(AP5,Inputs!$O$5:$BB$5,0))</f>
        <v/>
      </c>
      <c r="AQ11" s="84">
        <f>INDEX(Inputs!$O$145:$BB$145,MATCH(AQ5,Inputs!$O$5:$BB$5,0))</f>
        <v/>
      </c>
      <c r="AR11" s="84">
        <f>INDEX(Inputs!$O$145:$BB$145,MATCH(AR5,Inputs!$O$5:$BB$5,0))</f>
        <v/>
      </c>
      <c r="AS11" s="84">
        <f>INDEX(Inputs!$O$145:$BB$145,MATCH(AS5,Inputs!$O$5:$BB$5,0))</f>
        <v/>
      </c>
      <c r="AT11" s="84">
        <f>INDEX(Inputs!$O$145:$BB$145,MATCH(AT5,Inputs!$O$5:$BB$5,0))</f>
        <v/>
      </c>
      <c r="AU11" s="84">
        <f>INDEX(Inputs!$O$145:$BB$145,MATCH(AU5,Inputs!$O$5:$BB$5,0))</f>
        <v/>
      </c>
      <c r="AV11" s="84">
        <f>INDEX(Inputs!$O$145:$BB$145,MATCH(AV5,Inputs!$O$5:$BB$5,0))</f>
        <v/>
      </c>
      <c r="AW11" s="84">
        <f>INDEX(Inputs!$O$145:$BB$145,MATCH(AW5,Inputs!$O$5:$BB$5,0))</f>
        <v/>
      </c>
      <c r="AX11" s="84">
        <f>INDEX(Inputs!$O$145:$BB$145,MATCH(AX5,Inputs!$O$5:$BB$5,0))</f>
        <v/>
      </c>
      <c r="AY11" s="84">
        <f>INDEX(Inputs!$O$145:$BB$145,MATCH(AY5,Inputs!$O$5:$BB$5,0))</f>
        <v/>
      </c>
      <c r="AZ11" s="84">
        <f>INDEX(Inputs!$O$145:$BB$145,MATCH(AZ5,Inputs!$O$5:$BB$5,0))</f>
        <v/>
      </c>
      <c r="BA11" s="84">
        <f>INDEX(Inputs!$O$145:$BB$145,MATCH(BA5,Inputs!$O$5:$BB$5,0))</f>
        <v/>
      </c>
      <c r="BB11" s="84">
        <f>INDEX(Inputs!$O$145:$BB$145,MATCH(BB5,Inputs!$O$5:$BB$5,0))</f>
        <v/>
      </c>
    </row>
    <row r="12" ht="15" customHeight="1">
      <c r="A12" s="21" t="n"/>
      <c r="D12" s="21" t="n"/>
      <c r="E12" s="21" t="inlineStr">
        <is>
          <t>PPPI index change</t>
        </is>
      </c>
      <c r="G12" s="21" t="inlineStr">
        <is>
          <t>annual %</t>
        </is>
      </c>
      <c r="H12" s="21" t="inlineStr">
        <is>
          <t>CPPPIt</t>
        </is>
      </c>
      <c r="L12" s="33" t="n"/>
      <c r="M12" s="33" t="n"/>
      <c r="N12" s="33" t="n"/>
      <c r="O12" s="33" t="n"/>
      <c r="P12" s="69">
        <f>P11/O11-1</f>
        <v/>
      </c>
      <c r="Q12" s="69">
        <f>Q11/P11-1</f>
        <v/>
      </c>
      <c r="R12" s="69">
        <f>R11/Q11-1</f>
        <v/>
      </c>
      <c r="S12" s="69">
        <f>S11/R11-1</f>
        <v/>
      </c>
      <c r="T12" s="69">
        <f>T11/S11-1</f>
        <v/>
      </c>
      <c r="U12" s="69">
        <f>U11/T11-1</f>
        <v/>
      </c>
      <c r="V12" s="69">
        <f>V11/U11-1</f>
        <v/>
      </c>
      <c r="W12" s="69">
        <f>W11/V11-1</f>
        <v/>
      </c>
      <c r="X12" s="69">
        <f>X11/W11-1</f>
        <v/>
      </c>
      <c r="Y12" s="69">
        <f>Y11/X11-1</f>
        <v/>
      </c>
      <c r="Z12" s="69">
        <f>Z11/Y11-1</f>
        <v/>
      </c>
      <c r="AA12" s="69">
        <f>AA11/Z11-1</f>
        <v/>
      </c>
      <c r="AB12" s="69">
        <f>AB11/AA11-1</f>
        <v/>
      </c>
      <c r="AC12" s="69">
        <f>AC11/AB11-1</f>
        <v/>
      </c>
      <c r="AD12" s="69">
        <f>AD11/AC11-1</f>
        <v/>
      </c>
      <c r="AE12" s="69">
        <f>AE11/AD11-1</f>
        <v/>
      </c>
      <c r="AF12" s="69">
        <f>AF11/AE11-1</f>
        <v/>
      </c>
      <c r="AG12" s="69">
        <f>AG11/AF11-1</f>
        <v/>
      </c>
      <c r="AH12" s="69">
        <f>AH11/AG11-1</f>
        <v/>
      </c>
      <c r="AI12" s="69">
        <f>AI11/AH11-1</f>
        <v/>
      </c>
      <c r="AJ12" s="69">
        <f>AJ11/AI11-1</f>
        <v/>
      </c>
      <c r="AK12" s="69">
        <f>AK11/AJ11-1</f>
        <v/>
      </c>
      <c r="AL12" s="69">
        <f>AL11/AK11-1</f>
        <v/>
      </c>
      <c r="AM12" s="69">
        <f>AM11/AL11-1</f>
        <v/>
      </c>
      <c r="AN12" s="69">
        <f>AN11/AM11-1</f>
        <v/>
      </c>
      <c r="AO12" s="69">
        <f>AO11/AN11-1</f>
        <v/>
      </c>
      <c r="AP12" s="69">
        <f>AP11/AO11-1</f>
        <v/>
      </c>
      <c r="AQ12" s="69">
        <f>AQ11/AP11-1</f>
        <v/>
      </c>
      <c r="AR12" s="69">
        <f>AR11/AQ11-1</f>
        <v/>
      </c>
      <c r="AS12" s="69">
        <f>AS11/AR11-1</f>
        <v/>
      </c>
      <c r="AT12" s="69">
        <f>AT11/AS11-1</f>
        <v/>
      </c>
      <c r="AU12" s="69">
        <f>AU11/AT11-1</f>
        <v/>
      </c>
      <c r="AV12" s="69">
        <f>AV11/AU11-1</f>
        <v/>
      </c>
      <c r="AW12" s="69">
        <f>AW11/AV11-1</f>
        <v/>
      </c>
      <c r="AX12" s="69">
        <f>AX11/AW11-1</f>
        <v/>
      </c>
      <c r="AY12" s="69">
        <f>AY11/AX11-1</f>
        <v/>
      </c>
      <c r="AZ12" s="69">
        <f>AZ11/AY11-1</f>
        <v/>
      </c>
      <c r="BA12" s="69">
        <f>BA11/AZ11-1</f>
        <v/>
      </c>
      <c r="BB12" s="69">
        <f>BB11/BA11-1</f>
        <v/>
      </c>
    </row>
    <row r="13" ht="15" customHeight="1">
      <c r="A13" s="21" t="n"/>
      <c r="D13" s="21" t="n"/>
      <c r="E13" s="18">
        <f>Inputs!E42</f>
        <v/>
      </c>
      <c r="F13" s="18" t="n"/>
      <c r="G13" s="18">
        <f>Inputs!G42</f>
        <v/>
      </c>
      <c r="H13" s="21" t="inlineStr">
        <is>
          <t>ODR</t>
        </is>
      </c>
      <c r="I13" s="87">
        <f>Inputs!I42</f>
        <v/>
      </c>
    </row>
    <row r="14" ht="15" customHeight="1">
      <c r="A14" s="21" t="n"/>
      <c r="D14" s="21" t="n"/>
      <c r="E14" s="18" t="inlineStr">
        <is>
          <t>Operational discount rate</t>
        </is>
      </c>
      <c r="F14" s="18" t="n"/>
      <c r="G14" s="18" t="inlineStr">
        <is>
          <t>nominal %</t>
        </is>
      </c>
      <c r="H14" s="21" t="inlineStr">
        <is>
          <t>NODRt</t>
        </is>
      </c>
      <c r="I14" s="18" t="n"/>
      <c r="L14" s="58" t="n">
        <v>0</v>
      </c>
      <c r="M14" s="58" t="n">
        <v>0</v>
      </c>
      <c r="N14" s="58" t="n">
        <v>0</v>
      </c>
      <c r="O14" s="59" t="n">
        <v>0</v>
      </c>
      <c r="P14" s="69">
        <f>(1+$I13)*(1+P12)-1</f>
        <v/>
      </c>
      <c r="Q14" s="69">
        <f>(1+$I13)*(1+Q12)-1</f>
        <v/>
      </c>
      <c r="R14" s="69">
        <f>(1+$I13)*(1+R12)-1</f>
        <v/>
      </c>
      <c r="S14" s="69">
        <f>(1+$I13)*(1+S12)-1</f>
        <v/>
      </c>
      <c r="T14" s="69">
        <f>(1+$I13)*(1+T12)-1</f>
        <v/>
      </c>
      <c r="U14" s="69">
        <f>(1+$I13)*(1+U12)-1</f>
        <v/>
      </c>
      <c r="V14" s="69">
        <f>(1+$I13)*(1+V12)-1</f>
        <v/>
      </c>
      <c r="W14" s="69">
        <f>(1+$I13)*(1+W12)-1</f>
        <v/>
      </c>
      <c r="X14" s="69">
        <f>(1+$I13)*(1+X12)-1</f>
        <v/>
      </c>
      <c r="Y14" s="69">
        <f>(1+$I13)*(1+Y12)-1</f>
        <v/>
      </c>
      <c r="Z14" s="69">
        <f>(1+$I13)*(1+Z12)-1</f>
        <v/>
      </c>
      <c r="AA14" s="69">
        <f>(1+$I13)*(1+AA12)-1</f>
        <v/>
      </c>
      <c r="AB14" s="69">
        <f>(1+$I13)*(1+AB12)-1</f>
        <v/>
      </c>
      <c r="AC14" s="69">
        <f>(1+$I13)*(1+AC12)-1</f>
        <v/>
      </c>
      <c r="AD14" s="69">
        <f>(1+$I13)*(1+AD12)-1</f>
        <v/>
      </c>
      <c r="AE14" s="69">
        <f>(1+$I13)*(1+AE12)-1</f>
        <v/>
      </c>
      <c r="AF14" s="69">
        <f>(1+$I13)*(1+AF12)-1</f>
        <v/>
      </c>
      <c r="AG14" s="69">
        <f>(1+$I13)*(1+AG12)-1</f>
        <v/>
      </c>
      <c r="AH14" s="69">
        <f>(1+$I13)*(1+AH12)-1</f>
        <v/>
      </c>
      <c r="AI14" s="69">
        <f>(1+$I13)*(1+AI12)-1</f>
        <v/>
      </c>
      <c r="AJ14" s="69">
        <f>(1+$I13)*(1+AJ12)-1</f>
        <v/>
      </c>
      <c r="AK14" s="69">
        <f>(1+$I13)*(1+AK12)-1</f>
        <v/>
      </c>
      <c r="AL14" s="69">
        <f>(1+$I13)*(1+AL12)-1</f>
        <v/>
      </c>
      <c r="AM14" s="69">
        <f>(1+$I13)*(1+AM12)-1</f>
        <v/>
      </c>
      <c r="AN14" s="69">
        <f>(1+$I13)*(1+AN12)-1</f>
        <v/>
      </c>
      <c r="AO14" s="69">
        <f>(1+$I13)*(1+AO12)-1</f>
        <v/>
      </c>
      <c r="AP14" s="69">
        <f>(1+$I13)*(1+AP12)-1</f>
        <v/>
      </c>
      <c r="AQ14" s="69">
        <f>(1+$I13)*(1+AQ12)-1</f>
        <v/>
      </c>
      <c r="AR14" s="69">
        <f>(1+$I13)*(1+AR12)-1</f>
        <v/>
      </c>
      <c r="AS14" s="69">
        <f>(1+$I13)*(1+AS12)-1</f>
        <v/>
      </c>
      <c r="AT14" s="69">
        <f>(1+$I13)*(1+AT12)-1</f>
        <v/>
      </c>
      <c r="AU14" s="69">
        <f>(1+$I13)*(1+AU12)-1</f>
        <v/>
      </c>
      <c r="AV14" s="69">
        <f>(1+$I13)*(1+AV12)-1</f>
        <v/>
      </c>
      <c r="AW14" s="69">
        <f>(1+$I13)*(1+AW12)-1</f>
        <v/>
      </c>
      <c r="AX14" s="69">
        <f>(1+$I13)*(1+AX12)-1</f>
        <v/>
      </c>
      <c r="AY14" s="69">
        <f>(1+$I13)*(1+AY12)-1</f>
        <v/>
      </c>
      <c r="AZ14" s="69">
        <f>(1+$I13)*(1+AZ12)-1</f>
        <v/>
      </c>
      <c r="BA14" s="69">
        <f>(1+$I13)*(1+BA12)-1</f>
        <v/>
      </c>
      <c r="BB14" s="69">
        <f>(1+$I13)*(1+BB12)-1</f>
        <v/>
      </c>
    </row>
    <row r="15" ht="15" customHeight="1"/>
    <row r="16" ht="15" customHeight="1">
      <c r="A16" s="21" t="n"/>
      <c r="D16" s="21" t="n"/>
      <c r="E16" s="21" t="inlineStr">
        <is>
          <t>Five-year uplift factor</t>
        </is>
      </c>
      <c r="G16" s="21" t="inlineStr">
        <is>
          <t>scalar</t>
        </is>
      </c>
      <c r="H16" s="21" t="inlineStr">
        <is>
          <t>UFt1</t>
        </is>
      </c>
      <c r="I16" s="34" t="n"/>
      <c r="L16" s="33" t="n"/>
      <c r="M16" s="33" t="n"/>
      <c r="N16" s="33" t="n"/>
      <c r="O16" s="33" t="n"/>
      <c r="P16" s="34">
        <f>IF($I$47&lt;5,0,IF(OR(P$5&lt;1,P$5&gt;Inputs!$I$75),0,IF(OR(MOD(P$5,$I$47)=1,MOD(P$5,$I$47)=2,MOD(P$5,$I$47)=3,MOD(P$5,$I$47)=4),0,(1+P$14)*(1+O$14)*(1+N$14)*(1+M$14))))</f>
        <v/>
      </c>
      <c r="Q16" s="34">
        <f>IF($I$47&lt;5,0,IF(OR(Q$5&lt;1,Q$5&gt;Inputs!$I$75),0,IF(OR(MOD(Q$5,$I$47)=1,MOD(Q$5,$I$47)=2,MOD(Q$5,$I$47)=3,MOD(Q$5,$I$47)=4),0,(1+Q$14)*(1+P$14)*(1+O$14)*(1+N$14))))</f>
        <v/>
      </c>
      <c r="R16" s="34">
        <f>IF($I$47&lt;5,0,IF(OR(R$5&lt;1,R$5&gt;Inputs!$I$75),0,IF(OR(MOD(R$5,$I$47)=1,MOD(R$5,$I$47)=2,MOD(R$5,$I$47)=3,MOD(R$5,$I$47)=4),0,(1+R$14)*(1+Q$14)*(1+P$14)*(1+O$14))))</f>
        <v/>
      </c>
      <c r="S16" s="34">
        <f>IF($I$47&lt;5,0,IF(OR(S$5&lt;1,S$5&gt;Inputs!$I$75),0,IF(OR(MOD(S$5,$I$47)=1,MOD(S$5,$I$47)=2,MOD(S$5,$I$47)=3,MOD(S$5,$I$47)=4),0,(1+S$14)*(1+R$14)*(1+Q$14)*(1+P$14))))</f>
        <v/>
      </c>
      <c r="T16" s="34">
        <f>IF($I$47&lt;5,0,IF(OR(T$5&lt;1,T$5&gt;Inputs!$I$75),0,IF(OR(MOD(T$5,$I$47)=1,MOD(T$5,$I$47)=2,MOD(T$5,$I$47)=3,MOD(T$5,$I$47)=4),0,(1+T$14)*(1+S$14)*(1+R$14)*(1+Q$14))))</f>
        <v/>
      </c>
      <c r="U16" s="34">
        <f>IF($I$47&lt;5,0,IF(OR(U$5&lt;1,U$5&gt;Inputs!$I$75),0,IF(OR(MOD(U$5,$I$47)=1,MOD(U$5,$I$47)=2,MOD(U$5,$I$47)=3,MOD(U$5,$I$47)=4),0,(1+U$14)*(1+T$14)*(1+S$14)*(1+R$14))))</f>
        <v/>
      </c>
      <c r="V16" s="34">
        <f>IF($I$47&lt;5,0,IF(OR(V$5&lt;1,V$5&gt;Inputs!$I$75),0,IF(OR(MOD(V$5,$I$47)=1,MOD(V$5,$I$47)=2,MOD(V$5,$I$47)=3,MOD(V$5,$I$47)=4),0,(1+V$14)*(1+U$14)*(1+T$14)*(1+S$14))))</f>
        <v/>
      </c>
      <c r="W16" s="34">
        <f>IF($I$47&lt;5,0,IF(OR(W$5&lt;1,W$5&gt;Inputs!$I$75),0,IF(OR(MOD(W$5,$I$47)=1,MOD(W$5,$I$47)=2,MOD(W$5,$I$47)=3,MOD(W$5,$I$47)=4),0,(1+W$14)*(1+V$14)*(1+U$14)*(1+T$14))))</f>
        <v/>
      </c>
      <c r="X16" s="34">
        <f>IF($I$47&lt;5,0,IF(OR(X$5&lt;1,X$5&gt;Inputs!$I$75),0,IF(OR(MOD(X$5,$I$47)=1,MOD(X$5,$I$47)=2,MOD(X$5,$I$47)=3,MOD(X$5,$I$47)=4),0,(1+X$14)*(1+W$14)*(1+V$14)*(1+U$14))))</f>
        <v/>
      </c>
      <c r="Y16" s="34">
        <f>IF($I$47&lt;5,0,IF(OR(Y$5&lt;1,Y$5&gt;Inputs!$I$75),0,IF(OR(MOD(Y$5,$I$47)=1,MOD(Y$5,$I$47)=2,MOD(Y$5,$I$47)=3,MOD(Y$5,$I$47)=4),0,(1+Y$14)*(1+X$14)*(1+W$14)*(1+V$14))))</f>
        <v/>
      </c>
      <c r="Z16" s="34">
        <f>IF($I$47&lt;5,0,IF(OR(Z$5&lt;1,Z$5&gt;Inputs!$I$75),0,IF(OR(MOD(Z$5,$I$47)=1,MOD(Z$5,$I$47)=2,MOD(Z$5,$I$47)=3,MOD(Z$5,$I$47)=4),0,(1+Z$14)*(1+Y$14)*(1+X$14)*(1+W$14))))</f>
        <v/>
      </c>
      <c r="AA16" s="34">
        <f>IF($I$47&lt;5,0,IF(OR(AA$5&lt;1,AA$5&gt;Inputs!$I$75),0,IF(OR(MOD(AA$5,$I$47)=1,MOD(AA$5,$I$47)=2,MOD(AA$5,$I$47)=3,MOD(AA$5,$I$47)=4),0,(1+AA$14)*(1+Z$14)*(1+Y$14)*(1+X$14))))</f>
        <v/>
      </c>
      <c r="AB16" s="34">
        <f>IF($I$47&lt;5,0,IF(OR(AB$5&lt;1,AB$5&gt;Inputs!$I$75),0,IF(OR(MOD(AB$5,$I$47)=1,MOD(AB$5,$I$47)=2,MOD(AB$5,$I$47)=3,MOD(AB$5,$I$47)=4),0,(1+AB$14)*(1+AA$14)*(1+Z$14)*(1+Y$14))))</f>
        <v/>
      </c>
      <c r="AC16" s="34">
        <f>IF($I$47&lt;5,0,IF(OR(AC$5&lt;1,AC$5&gt;Inputs!$I$75),0,IF(OR(MOD(AC$5,$I$47)=1,MOD(AC$5,$I$47)=2,MOD(AC$5,$I$47)=3,MOD(AC$5,$I$47)=4),0,(1+AC$14)*(1+AB$14)*(1+AA$14)*(1+Z$14))))</f>
        <v/>
      </c>
      <c r="AD16" s="34">
        <f>IF($I$47&lt;5,0,IF(OR(AD$5&lt;1,AD$5&gt;Inputs!$I$75),0,IF(OR(MOD(AD$5,$I$47)=1,MOD(AD$5,$I$47)=2,MOD(AD$5,$I$47)=3,MOD(AD$5,$I$47)=4),0,(1+AD$14)*(1+AC$14)*(1+AB$14)*(1+AA$14))))</f>
        <v/>
      </c>
      <c r="AE16" s="34">
        <f>IF($I$47&lt;5,0,IF(OR(AE$5&lt;1,AE$5&gt;Inputs!$I$75),0,IF(OR(MOD(AE$5,$I$47)=1,MOD(AE$5,$I$47)=2,MOD(AE$5,$I$47)=3,MOD(AE$5,$I$47)=4),0,(1+AE$14)*(1+AD$14)*(1+AC$14)*(1+AB$14))))</f>
        <v/>
      </c>
      <c r="AF16" s="34">
        <f>IF($I$47&lt;5,0,IF(OR(AF$5&lt;1,AF$5&gt;Inputs!$I$75),0,IF(OR(MOD(AF$5,$I$47)=1,MOD(AF$5,$I$47)=2,MOD(AF$5,$I$47)=3,MOD(AF$5,$I$47)=4),0,(1+AF$14)*(1+AE$14)*(1+AD$14)*(1+AC$14))))</f>
        <v/>
      </c>
      <c r="AG16" s="34">
        <f>IF($I$47&lt;5,0,IF(OR(AG$5&lt;1,AG$5&gt;Inputs!$I$75),0,IF(OR(MOD(AG$5,$I$47)=1,MOD(AG$5,$I$47)=2,MOD(AG$5,$I$47)=3,MOD(AG$5,$I$47)=4),0,(1+AG$14)*(1+AF$14)*(1+AE$14)*(1+AD$14))))</f>
        <v/>
      </c>
      <c r="AH16" s="34">
        <f>IF($I$47&lt;5,0,IF(OR(AH$5&lt;1,AH$5&gt;Inputs!$I$75),0,IF(OR(MOD(AH$5,$I$47)=1,MOD(AH$5,$I$47)=2,MOD(AH$5,$I$47)=3,MOD(AH$5,$I$47)=4),0,(1+AH$14)*(1+AG$14)*(1+AF$14)*(1+AE$14))))</f>
        <v/>
      </c>
      <c r="AI16" s="34">
        <f>IF($I$47&lt;5,0,IF(OR(AI$5&lt;1,AI$5&gt;Inputs!$I$75),0,IF(OR(MOD(AI$5,$I$47)=1,MOD(AI$5,$I$47)=2,MOD(AI$5,$I$47)=3,MOD(AI$5,$I$47)=4),0,(1+AI$14)*(1+AH$14)*(1+AG$14)*(1+AF$14))))</f>
        <v/>
      </c>
      <c r="AJ16" s="34">
        <f>IF($I$47&lt;5,0,IF(OR(AJ$5&lt;1,AJ$5&gt;Inputs!$I$75),0,IF(OR(MOD(AJ$5,$I$47)=1,MOD(AJ$5,$I$47)=2,MOD(AJ$5,$I$47)=3,MOD(AJ$5,$I$47)=4),0,(1+AJ$14)*(1+AI$14)*(1+AH$14)*(1+AG$14))))</f>
        <v/>
      </c>
      <c r="AK16" s="34">
        <f>IF($I$47&lt;5,0,IF(OR(AK$5&lt;1,AK$5&gt;Inputs!$I$75),0,IF(OR(MOD(AK$5,$I$47)=1,MOD(AK$5,$I$47)=2,MOD(AK$5,$I$47)=3,MOD(AK$5,$I$47)=4),0,(1+AK$14)*(1+AJ$14)*(1+AI$14)*(1+AH$14))))</f>
        <v/>
      </c>
      <c r="AL16" s="34">
        <f>IF($I$47&lt;5,0,IF(OR(AL$5&lt;1,AL$5&gt;Inputs!$I$75),0,IF(OR(MOD(AL$5,$I$47)=1,MOD(AL$5,$I$47)=2,MOD(AL$5,$I$47)=3,MOD(AL$5,$I$47)=4),0,(1+AL$14)*(1+AK$14)*(1+AJ$14)*(1+AI$14))))</f>
        <v/>
      </c>
      <c r="AM16" s="34">
        <f>IF($I$47&lt;5,0,IF(OR(AM$5&lt;1,AM$5&gt;Inputs!$I$75),0,IF(OR(MOD(AM$5,$I$47)=1,MOD(AM$5,$I$47)=2,MOD(AM$5,$I$47)=3,MOD(AM$5,$I$47)=4),0,(1+AM$14)*(1+AL$14)*(1+AK$14)*(1+AJ$14))))</f>
        <v/>
      </c>
      <c r="AN16" s="34">
        <f>IF($I$47&lt;5,0,IF(OR(AN$5&lt;1,AN$5&gt;Inputs!$I$75),0,IF(OR(MOD(AN$5,$I$47)=1,MOD(AN$5,$I$47)=2,MOD(AN$5,$I$47)=3,MOD(AN$5,$I$47)=4),0,(1+AN$14)*(1+AM$14)*(1+AL$14)*(1+AK$14))))</f>
        <v/>
      </c>
      <c r="AO16" s="34">
        <f>IF($I$47&lt;5,0,IF(OR(AO$5&lt;1,AO$5&gt;Inputs!$I$75),0,IF(OR(MOD(AO$5,$I$47)=1,MOD(AO$5,$I$47)=2,MOD(AO$5,$I$47)=3,MOD(AO$5,$I$47)=4),0,(1+AO$14)*(1+AN$14)*(1+AM$14)*(1+AL$14))))</f>
        <v/>
      </c>
      <c r="AP16" s="34">
        <f>IF($I$47&lt;5,0,IF(OR(AP$5&lt;1,AP$5&gt;Inputs!$I$75),0,IF(OR(MOD(AP$5,$I$47)=1,MOD(AP$5,$I$47)=2,MOD(AP$5,$I$47)=3,MOD(AP$5,$I$47)=4),0,(1+AP$14)*(1+AO$14)*(1+AN$14)*(1+AM$14))))</f>
        <v/>
      </c>
      <c r="AQ16" s="34">
        <f>IF($I$47&lt;5,0,IF(OR(AQ$5&lt;1,AQ$5&gt;Inputs!$I$75),0,IF(OR(MOD(AQ$5,$I$47)=1,MOD(AQ$5,$I$47)=2,MOD(AQ$5,$I$47)=3,MOD(AQ$5,$I$47)=4),0,(1+AQ$14)*(1+AP$14)*(1+AO$14)*(1+AN$14))))</f>
        <v/>
      </c>
      <c r="AR16" s="34">
        <f>IF($I$47&lt;5,0,IF(OR(AR$5&lt;1,AR$5&gt;Inputs!$I$75),0,IF(OR(MOD(AR$5,$I$47)=1,MOD(AR$5,$I$47)=2,MOD(AR$5,$I$47)=3,MOD(AR$5,$I$47)=4),0,(1+AR$14)*(1+AQ$14)*(1+AP$14)*(1+AO$14))))</f>
        <v/>
      </c>
      <c r="AS16" s="34">
        <f>IF($I$47&lt;5,0,IF(OR(AS$5&lt;1,AS$5&gt;Inputs!$I$75),0,IF(OR(MOD(AS$5,$I$47)=1,MOD(AS$5,$I$47)=2,MOD(AS$5,$I$47)=3,MOD(AS$5,$I$47)=4),0,(1+AS$14)*(1+AR$14)*(1+AQ$14)*(1+AP$14))))</f>
        <v/>
      </c>
      <c r="AT16" s="34">
        <f>IF($I$47&lt;5,0,IF(OR(AT$5&lt;1,AT$5&gt;Inputs!$I$75),0,IF(OR(MOD(AT$5,$I$47)=1,MOD(AT$5,$I$47)=2,MOD(AT$5,$I$47)=3,MOD(AT$5,$I$47)=4),0,(1+AT$14)*(1+AS$14)*(1+AR$14)*(1+AQ$14))))</f>
        <v/>
      </c>
      <c r="AU16" s="34">
        <f>IF($I$47&lt;5,0,IF(OR(AU$5&lt;1,AU$5&gt;Inputs!$I$75),0,IF(OR(MOD(AU$5,$I$47)=1,MOD(AU$5,$I$47)=2,MOD(AU$5,$I$47)=3,MOD(AU$5,$I$47)=4),0,(1+AU$14)*(1+AT$14)*(1+AS$14)*(1+AR$14))))</f>
        <v/>
      </c>
      <c r="AV16" s="34">
        <f>IF($I$47&lt;5,0,IF(OR(AV$5&lt;1,AV$5&gt;Inputs!$I$75),0,IF(OR(MOD(AV$5,$I$47)=1,MOD(AV$5,$I$47)=2,MOD(AV$5,$I$47)=3,MOD(AV$5,$I$47)=4),0,(1+AV$14)*(1+AU$14)*(1+AT$14)*(1+AS$14))))</f>
        <v/>
      </c>
      <c r="AW16" s="34">
        <f>IF($I$47&lt;5,0,IF(OR(AW$5&lt;1,AW$5&gt;Inputs!$I$75),0,IF(OR(MOD(AW$5,$I$47)=1,MOD(AW$5,$I$47)=2,MOD(AW$5,$I$47)=3,MOD(AW$5,$I$47)=4),0,(1+AW$14)*(1+AV$14)*(1+AU$14)*(1+AT$14))))</f>
        <v/>
      </c>
      <c r="AX16" s="34">
        <f>IF($I$47&lt;5,0,IF(OR(AX$5&lt;1,AX$5&gt;Inputs!$I$75),0,IF(OR(MOD(AX$5,$I$47)=1,MOD(AX$5,$I$47)=2,MOD(AX$5,$I$47)=3,MOD(AX$5,$I$47)=4),0,(1+AX$14)*(1+AW$14)*(1+AV$14)*(1+AU$14))))</f>
        <v/>
      </c>
      <c r="AY16" s="34">
        <f>IF($I$47&lt;5,0,IF(OR(AY$5&lt;1,AY$5&gt;Inputs!$I$75),0,IF(OR(MOD(AY$5,$I$47)=1,MOD(AY$5,$I$47)=2,MOD(AY$5,$I$47)=3,MOD(AY$5,$I$47)=4),0,(1+AY$14)*(1+AX$14)*(1+AW$14)*(1+AV$14))))</f>
        <v/>
      </c>
      <c r="AZ16" s="34">
        <f>IF($I$47&lt;5,0,IF(OR(AZ$5&lt;1,AZ$5&gt;Inputs!$I$75),0,IF(OR(MOD(AZ$5,$I$47)=1,MOD(AZ$5,$I$47)=2,MOD(AZ$5,$I$47)=3,MOD(AZ$5,$I$47)=4),0,(1+AZ$14)*(1+AY$14)*(1+AX$14)*(1+AW$14))))</f>
        <v/>
      </c>
      <c r="BA16" s="34">
        <f>IF($I$47&lt;5,0,IF(OR(BA$5&lt;1,BA$5&gt;Inputs!$I$75),0,IF(OR(MOD(BA$5,$I$47)=1,MOD(BA$5,$I$47)=2,MOD(BA$5,$I$47)=3,MOD(BA$5,$I$47)=4),0,(1+BA$14)*(1+AZ$14)*(1+AY$14)*(1+AX$14))))</f>
        <v/>
      </c>
      <c r="BB16" s="34">
        <f>IF($I$47&lt;5,0,IF(OR(BB$5&lt;1,BB$5&gt;Inputs!$I$75),0,IF(OR(MOD(BB$5,$I$47)=1,MOD(BB$5,$I$47)=2,MOD(BB$5,$I$47)=3,MOD(BB$5,$I$47)=4),0,(1+BB$14)*(1+BA$14)*(1+AZ$14)*(1+AY$14))))</f>
        <v/>
      </c>
    </row>
    <row r="17" ht="15" customHeight="1">
      <c r="A17" s="21" t="n"/>
      <c r="D17" s="21" t="n"/>
      <c r="E17" s="21" t="inlineStr">
        <is>
          <t>Four-year uplift factor</t>
        </is>
      </c>
      <c r="G17" s="21" t="inlineStr">
        <is>
          <t>scalar</t>
        </is>
      </c>
      <c r="H17" s="21" t="inlineStr">
        <is>
          <t>UFt2</t>
        </is>
      </c>
      <c r="I17" s="34" t="n"/>
      <c r="L17" s="33" t="n"/>
      <c r="M17" s="33" t="n"/>
      <c r="N17" s="33" t="n"/>
      <c r="O17" s="33" t="n"/>
      <c r="P17" s="34">
        <f>IF($I$47&lt;4,0,IF(OR(P$5&lt;1,P$5&gt;Inputs!$I$75),0,IF(OR(MOD(P$5,$I$47)=1,MOD(P$5,$I$47)=2,MOD(P$5,$I$47)=3),0,(1+P$14)*(1+O$14)*(1+N$14))))</f>
        <v/>
      </c>
      <c r="Q17" s="34">
        <f>IF($I$47&lt;4,0,IF(OR(Q$5&lt;1,Q$5&gt;Inputs!$I$75),0,IF(OR(MOD(Q$5,$I$47)=1,MOD(Q$5,$I$47)=2,MOD(Q$5,$I$47)=3),0,(1+Q$14)*(1+P$14)*(1+O$14))))</f>
        <v/>
      </c>
      <c r="R17" s="34">
        <f>IF($I$47&lt;4,0,IF(OR(R$5&lt;1,R$5&gt;Inputs!$I$75),0,IF(OR(MOD(R$5,$I$47)=1,MOD(R$5,$I$47)=2,MOD(R$5,$I$47)=3),0,(1+R$14)*(1+Q$14)*(1+P$14))))</f>
        <v/>
      </c>
      <c r="S17" s="34">
        <f>IF($I$47&lt;4,0,IF(OR(S$5&lt;1,S$5&gt;Inputs!$I$75),0,IF(OR(MOD(S$5,$I$47)=1,MOD(S$5,$I$47)=2,MOD(S$5,$I$47)=3),0,(1+S$14)*(1+R$14)*(1+Q$14))))</f>
        <v/>
      </c>
      <c r="T17" s="34">
        <f>IF($I$47&lt;4,0,IF(OR(T$5&lt;1,T$5&gt;Inputs!$I$75),0,IF(OR(MOD(T$5,$I$47)=1,MOD(T$5,$I$47)=2,MOD(T$5,$I$47)=3),0,(1+T$14)*(1+S$14)*(1+R$14))))</f>
        <v/>
      </c>
      <c r="U17" s="34">
        <f>IF($I$47&lt;4,0,IF(OR(U$5&lt;1,U$5&gt;Inputs!$I$75),0,IF(OR(MOD(U$5,$I$47)=1,MOD(U$5,$I$47)=2,MOD(U$5,$I$47)=3),0,(1+U$14)*(1+T$14)*(1+S$14))))</f>
        <v/>
      </c>
      <c r="V17" s="34">
        <f>IF($I$47&lt;4,0,IF(OR(V$5&lt;1,V$5&gt;Inputs!$I$75),0,IF(OR(MOD(V$5,$I$47)=1,MOD(V$5,$I$47)=2,MOD(V$5,$I$47)=3),0,(1+V$14)*(1+U$14)*(1+T$14))))</f>
        <v/>
      </c>
      <c r="W17" s="34">
        <f>IF($I$47&lt;4,0,IF(OR(W$5&lt;1,W$5&gt;Inputs!$I$75),0,IF(OR(MOD(W$5,$I$47)=1,MOD(W$5,$I$47)=2,MOD(W$5,$I$47)=3),0,(1+W$14)*(1+V$14)*(1+U$14))))</f>
        <v/>
      </c>
      <c r="X17" s="34">
        <f>IF($I$47&lt;4,0,IF(OR(X$5&lt;1,X$5&gt;Inputs!$I$75),0,IF(OR(MOD(X$5,$I$47)=1,MOD(X$5,$I$47)=2,MOD(X$5,$I$47)=3),0,(1+X$14)*(1+W$14)*(1+V$14))))</f>
        <v/>
      </c>
      <c r="Y17" s="34">
        <f>IF($I$47&lt;4,0,IF(OR(Y$5&lt;1,Y$5&gt;Inputs!$I$75),0,IF(OR(MOD(Y$5,$I$47)=1,MOD(Y$5,$I$47)=2,MOD(Y$5,$I$47)=3),0,(1+Y$14)*(1+X$14)*(1+W$14))))</f>
        <v/>
      </c>
      <c r="Z17" s="34">
        <f>IF($I$47&lt;4,0,IF(OR(Z$5&lt;1,Z$5&gt;Inputs!$I$75),0,IF(OR(MOD(Z$5,$I$47)=1,MOD(Z$5,$I$47)=2,MOD(Z$5,$I$47)=3),0,(1+Z$14)*(1+Y$14)*(1+X$14))))</f>
        <v/>
      </c>
      <c r="AA17" s="34">
        <f>IF($I$47&lt;4,0,IF(OR(AA$5&lt;1,AA$5&gt;Inputs!$I$75),0,IF(OR(MOD(AA$5,$I$47)=1,MOD(AA$5,$I$47)=2,MOD(AA$5,$I$47)=3),0,(1+AA$14)*(1+Z$14)*(1+Y$14))))</f>
        <v/>
      </c>
      <c r="AB17" s="34">
        <f>IF($I$47&lt;4,0,IF(OR(AB$5&lt;1,AB$5&gt;Inputs!$I$75),0,IF(OR(MOD(AB$5,$I$47)=1,MOD(AB$5,$I$47)=2,MOD(AB$5,$I$47)=3),0,(1+AB$14)*(1+AA$14)*(1+Z$14))))</f>
        <v/>
      </c>
      <c r="AC17" s="34">
        <f>IF($I$47&lt;4,0,IF(OR(AC$5&lt;1,AC$5&gt;Inputs!$I$75),0,IF(OR(MOD(AC$5,$I$47)=1,MOD(AC$5,$I$47)=2,MOD(AC$5,$I$47)=3),0,(1+AC$14)*(1+AB$14)*(1+AA$14))))</f>
        <v/>
      </c>
      <c r="AD17" s="34">
        <f>IF($I$47&lt;4,0,IF(OR(AD$5&lt;1,AD$5&gt;Inputs!$I$75),0,IF(OR(MOD(AD$5,$I$47)=1,MOD(AD$5,$I$47)=2,MOD(AD$5,$I$47)=3),0,(1+AD$14)*(1+AC$14)*(1+AB$14))))</f>
        <v/>
      </c>
      <c r="AE17" s="34">
        <f>IF($I$47&lt;4,0,IF(OR(AE$5&lt;1,AE$5&gt;Inputs!$I$75),0,IF(OR(MOD(AE$5,$I$47)=1,MOD(AE$5,$I$47)=2,MOD(AE$5,$I$47)=3),0,(1+AE$14)*(1+AD$14)*(1+AC$14))))</f>
        <v/>
      </c>
      <c r="AF17" s="34">
        <f>IF($I$47&lt;4,0,IF(OR(AF$5&lt;1,AF$5&gt;Inputs!$I$75),0,IF(OR(MOD(AF$5,$I$47)=1,MOD(AF$5,$I$47)=2,MOD(AF$5,$I$47)=3),0,(1+AF$14)*(1+AE$14)*(1+AD$14))))</f>
        <v/>
      </c>
      <c r="AG17" s="34">
        <f>IF($I$47&lt;4,0,IF(OR(AG$5&lt;1,AG$5&gt;Inputs!$I$75),0,IF(OR(MOD(AG$5,$I$47)=1,MOD(AG$5,$I$47)=2,MOD(AG$5,$I$47)=3),0,(1+AG$14)*(1+AF$14)*(1+AE$14))))</f>
        <v/>
      </c>
      <c r="AH17" s="34">
        <f>IF($I$47&lt;4,0,IF(OR(AH$5&lt;1,AH$5&gt;Inputs!$I$75),0,IF(OR(MOD(AH$5,$I$47)=1,MOD(AH$5,$I$47)=2,MOD(AH$5,$I$47)=3),0,(1+AH$14)*(1+AG$14)*(1+AF$14))))</f>
        <v/>
      </c>
      <c r="AI17" s="34">
        <f>IF($I$47&lt;4,0,IF(OR(AI$5&lt;1,AI$5&gt;Inputs!$I$75),0,IF(OR(MOD(AI$5,$I$47)=1,MOD(AI$5,$I$47)=2,MOD(AI$5,$I$47)=3),0,(1+AI$14)*(1+AH$14)*(1+AG$14))))</f>
        <v/>
      </c>
      <c r="AJ17" s="34">
        <f>IF($I$47&lt;4,0,IF(OR(AJ$5&lt;1,AJ$5&gt;Inputs!$I$75),0,IF(OR(MOD(AJ$5,$I$47)=1,MOD(AJ$5,$I$47)=2,MOD(AJ$5,$I$47)=3),0,(1+AJ$14)*(1+AI$14)*(1+AH$14))))</f>
        <v/>
      </c>
      <c r="AK17" s="34">
        <f>IF($I$47&lt;4,0,IF(OR(AK$5&lt;1,AK$5&gt;Inputs!$I$75),0,IF(OR(MOD(AK$5,$I$47)=1,MOD(AK$5,$I$47)=2,MOD(AK$5,$I$47)=3),0,(1+AK$14)*(1+AJ$14)*(1+AI$14))))</f>
        <v/>
      </c>
      <c r="AL17" s="34">
        <f>IF($I$47&lt;4,0,IF(OR(AL$5&lt;1,AL$5&gt;Inputs!$I$75),0,IF(OR(MOD(AL$5,$I$47)=1,MOD(AL$5,$I$47)=2,MOD(AL$5,$I$47)=3),0,(1+AL$14)*(1+AK$14)*(1+AJ$14))))</f>
        <v/>
      </c>
      <c r="AM17" s="34">
        <f>IF($I$47&lt;4,0,IF(OR(AM$5&lt;1,AM$5&gt;Inputs!$I$75),0,IF(OR(MOD(AM$5,$I$47)=1,MOD(AM$5,$I$47)=2,MOD(AM$5,$I$47)=3),0,(1+AM$14)*(1+AL$14)*(1+AK$14))))</f>
        <v/>
      </c>
      <c r="AN17" s="34">
        <f>IF($I$47&lt;4,0,IF(OR(AN$5&lt;1,AN$5&gt;Inputs!$I$75),0,IF(OR(MOD(AN$5,$I$47)=1,MOD(AN$5,$I$47)=2,MOD(AN$5,$I$47)=3),0,(1+AN$14)*(1+AM$14)*(1+AL$14))))</f>
        <v/>
      </c>
      <c r="AO17" s="34">
        <f>IF($I$47&lt;4,0,IF(OR(AO$5&lt;1,AO$5&gt;Inputs!$I$75),0,IF(OR(MOD(AO$5,$I$47)=1,MOD(AO$5,$I$47)=2,MOD(AO$5,$I$47)=3),0,(1+AO$14)*(1+AN$14)*(1+AM$14))))</f>
        <v/>
      </c>
      <c r="AP17" s="34">
        <f>IF($I$47&lt;4,0,IF(OR(AP$5&lt;1,AP$5&gt;Inputs!$I$75),0,IF(OR(MOD(AP$5,$I$47)=1,MOD(AP$5,$I$47)=2,MOD(AP$5,$I$47)=3),0,(1+AP$14)*(1+AO$14)*(1+AN$14))))</f>
        <v/>
      </c>
      <c r="AQ17" s="34">
        <f>IF($I$47&lt;4,0,IF(OR(AQ$5&lt;1,AQ$5&gt;Inputs!$I$75),0,IF(OR(MOD(AQ$5,$I$47)=1,MOD(AQ$5,$I$47)=2,MOD(AQ$5,$I$47)=3),0,(1+AQ$14)*(1+AP$14)*(1+AO$14))))</f>
        <v/>
      </c>
      <c r="AR17" s="34">
        <f>IF($I$47&lt;4,0,IF(OR(AR$5&lt;1,AR$5&gt;Inputs!$I$75),0,IF(OR(MOD(AR$5,$I$47)=1,MOD(AR$5,$I$47)=2,MOD(AR$5,$I$47)=3),0,(1+AR$14)*(1+AQ$14)*(1+AP$14))))</f>
        <v/>
      </c>
      <c r="AS17" s="34">
        <f>IF($I$47&lt;4,0,IF(OR(AS$5&lt;1,AS$5&gt;Inputs!$I$75),0,IF(OR(MOD(AS$5,$I$47)=1,MOD(AS$5,$I$47)=2,MOD(AS$5,$I$47)=3),0,(1+AS$14)*(1+AR$14)*(1+AQ$14))))</f>
        <v/>
      </c>
      <c r="AT17" s="34">
        <f>IF($I$47&lt;4,0,IF(OR(AT$5&lt;1,AT$5&gt;Inputs!$I$75),0,IF(OR(MOD(AT$5,$I$47)=1,MOD(AT$5,$I$47)=2,MOD(AT$5,$I$47)=3),0,(1+AT$14)*(1+AS$14)*(1+AR$14))))</f>
        <v/>
      </c>
      <c r="AU17" s="34">
        <f>IF($I$47&lt;4,0,IF(OR(AU$5&lt;1,AU$5&gt;Inputs!$I$75),0,IF(OR(MOD(AU$5,$I$47)=1,MOD(AU$5,$I$47)=2,MOD(AU$5,$I$47)=3),0,(1+AU$14)*(1+AT$14)*(1+AS$14))))</f>
        <v/>
      </c>
      <c r="AV17" s="34">
        <f>IF($I$47&lt;4,0,IF(OR(AV$5&lt;1,AV$5&gt;Inputs!$I$75),0,IF(OR(MOD(AV$5,$I$47)=1,MOD(AV$5,$I$47)=2,MOD(AV$5,$I$47)=3),0,(1+AV$14)*(1+AU$14)*(1+AT$14))))</f>
        <v/>
      </c>
      <c r="AW17" s="34">
        <f>IF($I$47&lt;4,0,IF(OR(AW$5&lt;1,AW$5&gt;Inputs!$I$75),0,IF(OR(MOD(AW$5,$I$47)=1,MOD(AW$5,$I$47)=2,MOD(AW$5,$I$47)=3),0,(1+AW$14)*(1+AV$14)*(1+AU$14))))</f>
        <v/>
      </c>
      <c r="AX17" s="34">
        <f>IF($I$47&lt;4,0,IF(OR(AX$5&lt;1,AX$5&gt;Inputs!$I$75),0,IF(OR(MOD(AX$5,$I$47)=1,MOD(AX$5,$I$47)=2,MOD(AX$5,$I$47)=3),0,(1+AX$14)*(1+AW$14)*(1+AV$14))))</f>
        <v/>
      </c>
      <c r="AY17" s="34">
        <f>IF($I$47&lt;4,0,IF(OR(AY$5&lt;1,AY$5&gt;Inputs!$I$75),0,IF(OR(MOD(AY$5,$I$47)=1,MOD(AY$5,$I$47)=2,MOD(AY$5,$I$47)=3),0,(1+AY$14)*(1+AX$14)*(1+AW$14))))</f>
        <v/>
      </c>
      <c r="AZ17" s="34">
        <f>IF($I$47&lt;4,0,IF(OR(AZ$5&lt;1,AZ$5&gt;Inputs!$I$75),0,IF(OR(MOD(AZ$5,$I$47)=1,MOD(AZ$5,$I$47)=2,MOD(AZ$5,$I$47)=3),0,(1+AZ$14)*(1+AY$14)*(1+AX$14))))</f>
        <v/>
      </c>
      <c r="BA17" s="34">
        <f>IF($I$47&lt;4,0,IF(OR(BA$5&lt;1,BA$5&gt;Inputs!$I$75),0,IF(OR(MOD(BA$5,$I$47)=1,MOD(BA$5,$I$47)=2,MOD(BA$5,$I$47)=3),0,(1+BA$14)*(1+AZ$14)*(1+AY$14))))</f>
        <v/>
      </c>
      <c r="BB17" s="34">
        <f>IF($I$47&lt;4,0,IF(OR(BB$5&lt;1,BB$5&gt;Inputs!$I$75),0,IF(OR(MOD(BB$5,$I$47)=1,MOD(BB$5,$I$47)=2,MOD(BB$5,$I$47)=3),0,(1+BB$14)*(1+BA$14)*(1+AZ$14))))</f>
        <v/>
      </c>
    </row>
    <row r="18" ht="15" customHeight="1">
      <c r="A18" s="21" t="n"/>
      <c r="D18" s="21" t="n"/>
      <c r="E18" s="21" t="inlineStr">
        <is>
          <t>Three-year uplift factor</t>
        </is>
      </c>
      <c r="G18" s="21" t="inlineStr">
        <is>
          <t>scalar</t>
        </is>
      </c>
      <c r="H18" s="21" t="inlineStr">
        <is>
          <t>UFt3</t>
        </is>
      </c>
      <c r="I18" s="34" t="n"/>
      <c r="L18" s="33" t="n"/>
      <c r="M18" s="33" t="n"/>
      <c r="N18" s="33" t="n"/>
      <c r="O18" s="33" t="n"/>
      <c r="P18" s="34">
        <f>IF($I$47&lt;3,0,IF(OR(P$5&lt;1,P$5&gt;Inputs!$I$75),0,IF(OR(MOD(P$5,$I$47)=1,MOD(P$5,$I$47)=2),0,(1+P$14)*(1+O$14))))</f>
        <v/>
      </c>
      <c r="Q18" s="34">
        <f>IF($I$47&lt;3,0,IF(OR(Q$5&lt;1,Q$5&gt;Inputs!$I$75),0,IF(OR(MOD(Q$5,$I$47)=1,MOD(Q$5,$I$47)=2),0,(1+Q$14)*(1+P$14))))</f>
        <v/>
      </c>
      <c r="R18" s="34">
        <f>IF($I$47&lt;3,0,IF(OR(R$5&lt;1,R$5&gt;Inputs!$I$75),0,IF(OR(MOD(R$5,$I$47)=1,MOD(R$5,$I$47)=2),0,(1+R$14)*(1+Q$14))))</f>
        <v/>
      </c>
      <c r="S18" s="34">
        <f>IF($I$47&lt;3,0,IF(OR(S$5&lt;1,S$5&gt;Inputs!$I$75),0,IF(OR(MOD(S$5,$I$47)=1,MOD(S$5,$I$47)=2),0,(1+S$14)*(1+R$14))))</f>
        <v/>
      </c>
      <c r="T18" s="34">
        <f>IF($I$47&lt;3,0,IF(OR(T$5&lt;1,T$5&gt;Inputs!$I$75),0,IF(OR(MOD(T$5,$I$47)=1,MOD(T$5,$I$47)=2),0,(1+T$14)*(1+S$14))))</f>
        <v/>
      </c>
      <c r="U18" s="34">
        <f>IF($I$47&lt;3,0,IF(OR(U$5&lt;1,U$5&gt;Inputs!$I$75),0,IF(OR(MOD(U$5,$I$47)=1,MOD(U$5,$I$47)=2),0,(1+U$14)*(1+T$14))))</f>
        <v/>
      </c>
      <c r="V18" s="34">
        <f>IF($I$47&lt;3,0,IF(OR(V$5&lt;1,V$5&gt;Inputs!$I$75),0,IF(OR(MOD(V$5,$I$47)=1,MOD(V$5,$I$47)=2),0,(1+V$14)*(1+U$14))))</f>
        <v/>
      </c>
      <c r="W18" s="34">
        <f>IF($I$47&lt;3,0,IF(OR(W$5&lt;1,W$5&gt;Inputs!$I$75),0,IF(OR(MOD(W$5,$I$47)=1,MOD(W$5,$I$47)=2),0,(1+W$14)*(1+V$14))))</f>
        <v/>
      </c>
      <c r="X18" s="34">
        <f>IF($I$47&lt;3,0,IF(OR(X$5&lt;1,X$5&gt;Inputs!$I$75),0,IF(OR(MOD(X$5,$I$47)=1,MOD(X$5,$I$47)=2),0,(1+X$14)*(1+W$14))))</f>
        <v/>
      </c>
      <c r="Y18" s="34">
        <f>IF($I$47&lt;3,0,IF(OR(Y$5&lt;1,Y$5&gt;Inputs!$I$75),0,IF(OR(MOD(Y$5,$I$47)=1,MOD(Y$5,$I$47)=2),0,(1+Y$14)*(1+X$14))))</f>
        <v/>
      </c>
      <c r="Z18" s="34">
        <f>IF($I$47&lt;3,0,IF(OR(Z$5&lt;1,Z$5&gt;Inputs!$I$75),0,IF(OR(MOD(Z$5,$I$47)=1,MOD(Z$5,$I$47)=2),0,(1+Z$14)*(1+Y$14))))</f>
        <v/>
      </c>
      <c r="AA18" s="34">
        <f>IF($I$47&lt;3,0,IF(OR(AA$5&lt;1,AA$5&gt;Inputs!$I$75),0,IF(OR(MOD(AA$5,$I$47)=1,MOD(AA$5,$I$47)=2),0,(1+AA$14)*(1+Z$14))))</f>
        <v/>
      </c>
      <c r="AB18" s="34">
        <f>IF($I$47&lt;3,0,IF(OR(AB$5&lt;1,AB$5&gt;Inputs!$I$75),0,IF(OR(MOD(AB$5,$I$47)=1,MOD(AB$5,$I$47)=2),0,(1+AB$14)*(1+AA$14))))</f>
        <v/>
      </c>
      <c r="AC18" s="34">
        <f>IF($I$47&lt;3,0,IF(OR(AC$5&lt;1,AC$5&gt;Inputs!$I$75),0,IF(OR(MOD(AC$5,$I$47)=1,MOD(AC$5,$I$47)=2),0,(1+AC$14)*(1+AB$14))))</f>
        <v/>
      </c>
      <c r="AD18" s="34">
        <f>IF($I$47&lt;3,0,IF(OR(AD$5&lt;1,AD$5&gt;Inputs!$I$75),0,IF(OR(MOD(AD$5,$I$47)=1,MOD(AD$5,$I$47)=2),0,(1+AD$14)*(1+AC$14))))</f>
        <v/>
      </c>
      <c r="AE18" s="34">
        <f>IF($I$47&lt;3,0,IF(OR(AE$5&lt;1,AE$5&gt;Inputs!$I$75),0,IF(OR(MOD(AE$5,$I$47)=1,MOD(AE$5,$I$47)=2),0,(1+AE$14)*(1+AD$14))))</f>
        <v/>
      </c>
      <c r="AF18" s="34">
        <f>IF($I$47&lt;3,0,IF(OR(AF$5&lt;1,AF$5&gt;Inputs!$I$75),0,IF(OR(MOD(AF$5,$I$47)=1,MOD(AF$5,$I$47)=2),0,(1+AF$14)*(1+AE$14))))</f>
        <v/>
      </c>
      <c r="AG18" s="34">
        <f>IF($I$47&lt;3,0,IF(OR(AG$5&lt;1,AG$5&gt;Inputs!$I$75),0,IF(OR(MOD(AG$5,$I$47)=1,MOD(AG$5,$I$47)=2),0,(1+AG$14)*(1+AF$14))))</f>
        <v/>
      </c>
      <c r="AH18" s="34">
        <f>IF($I$47&lt;3,0,IF(OR(AH$5&lt;1,AH$5&gt;Inputs!$I$75),0,IF(OR(MOD(AH$5,$I$47)=1,MOD(AH$5,$I$47)=2),0,(1+AH$14)*(1+AG$14))))</f>
        <v/>
      </c>
      <c r="AI18" s="34">
        <f>IF($I$47&lt;3,0,IF(OR(AI$5&lt;1,AI$5&gt;Inputs!$I$75),0,IF(OR(MOD(AI$5,$I$47)=1,MOD(AI$5,$I$47)=2),0,(1+AI$14)*(1+AH$14))))</f>
        <v/>
      </c>
      <c r="AJ18" s="34">
        <f>IF($I$47&lt;3,0,IF(OR(AJ$5&lt;1,AJ$5&gt;Inputs!$I$75),0,IF(OR(MOD(AJ$5,$I$47)=1,MOD(AJ$5,$I$47)=2),0,(1+AJ$14)*(1+AI$14))))</f>
        <v/>
      </c>
      <c r="AK18" s="34">
        <f>IF($I$47&lt;3,0,IF(OR(AK$5&lt;1,AK$5&gt;Inputs!$I$75),0,IF(OR(MOD(AK$5,$I$47)=1,MOD(AK$5,$I$47)=2),0,(1+AK$14)*(1+AJ$14))))</f>
        <v/>
      </c>
      <c r="AL18" s="34">
        <f>IF($I$47&lt;3,0,IF(OR(AL$5&lt;1,AL$5&gt;Inputs!$I$75),0,IF(OR(MOD(AL$5,$I$47)=1,MOD(AL$5,$I$47)=2),0,(1+AL$14)*(1+AK$14))))</f>
        <v/>
      </c>
      <c r="AM18" s="34">
        <f>IF($I$47&lt;3,0,IF(OR(AM$5&lt;1,AM$5&gt;Inputs!$I$75),0,IF(OR(MOD(AM$5,$I$47)=1,MOD(AM$5,$I$47)=2),0,(1+AM$14)*(1+AL$14))))</f>
        <v/>
      </c>
      <c r="AN18" s="34">
        <f>IF($I$47&lt;3,0,IF(OR(AN$5&lt;1,AN$5&gt;Inputs!$I$75),0,IF(OR(MOD(AN$5,$I$47)=1,MOD(AN$5,$I$47)=2),0,(1+AN$14)*(1+AM$14))))</f>
        <v/>
      </c>
      <c r="AO18" s="34">
        <f>IF($I$47&lt;3,0,IF(OR(AO$5&lt;1,AO$5&gt;Inputs!$I$75),0,IF(OR(MOD(AO$5,$I$47)=1,MOD(AO$5,$I$47)=2),0,(1+AO$14)*(1+AN$14))))</f>
        <v/>
      </c>
      <c r="AP18" s="34">
        <f>IF($I$47&lt;3,0,IF(OR(AP$5&lt;1,AP$5&gt;Inputs!$I$75),0,IF(OR(MOD(AP$5,$I$47)=1,MOD(AP$5,$I$47)=2),0,(1+AP$14)*(1+AO$14))))</f>
        <v/>
      </c>
      <c r="AQ18" s="34">
        <f>IF($I$47&lt;3,0,IF(OR(AQ$5&lt;1,AQ$5&gt;Inputs!$I$75),0,IF(OR(MOD(AQ$5,$I$47)=1,MOD(AQ$5,$I$47)=2),0,(1+AQ$14)*(1+AP$14))))</f>
        <v/>
      </c>
      <c r="AR18" s="34">
        <f>IF($I$47&lt;3,0,IF(OR(AR$5&lt;1,AR$5&gt;Inputs!$I$75),0,IF(OR(MOD(AR$5,$I$47)=1,MOD(AR$5,$I$47)=2),0,(1+AR$14)*(1+AQ$14))))</f>
        <v/>
      </c>
      <c r="AS18" s="34">
        <f>IF($I$47&lt;3,0,IF(OR(AS$5&lt;1,AS$5&gt;Inputs!$I$75),0,IF(OR(MOD(AS$5,$I$47)=1,MOD(AS$5,$I$47)=2),0,(1+AS$14)*(1+AR$14))))</f>
        <v/>
      </c>
      <c r="AT18" s="34">
        <f>IF($I$47&lt;3,0,IF(OR(AT$5&lt;1,AT$5&gt;Inputs!$I$75),0,IF(OR(MOD(AT$5,$I$47)=1,MOD(AT$5,$I$47)=2),0,(1+AT$14)*(1+AS$14))))</f>
        <v/>
      </c>
      <c r="AU18" s="34">
        <f>IF($I$47&lt;3,0,IF(OR(AU$5&lt;1,AU$5&gt;Inputs!$I$75),0,IF(OR(MOD(AU$5,$I$47)=1,MOD(AU$5,$I$47)=2),0,(1+AU$14)*(1+AT$14))))</f>
        <v/>
      </c>
      <c r="AV18" s="34">
        <f>IF($I$47&lt;3,0,IF(OR(AV$5&lt;1,AV$5&gt;Inputs!$I$75),0,IF(OR(MOD(AV$5,$I$47)=1,MOD(AV$5,$I$47)=2),0,(1+AV$14)*(1+AU$14))))</f>
        <v/>
      </c>
      <c r="AW18" s="34">
        <f>IF($I$47&lt;3,0,IF(OR(AW$5&lt;1,AW$5&gt;Inputs!$I$75),0,IF(OR(MOD(AW$5,$I$47)=1,MOD(AW$5,$I$47)=2),0,(1+AW$14)*(1+AV$14))))</f>
        <v/>
      </c>
      <c r="AX18" s="34">
        <f>IF($I$47&lt;3,0,IF(OR(AX$5&lt;1,AX$5&gt;Inputs!$I$75),0,IF(OR(MOD(AX$5,$I$47)=1,MOD(AX$5,$I$47)=2),0,(1+AX$14)*(1+AW$14))))</f>
        <v/>
      </c>
      <c r="AY18" s="34">
        <f>IF($I$47&lt;3,0,IF(OR(AY$5&lt;1,AY$5&gt;Inputs!$I$75),0,IF(OR(MOD(AY$5,$I$47)=1,MOD(AY$5,$I$47)=2),0,(1+AY$14)*(1+AX$14))))</f>
        <v/>
      </c>
      <c r="AZ18" s="34">
        <f>IF($I$47&lt;3,0,IF(OR(AZ$5&lt;1,AZ$5&gt;Inputs!$I$75),0,IF(OR(MOD(AZ$5,$I$47)=1,MOD(AZ$5,$I$47)=2),0,(1+AZ$14)*(1+AY$14))))</f>
        <v/>
      </c>
      <c r="BA18" s="34">
        <f>IF($I$47&lt;3,0,IF(OR(BA$5&lt;1,BA$5&gt;Inputs!$I$75),0,IF(OR(MOD(BA$5,$I$47)=1,MOD(BA$5,$I$47)=2),0,(1+BA$14)*(1+AZ$14))))</f>
        <v/>
      </c>
      <c r="BB18" s="34">
        <f>IF($I$47&lt;3,0,IF(OR(BB$5&lt;1,BB$5&gt;Inputs!$I$75),0,IF(OR(MOD(BB$5,$I$47)=1,MOD(BB$5,$I$47)=2),0,(1+BB$14)*(1+BA$14))))</f>
        <v/>
      </c>
    </row>
    <row r="19" ht="15" customHeight="1">
      <c r="A19" s="21" t="n"/>
      <c r="D19" s="21" t="n"/>
      <c r="E19" s="21" t="inlineStr">
        <is>
          <t>Two-year uplift factor</t>
        </is>
      </c>
      <c r="G19" s="21" t="inlineStr">
        <is>
          <t>scalar</t>
        </is>
      </c>
      <c r="H19" s="21" t="inlineStr">
        <is>
          <t>UFt4</t>
        </is>
      </c>
      <c r="I19" s="34" t="n"/>
      <c r="L19" s="33" t="n"/>
      <c r="M19" s="33" t="n"/>
      <c r="N19" s="33" t="n"/>
      <c r="O19" s="33" t="n"/>
      <c r="P19" s="34">
        <f>IF($I$47&lt;2,0,IF(OR(P$5&lt;1,P$5&gt;Inputs!$I$75),0,IF(MOD(P$5,$I$47)=1,0,(1+P$14))))</f>
        <v/>
      </c>
      <c r="Q19" s="34">
        <f>IF($I$47&lt;2,0,IF(OR(Q$5&lt;1,Q$5&gt;Inputs!$I$75),0,IF(MOD(Q$5,$I$47)=1,0,(1+Q$14))))</f>
        <v/>
      </c>
      <c r="R19" s="34">
        <f>IF($I$47&lt;2,0,IF(OR(R$5&lt;1,R$5&gt;Inputs!$I$75),0,IF(MOD(R$5,$I$47)=1,0,(1+R$14))))</f>
        <v/>
      </c>
      <c r="S19" s="34">
        <f>IF($I$47&lt;2,0,IF(OR(S$5&lt;1,S$5&gt;Inputs!$I$75),0,IF(MOD(S$5,$I$47)=1,0,(1+S$14))))</f>
        <v/>
      </c>
      <c r="T19" s="34">
        <f>IF($I$47&lt;2,0,IF(OR(T$5&lt;1,T$5&gt;Inputs!$I$75),0,IF(MOD(T$5,$I$47)=1,0,(1+T$14))))</f>
        <v/>
      </c>
      <c r="U19" s="34">
        <f>IF($I$47&lt;2,0,IF(OR(U$5&lt;1,U$5&gt;Inputs!$I$75),0,IF(MOD(U$5,$I$47)=1,0,(1+U$14))))</f>
        <v/>
      </c>
      <c r="V19" s="34">
        <f>IF($I$47&lt;2,0,IF(OR(V$5&lt;1,V$5&gt;Inputs!$I$75),0,IF(MOD(V$5,$I$47)=1,0,(1+V$14))))</f>
        <v/>
      </c>
      <c r="W19" s="34">
        <f>IF($I$47&lt;2,0,IF(OR(W$5&lt;1,W$5&gt;Inputs!$I$75),0,IF(MOD(W$5,$I$47)=1,0,(1+W$14))))</f>
        <v/>
      </c>
      <c r="X19" s="34">
        <f>IF($I$47&lt;2,0,IF(OR(X$5&lt;1,X$5&gt;Inputs!$I$75),0,IF(MOD(X$5,$I$47)=1,0,(1+X$14))))</f>
        <v/>
      </c>
      <c r="Y19" s="34">
        <f>IF($I$47&lt;2,0,IF(OR(Y$5&lt;1,Y$5&gt;Inputs!$I$75),0,IF(MOD(Y$5,$I$47)=1,0,(1+Y$14))))</f>
        <v/>
      </c>
      <c r="Z19" s="34">
        <f>IF($I$47&lt;2,0,IF(OR(Z$5&lt;1,Z$5&gt;Inputs!$I$75),0,IF(MOD(Z$5,$I$47)=1,0,(1+Z$14))))</f>
        <v/>
      </c>
      <c r="AA19" s="34">
        <f>IF($I$47&lt;2,0,IF(OR(AA$5&lt;1,AA$5&gt;Inputs!$I$75),0,IF(MOD(AA$5,$I$47)=1,0,(1+AA$14))))</f>
        <v/>
      </c>
      <c r="AB19" s="34">
        <f>IF($I$47&lt;2,0,IF(OR(AB$5&lt;1,AB$5&gt;Inputs!$I$75),0,IF(MOD(AB$5,$I$47)=1,0,(1+AB$14))))</f>
        <v/>
      </c>
      <c r="AC19" s="34">
        <f>IF($I$47&lt;2,0,IF(OR(AC$5&lt;1,AC$5&gt;Inputs!$I$75),0,IF(MOD(AC$5,$I$47)=1,0,(1+AC$14))))</f>
        <v/>
      </c>
      <c r="AD19" s="34">
        <f>IF($I$47&lt;2,0,IF(OR(AD$5&lt;1,AD$5&gt;Inputs!$I$75),0,IF(MOD(AD$5,$I$47)=1,0,(1+AD$14))))</f>
        <v/>
      </c>
      <c r="AE19" s="34">
        <f>IF($I$47&lt;2,0,IF(OR(AE$5&lt;1,AE$5&gt;Inputs!$I$75),0,IF(MOD(AE$5,$I$47)=1,0,(1+AE$14))))</f>
        <v/>
      </c>
      <c r="AF19" s="34">
        <f>IF($I$47&lt;2,0,IF(OR(AF$5&lt;1,AF$5&gt;Inputs!$I$75),0,IF(MOD(AF$5,$I$47)=1,0,(1+AF$14))))</f>
        <v/>
      </c>
      <c r="AG19" s="34">
        <f>IF($I$47&lt;2,0,IF(OR(AG$5&lt;1,AG$5&gt;Inputs!$I$75),0,IF(MOD(AG$5,$I$47)=1,0,(1+AG$14))))</f>
        <v/>
      </c>
      <c r="AH19" s="34">
        <f>IF($I$47&lt;2,0,IF(OR(AH$5&lt;1,AH$5&gt;Inputs!$I$75),0,IF(MOD(AH$5,$I$47)=1,0,(1+AH$14))))</f>
        <v/>
      </c>
      <c r="AI19" s="34">
        <f>IF($I$47&lt;2,0,IF(OR(AI$5&lt;1,AI$5&gt;Inputs!$I$75),0,IF(MOD(AI$5,$I$47)=1,0,(1+AI$14))))</f>
        <v/>
      </c>
      <c r="AJ19" s="34">
        <f>IF($I$47&lt;2,0,IF(OR(AJ$5&lt;1,AJ$5&gt;Inputs!$I$75),0,IF(MOD(AJ$5,$I$47)=1,0,(1+AJ$14))))</f>
        <v/>
      </c>
      <c r="AK19" s="34">
        <f>IF($I$47&lt;2,0,IF(OR(AK$5&lt;1,AK$5&gt;Inputs!$I$75),0,IF(MOD(AK$5,$I$47)=1,0,(1+AK$14))))</f>
        <v/>
      </c>
      <c r="AL19" s="34">
        <f>IF($I$47&lt;2,0,IF(OR(AL$5&lt;1,AL$5&gt;Inputs!$I$75),0,IF(MOD(AL$5,$I$47)=1,0,(1+AL$14))))</f>
        <v/>
      </c>
      <c r="AM19" s="34">
        <f>IF($I$47&lt;2,0,IF(OR(AM$5&lt;1,AM$5&gt;Inputs!$I$75),0,IF(MOD(AM$5,$I$47)=1,0,(1+AM$14))))</f>
        <v/>
      </c>
      <c r="AN19" s="34">
        <f>IF($I$47&lt;2,0,IF(OR(AN$5&lt;1,AN$5&gt;Inputs!$I$75),0,IF(MOD(AN$5,$I$47)=1,0,(1+AN$14))))</f>
        <v/>
      </c>
      <c r="AO19" s="34">
        <f>IF($I$47&lt;2,0,IF(OR(AO$5&lt;1,AO$5&gt;Inputs!$I$75),0,IF(MOD(AO$5,$I$47)=1,0,(1+AO$14))))</f>
        <v/>
      </c>
      <c r="AP19" s="34">
        <f>IF($I$47&lt;2,0,IF(OR(AP$5&lt;1,AP$5&gt;Inputs!$I$75),0,IF(MOD(AP$5,$I$47)=1,0,(1+AP$14))))</f>
        <v/>
      </c>
      <c r="AQ19" s="34">
        <f>IF($I$47&lt;2,0,IF(OR(AQ$5&lt;1,AQ$5&gt;Inputs!$I$75),0,IF(MOD(AQ$5,$I$47)=1,0,(1+AQ$14))))</f>
        <v/>
      </c>
      <c r="AR19" s="34">
        <f>IF($I$47&lt;2,0,IF(OR(AR$5&lt;1,AR$5&gt;Inputs!$I$75),0,IF(MOD(AR$5,$I$47)=1,0,(1+AR$14))))</f>
        <v/>
      </c>
      <c r="AS19" s="34">
        <f>IF($I$47&lt;2,0,IF(OR(AS$5&lt;1,AS$5&gt;Inputs!$I$75),0,IF(MOD(AS$5,$I$47)=1,0,(1+AS$14))))</f>
        <v/>
      </c>
      <c r="AT19" s="34">
        <f>IF($I$47&lt;2,0,IF(OR(AT$5&lt;1,AT$5&gt;Inputs!$I$75),0,IF(MOD(AT$5,$I$47)=1,0,(1+AT$14))))</f>
        <v/>
      </c>
      <c r="AU19" s="34">
        <f>IF($I$47&lt;2,0,IF(OR(AU$5&lt;1,AU$5&gt;Inputs!$I$75),0,IF(MOD(AU$5,$I$47)=1,0,(1+AU$14))))</f>
        <v/>
      </c>
      <c r="AV19" s="34">
        <f>IF($I$47&lt;2,0,IF(OR(AV$5&lt;1,AV$5&gt;Inputs!$I$75),0,IF(MOD(AV$5,$I$47)=1,0,(1+AV$14))))</f>
        <v/>
      </c>
      <c r="AW19" s="34">
        <f>IF($I$47&lt;2,0,IF(OR(AW$5&lt;1,AW$5&gt;Inputs!$I$75),0,IF(MOD(AW$5,$I$47)=1,0,(1+AW$14))))</f>
        <v/>
      </c>
      <c r="AX19" s="34">
        <f>IF($I$47&lt;2,0,IF(OR(AX$5&lt;1,AX$5&gt;Inputs!$I$75),0,IF(MOD(AX$5,$I$47)=1,0,(1+AX$14))))</f>
        <v/>
      </c>
      <c r="AY19" s="34">
        <f>IF($I$47&lt;2,0,IF(OR(AY$5&lt;1,AY$5&gt;Inputs!$I$75),0,IF(MOD(AY$5,$I$47)=1,0,(1+AY$14))))</f>
        <v/>
      </c>
      <c r="AZ19" s="34">
        <f>IF($I$47&lt;2,0,IF(OR(AZ$5&lt;1,AZ$5&gt;Inputs!$I$75),0,IF(MOD(AZ$5,$I$47)=1,0,(1+AZ$14))))</f>
        <v/>
      </c>
      <c r="BA19" s="34">
        <f>IF($I$47&lt;2,0,IF(OR(BA$5&lt;1,BA$5&gt;Inputs!$I$75),0,IF(MOD(BA$5,$I$47)=1,0,(1+BA$14))))</f>
        <v/>
      </c>
      <c r="BB19" s="34">
        <f>IF($I$47&lt;2,0,IF(OR(BB$5&lt;1,BB$5&gt;Inputs!$I$75),0,IF(MOD(BB$5,$I$47)=1,0,(1+BB$14))))</f>
        <v/>
      </c>
    </row>
    <row r="20" ht="15" customHeight="1">
      <c r="A20" s="21" t="n"/>
      <c r="D20" s="21" t="n"/>
      <c r="E20" s="21" t="inlineStr">
        <is>
          <t>One-year uplift factor</t>
        </is>
      </c>
      <c r="G20" s="21" t="inlineStr">
        <is>
          <t>scalar</t>
        </is>
      </c>
      <c r="H20" s="21" t="inlineStr">
        <is>
          <t>UFt5</t>
        </is>
      </c>
      <c r="I20" s="67" t="n"/>
      <c r="L20" s="33" t="n"/>
      <c r="M20" s="33" t="n"/>
      <c r="N20" s="33" t="n"/>
      <c r="O20" s="33" t="n"/>
      <c r="P20" s="34">
        <f>IF(OR(P$5&lt;1,P$5&gt;Inputs!$I$75),0,1)</f>
        <v/>
      </c>
      <c r="Q20" s="34">
        <f>IF(OR(Q$5&lt;1,Q$5&gt;Inputs!$I$75),0,1)</f>
        <v/>
      </c>
      <c r="R20" s="34">
        <f>IF(OR(R$5&lt;1,R$5&gt;Inputs!$I$75),0,1)</f>
        <v/>
      </c>
      <c r="S20" s="34">
        <f>IF(OR(S$5&lt;1,S$5&gt;Inputs!$I$75),0,1)</f>
        <v/>
      </c>
      <c r="T20" s="34">
        <f>IF(OR(T$5&lt;1,T$5&gt;Inputs!$I$75),0,1)</f>
        <v/>
      </c>
      <c r="U20" s="34">
        <f>IF(OR(U$5&lt;1,U$5&gt;Inputs!$I$75),0,1)</f>
        <v/>
      </c>
      <c r="V20" s="34">
        <f>IF(OR(V$5&lt;1,V$5&gt;Inputs!$I$75),0,1)</f>
        <v/>
      </c>
      <c r="W20" s="34">
        <f>IF(OR(W$5&lt;1,W$5&gt;Inputs!$I$75),0,1)</f>
        <v/>
      </c>
      <c r="X20" s="34">
        <f>IF(OR(X$5&lt;1,X$5&gt;Inputs!$I$75),0,1)</f>
        <v/>
      </c>
      <c r="Y20" s="34">
        <f>IF(OR(Y$5&lt;1,Y$5&gt;Inputs!$I$75),0,1)</f>
        <v/>
      </c>
      <c r="Z20" s="34">
        <f>IF(OR(Z$5&lt;1,Z$5&gt;Inputs!$I$75),0,1)</f>
        <v/>
      </c>
      <c r="AA20" s="34">
        <f>IF(OR(AA$5&lt;1,AA$5&gt;Inputs!$I$75),0,1)</f>
        <v/>
      </c>
      <c r="AB20" s="34">
        <f>IF(OR(AB$5&lt;1,AB$5&gt;Inputs!$I$75),0,1)</f>
        <v/>
      </c>
      <c r="AC20" s="34">
        <f>IF(OR(AC$5&lt;1,AC$5&gt;Inputs!$I$75),0,1)</f>
        <v/>
      </c>
      <c r="AD20" s="34">
        <f>IF(OR(AD$5&lt;1,AD$5&gt;Inputs!$I$75),0,1)</f>
        <v/>
      </c>
      <c r="AE20" s="34">
        <f>IF(OR(AE$5&lt;1,AE$5&gt;Inputs!$I$75),0,1)</f>
        <v/>
      </c>
      <c r="AF20" s="34">
        <f>IF(OR(AF$5&lt;1,AF$5&gt;Inputs!$I$75),0,1)</f>
        <v/>
      </c>
      <c r="AG20" s="34">
        <f>IF(OR(AG$5&lt;1,AG$5&gt;Inputs!$I$75),0,1)</f>
        <v/>
      </c>
      <c r="AH20" s="34">
        <f>IF(OR(AH$5&lt;1,AH$5&gt;Inputs!$I$75),0,1)</f>
        <v/>
      </c>
      <c r="AI20" s="34">
        <f>IF(OR(AI$5&lt;1,AI$5&gt;Inputs!$I$75),0,1)</f>
        <v/>
      </c>
      <c r="AJ20" s="34">
        <f>IF(OR(AJ$5&lt;1,AJ$5&gt;Inputs!$I$75),0,1)</f>
        <v/>
      </c>
      <c r="AK20" s="34">
        <f>IF(OR(AK$5&lt;1,AK$5&gt;Inputs!$I$75),0,1)</f>
        <v/>
      </c>
      <c r="AL20" s="34">
        <f>IF(OR(AL$5&lt;1,AL$5&gt;Inputs!$I$75),0,1)</f>
        <v/>
      </c>
      <c r="AM20" s="34">
        <f>IF(OR(AM$5&lt;1,AM$5&gt;Inputs!$I$75),0,1)</f>
        <v/>
      </c>
      <c r="AN20" s="34">
        <f>IF(OR(AN$5&lt;1,AN$5&gt;Inputs!$I$75),0,1)</f>
        <v/>
      </c>
      <c r="AO20" s="34">
        <f>IF(OR(AO$5&lt;1,AO$5&gt;Inputs!$I$75),0,1)</f>
        <v/>
      </c>
      <c r="AP20" s="34">
        <f>IF(OR(AP$5&lt;1,AP$5&gt;Inputs!$I$75),0,1)</f>
        <v/>
      </c>
      <c r="AQ20" s="34">
        <f>IF(OR(AQ$5&lt;1,AQ$5&gt;Inputs!$I$75),0,1)</f>
        <v/>
      </c>
      <c r="AR20" s="34">
        <f>IF(OR(AR$5&lt;1,AR$5&gt;Inputs!$I$75),0,1)</f>
        <v/>
      </c>
      <c r="AS20" s="34">
        <f>IF(OR(AS$5&lt;1,AS$5&gt;Inputs!$I$75),0,1)</f>
        <v/>
      </c>
      <c r="AT20" s="34">
        <f>IF(OR(AT$5&lt;1,AT$5&gt;Inputs!$I$75),0,1)</f>
        <v/>
      </c>
      <c r="AU20" s="34">
        <f>IF(OR(AU$5&lt;1,AU$5&gt;Inputs!$I$75),0,1)</f>
        <v/>
      </c>
      <c r="AV20" s="34">
        <f>IF(OR(AV$5&lt;1,AV$5&gt;Inputs!$I$75),0,1)</f>
        <v/>
      </c>
      <c r="AW20" s="34">
        <f>IF(OR(AW$5&lt;1,AW$5&gt;Inputs!$I$75),0,1)</f>
        <v/>
      </c>
      <c r="AX20" s="34">
        <f>IF(OR(AX$5&lt;1,AX$5&gt;Inputs!$I$75),0,1)</f>
        <v/>
      </c>
      <c r="AY20" s="34">
        <f>IF(OR(AY$5&lt;1,AY$5&gt;Inputs!$I$75),0,1)</f>
        <v/>
      </c>
      <c r="AZ20" s="34">
        <f>IF(OR(AZ$5&lt;1,AZ$5&gt;Inputs!$I$75),0,1)</f>
        <v/>
      </c>
      <c r="BA20" s="34">
        <f>IF(OR(BA$5&lt;1,BA$5&gt;Inputs!$I$75),0,1)</f>
        <v/>
      </c>
      <c r="BB20" s="34">
        <f>IF(OR(BB$5&lt;1,BB$5&gt;Inputs!$I$75),0,1)</f>
        <v/>
      </c>
    </row>
    <row r="21" ht="15" customHeight="1">
      <c r="A21" s="21" t="n"/>
      <c r="D21" s="21" t="n"/>
    </row>
    <row r="22" ht="15" customFormat="1" customHeight="1" s="63">
      <c r="C22" s="40" t="inlineStr">
        <is>
          <t>Revenue assessed for cap and floor</t>
        </is>
      </c>
      <c r="D22" s="40" t="n"/>
      <c r="E22" s="40" t="n"/>
      <c r="F22" s="40" t="n"/>
      <c r="G22" s="40" t="n"/>
      <c r="H22" s="40" t="n"/>
      <c r="I22" s="40" t="n"/>
      <c r="J22" s="40" t="n"/>
      <c r="K22" s="40" t="n"/>
      <c r="L22" s="40" t="n"/>
      <c r="M22" s="40" t="n"/>
      <c r="N22" s="40" t="n"/>
      <c r="O22" s="40" t="n"/>
      <c r="P22" s="40" t="n"/>
      <c r="Q22" s="40" t="n"/>
      <c r="R22" s="40" t="n"/>
      <c r="S22" s="40" t="n"/>
      <c r="T22" s="40" t="n"/>
      <c r="U22" s="40" t="n"/>
      <c r="V22" s="40" t="n"/>
      <c r="W22" s="40" t="n"/>
      <c r="X22" s="40" t="n"/>
      <c r="Y22" s="40" t="n"/>
      <c r="Z22" s="40" t="n"/>
      <c r="AA22" s="40" t="n"/>
      <c r="AB22" s="40" t="n"/>
      <c r="AC22" s="40" t="n"/>
      <c r="AD22" s="40" t="n"/>
      <c r="AE22" s="40" t="n"/>
      <c r="AF22" s="40" t="n"/>
      <c r="AG22" s="40" t="n"/>
      <c r="AH22" s="40" t="n"/>
      <c r="AI22" s="40" t="n"/>
      <c r="AJ22" s="40" t="n"/>
      <c r="AK22" s="40" t="n"/>
      <c r="AL22" s="40" t="n"/>
      <c r="AM22" s="40" t="n"/>
      <c r="AN22" s="40" t="n"/>
      <c r="AO22" s="40" t="n"/>
      <c r="AP22" s="40" t="n"/>
      <c r="AQ22" s="40" t="n"/>
      <c r="AR22" s="40" t="n"/>
      <c r="AS22" s="40" t="n"/>
      <c r="AT22" s="40" t="n"/>
      <c r="AU22" s="40" t="n"/>
      <c r="AV22" s="40" t="n"/>
      <c r="AW22" s="40" t="n"/>
      <c r="AX22" s="40" t="n"/>
      <c r="AY22" s="40" t="n"/>
      <c r="AZ22" s="40" t="n"/>
      <c r="BA22" s="40" t="n"/>
      <c r="BB22" s="40" t="n"/>
    </row>
    <row r="23" ht="15" customHeight="1">
      <c r="A23" s="21" t="n"/>
      <c r="D23" s="21" t="n"/>
    </row>
    <row r="24" ht="13" customHeight="1">
      <c r="A24" s="21" t="n"/>
      <c r="D24" s="21" t="n"/>
      <c r="E24" s="47">
        <f>Inputs!E108</f>
        <v/>
      </c>
      <c r="G24" s="5" t="inlineStr">
        <is>
          <t>£m nominal prices</t>
        </is>
      </c>
      <c r="H24" s="21" t="inlineStr">
        <is>
          <t>ARt</t>
        </is>
      </c>
      <c r="L24" s="33" t="n"/>
      <c r="M24" s="33" t="n"/>
      <c r="N24" s="33" t="n"/>
      <c r="O24" s="84" t="n"/>
      <c r="P24" s="84">
        <f>'Costs &amp; Revenue'!P31</f>
        <v/>
      </c>
      <c r="Q24" s="84">
        <f>'Costs &amp; Revenue'!Q31</f>
        <v/>
      </c>
      <c r="R24" s="84">
        <f>'Costs &amp; Revenue'!R31</f>
        <v/>
      </c>
      <c r="S24" s="84">
        <f>'Costs &amp; Revenue'!S31</f>
        <v/>
      </c>
      <c r="T24" s="84">
        <f>'Costs &amp; Revenue'!T31</f>
        <v/>
      </c>
      <c r="U24" s="84">
        <f>'Costs &amp; Revenue'!U31</f>
        <v/>
      </c>
      <c r="V24" s="84">
        <f>'Costs &amp; Revenue'!V31</f>
        <v/>
      </c>
      <c r="W24" s="84">
        <f>'Costs &amp; Revenue'!W31</f>
        <v/>
      </c>
      <c r="X24" s="84">
        <f>'Costs &amp; Revenue'!X31</f>
        <v/>
      </c>
      <c r="Y24" s="84">
        <f>'Costs &amp; Revenue'!Y31</f>
        <v/>
      </c>
      <c r="Z24" s="84">
        <f>'Costs &amp; Revenue'!Z31</f>
        <v/>
      </c>
      <c r="AA24" s="84">
        <f>'Costs &amp; Revenue'!AA31</f>
        <v/>
      </c>
      <c r="AB24" s="84">
        <f>'Costs &amp; Revenue'!AB31</f>
        <v/>
      </c>
      <c r="AC24" s="84">
        <f>'Costs &amp; Revenue'!AC31</f>
        <v/>
      </c>
      <c r="AD24" s="84">
        <f>'Costs &amp; Revenue'!AD31</f>
        <v/>
      </c>
      <c r="AE24" s="84">
        <f>'Costs &amp; Revenue'!AE31</f>
        <v/>
      </c>
      <c r="AF24" s="84">
        <f>'Costs &amp; Revenue'!AF31</f>
        <v/>
      </c>
      <c r="AG24" s="84">
        <f>'Costs &amp; Revenue'!AG31</f>
        <v/>
      </c>
      <c r="AH24" s="84">
        <f>'Costs &amp; Revenue'!AH31</f>
        <v/>
      </c>
      <c r="AI24" s="84">
        <f>'Costs &amp; Revenue'!AI31</f>
        <v/>
      </c>
      <c r="AJ24" s="84">
        <f>'Costs &amp; Revenue'!AJ31</f>
        <v/>
      </c>
      <c r="AK24" s="84">
        <f>'Costs &amp; Revenue'!AK31</f>
        <v/>
      </c>
      <c r="AL24" s="84">
        <f>'Costs &amp; Revenue'!AL31</f>
        <v/>
      </c>
      <c r="AM24" s="84">
        <f>'Costs &amp; Revenue'!AM31</f>
        <v/>
      </c>
      <c r="AN24" s="84">
        <f>'Costs &amp; Revenue'!AN31</f>
        <v/>
      </c>
      <c r="AO24" s="84">
        <f>'Costs &amp; Revenue'!AO31</f>
        <v/>
      </c>
      <c r="AP24" s="84">
        <f>'Costs &amp; Revenue'!AP31</f>
        <v/>
      </c>
      <c r="AQ24" s="84">
        <f>'Costs &amp; Revenue'!AQ31</f>
        <v/>
      </c>
      <c r="AR24" s="84">
        <f>'Costs &amp; Revenue'!AR31</f>
        <v/>
      </c>
      <c r="AS24" s="84">
        <f>'Costs &amp; Revenue'!AS31</f>
        <v/>
      </c>
      <c r="AT24" s="84">
        <f>'Costs &amp; Revenue'!AT31</f>
        <v/>
      </c>
      <c r="AU24" s="84">
        <f>'Costs &amp; Revenue'!AU31</f>
        <v/>
      </c>
      <c r="AV24" s="84">
        <f>'Costs &amp; Revenue'!AV31</f>
        <v/>
      </c>
      <c r="AW24" s="84">
        <f>'Costs &amp; Revenue'!AW31</f>
        <v/>
      </c>
      <c r="AX24" s="84">
        <f>'Costs &amp; Revenue'!AX31</f>
        <v/>
      </c>
      <c r="AY24" s="84">
        <f>'Costs &amp; Revenue'!AY31</f>
        <v/>
      </c>
      <c r="AZ24" s="84">
        <f>'Costs &amp; Revenue'!AZ31</f>
        <v/>
      </c>
      <c r="BA24" s="84">
        <f>'Costs &amp; Revenue'!BA31</f>
        <v/>
      </c>
      <c r="BB24" s="84">
        <f>'Costs &amp; Revenue'!BB31</f>
        <v/>
      </c>
    </row>
    <row r="25" ht="15" customHeight="1">
      <c r="A25" s="21" t="n"/>
      <c r="D25" s="21" t="n"/>
      <c r="E25" s="5">
        <f>Availability!E12</f>
        <v/>
      </c>
      <c r="G25" s="5" t="inlineStr">
        <is>
          <t>£m nominal prices</t>
        </is>
      </c>
      <c r="H25" s="21">
        <f>Availability!H12</f>
        <v/>
      </c>
      <c r="L25" s="33" t="n"/>
      <c r="M25" s="33" t="n"/>
      <c r="N25" s="33" t="n"/>
      <c r="O25" s="33" t="n"/>
      <c r="P25" s="84">
        <f>Availability!P12</f>
        <v/>
      </c>
      <c r="Q25" s="84">
        <f>Availability!Q12</f>
        <v/>
      </c>
      <c r="R25" s="84">
        <f>Availability!R12</f>
        <v/>
      </c>
      <c r="S25" s="84">
        <f>Availability!S12</f>
        <v/>
      </c>
      <c r="T25" s="84">
        <f>Availability!T12</f>
        <v/>
      </c>
      <c r="U25" s="84">
        <f>Availability!U12</f>
        <v/>
      </c>
      <c r="V25" s="84">
        <f>Availability!V12</f>
        <v/>
      </c>
      <c r="W25" s="84">
        <f>Availability!W12</f>
        <v/>
      </c>
      <c r="X25" s="84">
        <f>Availability!X12</f>
        <v/>
      </c>
      <c r="Y25" s="84">
        <f>Availability!Y12</f>
        <v/>
      </c>
      <c r="Z25" s="84">
        <f>Availability!Z12</f>
        <v/>
      </c>
      <c r="AA25" s="84">
        <f>Availability!AA12</f>
        <v/>
      </c>
      <c r="AB25" s="84">
        <f>Availability!AB12</f>
        <v/>
      </c>
      <c r="AC25" s="84">
        <f>Availability!AC12</f>
        <v/>
      </c>
      <c r="AD25" s="84">
        <f>Availability!AD12</f>
        <v/>
      </c>
      <c r="AE25" s="84">
        <f>Availability!AE12</f>
        <v/>
      </c>
      <c r="AF25" s="84">
        <f>Availability!AF12</f>
        <v/>
      </c>
      <c r="AG25" s="84">
        <f>Availability!AG12</f>
        <v/>
      </c>
      <c r="AH25" s="84">
        <f>Availability!AH12</f>
        <v/>
      </c>
      <c r="AI25" s="84">
        <f>Availability!AI12</f>
        <v/>
      </c>
      <c r="AJ25" s="84">
        <f>Availability!AJ12</f>
        <v/>
      </c>
      <c r="AK25" s="84">
        <f>Availability!AK12</f>
        <v/>
      </c>
      <c r="AL25" s="84">
        <f>Availability!AL12</f>
        <v/>
      </c>
      <c r="AM25" s="84">
        <f>Availability!AM12</f>
        <v/>
      </c>
      <c r="AN25" s="84">
        <f>Availability!AN12</f>
        <v/>
      </c>
      <c r="AO25" s="84">
        <f>Availability!AO12</f>
        <v/>
      </c>
      <c r="AP25" s="84">
        <f>Availability!AP12</f>
        <v/>
      </c>
      <c r="AQ25" s="84">
        <f>Availability!AQ12</f>
        <v/>
      </c>
      <c r="AR25" s="84">
        <f>Availability!AR12</f>
        <v/>
      </c>
      <c r="AS25" s="84">
        <f>Availability!AS12</f>
        <v/>
      </c>
      <c r="AT25" s="84">
        <f>Availability!AT12</f>
        <v/>
      </c>
      <c r="AU25" s="84">
        <f>Availability!AU12</f>
        <v/>
      </c>
      <c r="AV25" s="84">
        <f>Availability!AV12</f>
        <v/>
      </c>
      <c r="AW25" s="84">
        <f>Availability!AW12</f>
        <v/>
      </c>
      <c r="AX25" s="84">
        <f>Availability!AX12</f>
        <v/>
      </c>
      <c r="AY25" s="84">
        <f>Availability!AY12</f>
        <v/>
      </c>
      <c r="AZ25" s="84">
        <f>Availability!AZ12</f>
        <v/>
      </c>
      <c r="BA25" s="84">
        <f>Availability!BA12</f>
        <v/>
      </c>
      <c r="BB25" s="84">
        <f>Availability!BB12</f>
        <v/>
      </c>
    </row>
    <row r="26" ht="15" customHeight="1">
      <c r="A26" s="21" t="n"/>
      <c r="D26" s="21" t="n"/>
      <c r="E26" s="5" t="inlineStr">
        <is>
          <t>Floor (post availability incentive)</t>
        </is>
      </c>
      <c r="G26" s="5" t="inlineStr">
        <is>
          <t>£m nominal prices</t>
        </is>
      </c>
      <c r="H26" s="21">
        <f>Availability!H53</f>
        <v/>
      </c>
      <c r="L26" s="33" t="n"/>
      <c r="M26" s="33" t="n"/>
      <c r="N26" s="33" t="n"/>
      <c r="O26" s="33" t="n"/>
      <c r="P26" s="84">
        <f>Availability!P53</f>
        <v/>
      </c>
      <c r="Q26" s="84">
        <f>Availability!Q53</f>
        <v/>
      </c>
      <c r="R26" s="84">
        <f>Availability!R53</f>
        <v/>
      </c>
      <c r="S26" s="84">
        <f>Availability!S53</f>
        <v/>
      </c>
      <c r="T26" s="84">
        <f>Availability!T53</f>
        <v/>
      </c>
      <c r="U26" s="84">
        <f>Availability!U53</f>
        <v/>
      </c>
      <c r="V26" s="84">
        <f>Availability!V53</f>
        <v/>
      </c>
      <c r="W26" s="84">
        <f>Availability!W53</f>
        <v/>
      </c>
      <c r="X26" s="84">
        <f>Availability!X53</f>
        <v/>
      </c>
      <c r="Y26" s="84">
        <f>Availability!Y53</f>
        <v/>
      </c>
      <c r="Z26" s="84">
        <f>Availability!Z53</f>
        <v/>
      </c>
      <c r="AA26" s="84">
        <f>Availability!AA53</f>
        <v/>
      </c>
      <c r="AB26" s="84">
        <f>Availability!AB53</f>
        <v/>
      </c>
      <c r="AC26" s="84">
        <f>Availability!AC53</f>
        <v/>
      </c>
      <c r="AD26" s="84">
        <f>Availability!AD53</f>
        <v/>
      </c>
      <c r="AE26" s="84">
        <f>Availability!AE53</f>
        <v/>
      </c>
      <c r="AF26" s="84">
        <f>Availability!AF53</f>
        <v/>
      </c>
      <c r="AG26" s="84">
        <f>Availability!AG53</f>
        <v/>
      </c>
      <c r="AH26" s="84">
        <f>Availability!AH53</f>
        <v/>
      </c>
      <c r="AI26" s="84">
        <f>Availability!AI53</f>
        <v/>
      </c>
      <c r="AJ26" s="84">
        <f>Availability!AJ53</f>
        <v/>
      </c>
      <c r="AK26" s="84">
        <f>Availability!AK53</f>
        <v/>
      </c>
      <c r="AL26" s="84">
        <f>Availability!AL53</f>
        <v/>
      </c>
      <c r="AM26" s="84">
        <f>Availability!AM53</f>
        <v/>
      </c>
      <c r="AN26" s="84">
        <f>Availability!AN53</f>
        <v/>
      </c>
      <c r="AO26" s="84">
        <f>Availability!AO53</f>
        <v/>
      </c>
      <c r="AP26" s="84">
        <f>Availability!AP53</f>
        <v/>
      </c>
      <c r="AQ26" s="84">
        <f>Availability!AQ53</f>
        <v/>
      </c>
      <c r="AR26" s="84">
        <f>Availability!AR53</f>
        <v/>
      </c>
      <c r="AS26" s="84">
        <f>Availability!AS53</f>
        <v/>
      </c>
      <c r="AT26" s="84">
        <f>Availability!AT53</f>
        <v/>
      </c>
      <c r="AU26" s="84">
        <f>Availability!AU53</f>
        <v/>
      </c>
      <c r="AV26" s="84">
        <f>Availability!AV53</f>
        <v/>
      </c>
      <c r="AW26" s="84">
        <f>Availability!AW53</f>
        <v/>
      </c>
      <c r="AX26" s="84">
        <f>Availability!AX53</f>
        <v/>
      </c>
      <c r="AY26" s="84">
        <f>Availability!AY53</f>
        <v/>
      </c>
      <c r="AZ26" s="84">
        <f>Availability!AZ53</f>
        <v/>
      </c>
      <c r="BA26" s="84">
        <f>Availability!BA53</f>
        <v/>
      </c>
      <c r="BB26" s="84">
        <f>Availability!BB53</f>
        <v/>
      </c>
    </row>
    <row r="27" ht="15" customHeight="1">
      <c r="A27" s="21" t="n"/>
      <c r="D27" s="21" t="n"/>
      <c r="E27" s="5" t="n"/>
      <c r="G27" s="5" t="n"/>
      <c r="I27" s="16" t="n"/>
      <c r="L27" s="33" t="n"/>
      <c r="M27" s="33" t="n"/>
      <c r="N27" s="33" t="n"/>
      <c r="O27" s="33" t="n"/>
      <c r="P27" s="37" t="n"/>
      <c r="Q27" s="37" t="n"/>
      <c r="R27" s="37" t="n"/>
      <c r="S27" s="37" t="n"/>
      <c r="T27" s="37" t="n"/>
      <c r="U27" s="37" t="n"/>
      <c r="V27" s="37" t="n"/>
      <c r="W27" s="37" t="n"/>
      <c r="X27" s="37" t="n"/>
      <c r="Y27" s="37" t="n"/>
      <c r="Z27" s="37" t="n"/>
      <c r="AA27" s="37" t="n"/>
      <c r="AB27" s="37" t="n"/>
      <c r="AC27" s="37" t="n"/>
      <c r="AD27" s="37" t="n"/>
      <c r="AE27" s="37" t="n"/>
      <c r="AF27" s="37" t="n"/>
      <c r="AG27" s="37" t="n"/>
      <c r="AH27" s="37" t="n"/>
      <c r="AI27" s="37" t="n"/>
      <c r="AJ27" s="37" t="n"/>
      <c r="AK27" s="37" t="n"/>
      <c r="AL27" s="37" t="n"/>
      <c r="AM27" s="37" t="n"/>
      <c r="AN27" s="37" t="n"/>
      <c r="AO27" s="37" t="n"/>
      <c r="AP27" s="37" t="n"/>
      <c r="AQ27" s="37" t="n"/>
      <c r="AR27" s="37" t="n"/>
      <c r="AS27" s="37" t="n"/>
      <c r="AT27" s="37" t="n"/>
      <c r="AU27" s="37" t="n"/>
      <c r="AV27" s="37" t="n"/>
      <c r="AW27" s="37" t="n"/>
      <c r="AX27" s="37" t="n"/>
      <c r="AY27" s="37" t="n"/>
      <c r="AZ27" s="37" t="n"/>
      <c r="BA27" s="37" t="n"/>
      <c r="BB27" s="37" t="n"/>
    </row>
    <row r="28" ht="15" customHeight="1">
      <c r="A28" s="21" t="n"/>
      <c r="D28" s="21" t="n"/>
      <c r="E28" s="5" t="inlineStr">
        <is>
          <t>Notional surplus assessed revenue</t>
        </is>
      </c>
      <c r="G28" s="5" t="inlineStr">
        <is>
          <t>£m nominal prices</t>
        </is>
      </c>
      <c r="H28" s="21" t="inlineStr">
        <is>
          <t>NSARt</t>
        </is>
      </c>
      <c r="I28" s="16" t="n"/>
      <c r="L28" s="33" t="n"/>
      <c r="M28" s="33" t="n"/>
      <c r="N28" s="33" t="n"/>
      <c r="O28" s="33" t="n"/>
      <c r="P28" s="37">
        <f>P24-P25</f>
        <v/>
      </c>
      <c r="Q28" s="37">
        <f>Q24-Q25</f>
        <v/>
      </c>
      <c r="R28" s="37">
        <f>R24-R25</f>
        <v/>
      </c>
      <c r="S28" s="37">
        <f>S24-S25</f>
        <v/>
      </c>
      <c r="T28" s="37">
        <f>T24-T25</f>
        <v/>
      </c>
      <c r="U28" s="37">
        <f>U24-U25</f>
        <v/>
      </c>
      <c r="V28" s="37">
        <f>V24-V25</f>
        <v/>
      </c>
      <c r="W28" s="37">
        <f>W24-W25</f>
        <v/>
      </c>
      <c r="X28" s="37">
        <f>X24-X25</f>
        <v/>
      </c>
      <c r="Y28" s="37">
        <f>Y24-Y25</f>
        <v/>
      </c>
      <c r="Z28" s="37">
        <f>Z24-Z25</f>
        <v/>
      </c>
      <c r="AA28" s="37">
        <f>AA24-AA25</f>
        <v/>
      </c>
      <c r="AB28" s="37">
        <f>AB24-AB25</f>
        <v/>
      </c>
      <c r="AC28" s="37">
        <f>AC24-AC25</f>
        <v/>
      </c>
      <c r="AD28" s="37">
        <f>AD24-AD25</f>
        <v/>
      </c>
      <c r="AE28" s="37">
        <f>AE24-AE25</f>
        <v/>
      </c>
      <c r="AF28" s="37">
        <f>AF24-AF25</f>
        <v/>
      </c>
      <c r="AG28" s="37">
        <f>AG24-AG25</f>
        <v/>
      </c>
      <c r="AH28" s="37">
        <f>AH24-AH25</f>
        <v/>
      </c>
      <c r="AI28" s="37">
        <f>AI24-AI25</f>
        <v/>
      </c>
      <c r="AJ28" s="37">
        <f>AJ24-AJ25</f>
        <v/>
      </c>
      <c r="AK28" s="37">
        <f>AK24-AK25</f>
        <v/>
      </c>
      <c r="AL28" s="37">
        <f>AL24-AL25</f>
        <v/>
      </c>
      <c r="AM28" s="37">
        <f>AM24-AM25</f>
        <v/>
      </c>
      <c r="AN28" s="37">
        <f>AN24-AN25</f>
        <v/>
      </c>
      <c r="AO28" s="37">
        <f>AO24-AO25</f>
        <v/>
      </c>
      <c r="AP28" s="37">
        <f>AP24-AP25</f>
        <v/>
      </c>
      <c r="AQ28" s="37">
        <f>AQ24-AQ25</f>
        <v/>
      </c>
      <c r="AR28" s="37">
        <f>AR24-AR25</f>
        <v/>
      </c>
      <c r="AS28" s="37">
        <f>AS24-AS25</f>
        <v/>
      </c>
      <c r="AT28" s="37">
        <f>AT24-AT25</f>
        <v/>
      </c>
      <c r="AU28" s="37">
        <f>AU24-AU25</f>
        <v/>
      </c>
      <c r="AV28" s="37">
        <f>AV24-AV25</f>
        <v/>
      </c>
      <c r="AW28" s="37">
        <f>AW24-AW25</f>
        <v/>
      </c>
      <c r="AX28" s="37">
        <f>AX24-AX25</f>
        <v/>
      </c>
      <c r="AY28" s="37">
        <f>AY24-AY25</f>
        <v/>
      </c>
      <c r="AZ28" s="37">
        <f>AZ24-AZ25</f>
        <v/>
      </c>
      <c r="BA28" s="37">
        <f>BA24-BA25</f>
        <v/>
      </c>
      <c r="BB28" s="37">
        <f>BB24-BB25</f>
        <v/>
      </c>
    </row>
    <row r="29" ht="15" customHeight="1">
      <c r="A29" s="21" t="n"/>
      <c r="D29" s="21" t="n"/>
      <c r="E29" s="5" t="inlineStr">
        <is>
          <t>Surplus assessed revenue</t>
        </is>
      </c>
      <c r="G29" s="5" t="inlineStr">
        <is>
          <t>£m nominal prices</t>
        </is>
      </c>
      <c r="H29" s="21" t="inlineStr">
        <is>
          <t>SARt</t>
        </is>
      </c>
      <c r="I29" s="16" t="n"/>
      <c r="L29" s="33" t="n"/>
      <c r="M29" s="33" t="n"/>
      <c r="N29" s="33" t="n"/>
      <c r="O29" s="33" t="n"/>
      <c r="P29" s="37">
        <f>IF(P28&gt;0,P28,0)</f>
        <v/>
      </c>
      <c r="Q29" s="37">
        <f>IF(Q28&gt;0,Q28,0)</f>
        <v/>
      </c>
      <c r="R29" s="37">
        <f>IF(R28&gt;0,R28,0)</f>
        <v/>
      </c>
      <c r="S29" s="37">
        <f>IF(S28&gt;0,S28,0)</f>
        <v/>
      </c>
      <c r="T29" s="37">
        <f>IF(T28&gt;0,T28,0)</f>
        <v/>
      </c>
      <c r="U29" s="37">
        <f>IF(U28&gt;0,U28,0)</f>
        <v/>
      </c>
      <c r="V29" s="37">
        <f>IF(V28&gt;0,V28,0)</f>
        <v/>
      </c>
      <c r="W29" s="37">
        <f>IF(W28&gt;0,W28,0)</f>
        <v/>
      </c>
      <c r="X29" s="37">
        <f>IF(X28&gt;0,X28,0)</f>
        <v/>
      </c>
      <c r="Y29" s="37">
        <f>IF(Y28&gt;0,Y28,0)</f>
        <v/>
      </c>
      <c r="Z29" s="37">
        <f>IF(Z28&gt;0,Z28,0)</f>
        <v/>
      </c>
      <c r="AA29" s="37">
        <f>IF(AA28&gt;0,AA28,0)</f>
        <v/>
      </c>
      <c r="AB29" s="37">
        <f>IF(AB28&gt;0,AB28,0)</f>
        <v/>
      </c>
      <c r="AC29" s="37">
        <f>IF(AC28&gt;0,AC28,0)</f>
        <v/>
      </c>
      <c r="AD29" s="37">
        <f>IF(AD28&gt;0,AD28,0)</f>
        <v/>
      </c>
      <c r="AE29" s="37">
        <f>IF(AE28&gt;0,AE28,0)</f>
        <v/>
      </c>
      <c r="AF29" s="37">
        <f>IF(AF28&gt;0,AF28,0)</f>
        <v/>
      </c>
      <c r="AG29" s="37">
        <f>IF(AG28&gt;0,AG28,0)</f>
        <v/>
      </c>
      <c r="AH29" s="37">
        <f>IF(AH28&gt;0,AH28,0)</f>
        <v/>
      </c>
      <c r="AI29" s="37">
        <f>IF(AI28&gt;0,AI28,0)</f>
        <v/>
      </c>
      <c r="AJ29" s="37">
        <f>IF(AJ28&gt;0,AJ28,0)</f>
        <v/>
      </c>
      <c r="AK29" s="37">
        <f>IF(AK28&gt;0,AK28,0)</f>
        <v/>
      </c>
      <c r="AL29" s="37">
        <f>IF(AL28&gt;0,AL28,0)</f>
        <v/>
      </c>
      <c r="AM29" s="37">
        <f>IF(AM28&gt;0,AM28,0)</f>
        <v/>
      </c>
      <c r="AN29" s="37">
        <f>IF(AN28&gt;0,AN28,0)</f>
        <v/>
      </c>
      <c r="AO29" s="37">
        <f>IF(AO28&gt;0,AO28,0)</f>
        <v/>
      </c>
      <c r="AP29" s="37">
        <f>IF(AP28&gt;0,AP28,0)</f>
        <v/>
      </c>
      <c r="AQ29" s="37">
        <f>IF(AQ28&gt;0,AQ28,0)</f>
        <v/>
      </c>
      <c r="AR29" s="37">
        <f>IF(AR28&gt;0,AR28,0)</f>
        <v/>
      </c>
      <c r="AS29" s="37">
        <f>IF(AS28&gt;0,AS28,0)</f>
        <v/>
      </c>
      <c r="AT29" s="37">
        <f>IF(AT28&gt;0,AT28,0)</f>
        <v/>
      </c>
      <c r="AU29" s="37">
        <f>IF(AU28&gt;0,AU28,0)</f>
        <v/>
      </c>
      <c r="AV29" s="37">
        <f>IF(AV28&gt;0,AV28,0)</f>
        <v/>
      </c>
      <c r="AW29" s="37">
        <f>IF(AW28&gt;0,AW28,0)</f>
        <v/>
      </c>
      <c r="AX29" s="37">
        <f>IF(AX28&gt;0,AX28,0)</f>
        <v/>
      </c>
      <c r="AY29" s="37">
        <f>IF(AY28&gt;0,AY28,0)</f>
        <v/>
      </c>
      <c r="AZ29" s="37">
        <f>IF(AZ28&gt;0,AZ28,0)</f>
        <v/>
      </c>
      <c r="BA29" s="37">
        <f>IF(BA28&gt;0,BA28,0)</f>
        <v/>
      </c>
      <c r="BB29" s="37">
        <f>IF(BB28&gt;0,BB28,0)</f>
        <v/>
      </c>
    </row>
    <row r="30" ht="15" customHeight="1">
      <c r="A30" s="21" t="n"/>
      <c r="D30" s="21" t="n"/>
      <c r="P30" s="37" t="n"/>
      <c r="Q30" s="37" t="n"/>
      <c r="R30" s="37" t="n"/>
      <c r="S30" s="37" t="n"/>
      <c r="T30" s="37" t="n"/>
      <c r="U30" s="37" t="n"/>
      <c r="V30" s="37" t="n"/>
      <c r="W30" s="37" t="n"/>
      <c r="X30" s="37" t="n"/>
      <c r="Y30" s="37" t="n"/>
      <c r="Z30" s="37" t="n"/>
      <c r="AA30" s="37" t="n"/>
      <c r="AB30" s="37" t="n"/>
      <c r="AC30" s="37" t="n"/>
      <c r="AD30" s="37" t="n"/>
      <c r="AE30" s="37" t="n"/>
      <c r="AF30" s="37" t="n"/>
      <c r="AG30" s="37" t="n"/>
      <c r="AH30" s="37" t="n"/>
      <c r="AI30" s="37" t="n"/>
      <c r="AJ30" s="37" t="n"/>
      <c r="AK30" s="37" t="n"/>
      <c r="AL30" s="37" t="n"/>
      <c r="AM30" s="37" t="n"/>
      <c r="AN30" s="37" t="n"/>
      <c r="AO30" s="37" t="n"/>
      <c r="AP30" s="37" t="n"/>
      <c r="AQ30" s="37" t="n"/>
      <c r="AR30" s="37" t="n"/>
      <c r="AS30" s="37" t="n"/>
      <c r="AT30" s="37" t="n"/>
      <c r="AU30" s="37" t="n"/>
      <c r="AV30" s="37" t="n"/>
      <c r="AW30" s="37" t="n"/>
      <c r="AX30" s="37" t="n"/>
      <c r="AY30" s="37" t="n"/>
      <c r="AZ30" s="37" t="n"/>
      <c r="BA30" s="37" t="n"/>
      <c r="BB30" s="37" t="n"/>
    </row>
    <row r="31" ht="15" customHeight="1">
      <c r="E31" s="5">
        <f>Availability!E52</f>
        <v/>
      </c>
      <c r="G31" s="5" t="inlineStr">
        <is>
          <t>£m nominal prices</t>
        </is>
      </c>
      <c r="H31" s="21">
        <f>Availability!H52</f>
        <v/>
      </c>
      <c r="L31" s="58" t="n">
        <v>0</v>
      </c>
      <c r="M31" s="58" t="n">
        <v>0</v>
      </c>
      <c r="N31" s="58" t="n">
        <v>0</v>
      </c>
      <c r="O31" s="59" t="n">
        <v>0</v>
      </c>
      <c r="P31" s="84">
        <f>Availability!P52</f>
        <v/>
      </c>
      <c r="Q31" s="84">
        <f>Availability!Q52</f>
        <v/>
      </c>
      <c r="R31" s="84">
        <f>Availability!R52</f>
        <v/>
      </c>
      <c r="S31" s="84">
        <f>Availability!S52</f>
        <v/>
      </c>
      <c r="T31" s="84">
        <f>Availability!T52</f>
        <v/>
      </c>
      <c r="U31" s="84">
        <f>Availability!U52</f>
        <v/>
      </c>
      <c r="V31" s="84">
        <f>Availability!V52</f>
        <v/>
      </c>
      <c r="W31" s="84">
        <f>Availability!W52</f>
        <v/>
      </c>
      <c r="X31" s="84">
        <f>Availability!X52</f>
        <v/>
      </c>
      <c r="Y31" s="84">
        <f>Availability!Y52</f>
        <v/>
      </c>
      <c r="Z31" s="84">
        <f>Availability!Z52</f>
        <v/>
      </c>
      <c r="AA31" s="84">
        <f>Availability!AA52</f>
        <v/>
      </c>
      <c r="AB31" s="84">
        <f>Availability!AB52</f>
        <v/>
      </c>
      <c r="AC31" s="84">
        <f>Availability!AC52</f>
        <v/>
      </c>
      <c r="AD31" s="84">
        <f>Availability!AD52</f>
        <v/>
      </c>
      <c r="AE31" s="84">
        <f>Availability!AE52</f>
        <v/>
      </c>
      <c r="AF31" s="84">
        <f>Availability!AF52</f>
        <v/>
      </c>
      <c r="AG31" s="84">
        <f>Availability!AG52</f>
        <v/>
      </c>
      <c r="AH31" s="84">
        <f>Availability!AH52</f>
        <v/>
      </c>
      <c r="AI31" s="84">
        <f>Availability!AI52</f>
        <v/>
      </c>
      <c r="AJ31" s="84">
        <f>Availability!AJ52</f>
        <v/>
      </c>
      <c r="AK31" s="84">
        <f>Availability!AK52</f>
        <v/>
      </c>
      <c r="AL31" s="84">
        <f>Availability!AL52</f>
        <v/>
      </c>
      <c r="AM31" s="84">
        <f>Availability!AM52</f>
        <v/>
      </c>
      <c r="AN31" s="84">
        <f>Availability!AN52</f>
        <v/>
      </c>
      <c r="AO31" s="84">
        <f>Availability!AO52</f>
        <v/>
      </c>
      <c r="AP31" s="84">
        <f>Availability!AP52</f>
        <v/>
      </c>
      <c r="AQ31" s="84">
        <f>Availability!AQ52</f>
        <v/>
      </c>
      <c r="AR31" s="84">
        <f>Availability!AR52</f>
        <v/>
      </c>
      <c r="AS31" s="84">
        <f>Availability!AS52</f>
        <v/>
      </c>
      <c r="AT31" s="84">
        <f>Availability!AT52</f>
        <v/>
      </c>
      <c r="AU31" s="84">
        <f>Availability!AU52</f>
        <v/>
      </c>
      <c r="AV31" s="84">
        <f>Availability!AV52</f>
        <v/>
      </c>
      <c r="AW31" s="84">
        <f>Availability!AW52</f>
        <v/>
      </c>
      <c r="AX31" s="84">
        <f>Availability!AX52</f>
        <v/>
      </c>
      <c r="AY31" s="84">
        <f>Availability!AY52</f>
        <v/>
      </c>
      <c r="AZ31" s="84">
        <f>Availability!AZ52</f>
        <v/>
      </c>
      <c r="BA31" s="84">
        <f>Availability!BA52</f>
        <v/>
      </c>
      <c r="BB31" s="84">
        <f>Availability!BB52</f>
        <v/>
      </c>
    </row>
    <row r="32" ht="15" customHeight="1">
      <c r="A32" s="21" t="n"/>
      <c r="D32" s="21" t="n"/>
      <c r="E32" s="5" t="inlineStr">
        <is>
          <t>Revenue assessed for cap</t>
        </is>
      </c>
      <c r="G32" s="5" t="inlineStr">
        <is>
          <t>£m nominal prices</t>
        </is>
      </c>
      <c r="H32" s="21">
        <f>H24</f>
        <v/>
      </c>
      <c r="I32" s="16" t="n"/>
      <c r="L32" s="58" t="n">
        <v>0</v>
      </c>
      <c r="M32" s="58" t="n">
        <v>0</v>
      </c>
      <c r="N32" s="58" t="n">
        <v>0</v>
      </c>
      <c r="O32" s="59" t="n">
        <v>0</v>
      </c>
      <c r="P32" s="37">
        <f>P24</f>
        <v/>
      </c>
      <c r="Q32" s="37">
        <f>Q24</f>
        <v/>
      </c>
      <c r="R32" s="37">
        <f>R24</f>
        <v/>
      </c>
      <c r="S32" s="37">
        <f>S24</f>
        <v/>
      </c>
      <c r="T32" s="37">
        <f>T24</f>
        <v/>
      </c>
      <c r="U32" s="37">
        <f>U24</f>
        <v/>
      </c>
      <c r="V32" s="37">
        <f>V24</f>
        <v/>
      </c>
      <c r="W32" s="37">
        <f>W24</f>
        <v/>
      </c>
      <c r="X32" s="37">
        <f>X24</f>
        <v/>
      </c>
      <c r="Y32" s="37">
        <f>Y24</f>
        <v/>
      </c>
      <c r="Z32" s="37">
        <f>Z24</f>
        <v/>
      </c>
      <c r="AA32" s="37">
        <f>AA24</f>
        <v/>
      </c>
      <c r="AB32" s="37">
        <f>AB24</f>
        <v/>
      </c>
      <c r="AC32" s="37">
        <f>AC24</f>
        <v/>
      </c>
      <c r="AD32" s="37">
        <f>AD24</f>
        <v/>
      </c>
      <c r="AE32" s="37">
        <f>AE24</f>
        <v/>
      </c>
      <c r="AF32" s="37">
        <f>AF24</f>
        <v/>
      </c>
      <c r="AG32" s="37">
        <f>AG24</f>
        <v/>
      </c>
      <c r="AH32" s="37">
        <f>AH24</f>
        <v/>
      </c>
      <c r="AI32" s="37">
        <f>AI24</f>
        <v/>
      </c>
      <c r="AJ32" s="37">
        <f>AJ24</f>
        <v/>
      </c>
      <c r="AK32" s="37">
        <f>AK24</f>
        <v/>
      </c>
      <c r="AL32" s="37">
        <f>AL24</f>
        <v/>
      </c>
      <c r="AM32" s="37">
        <f>AM24</f>
        <v/>
      </c>
      <c r="AN32" s="37">
        <f>AN24</f>
        <v/>
      </c>
      <c r="AO32" s="37">
        <f>AO24</f>
        <v/>
      </c>
      <c r="AP32" s="37">
        <f>AP24</f>
        <v/>
      </c>
      <c r="AQ32" s="37">
        <f>AQ24</f>
        <v/>
      </c>
      <c r="AR32" s="37">
        <f>AR24</f>
        <v/>
      </c>
      <c r="AS32" s="37">
        <f>AS24</f>
        <v/>
      </c>
      <c r="AT32" s="37">
        <f>AT24</f>
        <v/>
      </c>
      <c r="AU32" s="37">
        <f>AU24</f>
        <v/>
      </c>
      <c r="AV32" s="37">
        <f>AV24</f>
        <v/>
      </c>
      <c r="AW32" s="37">
        <f>AW24</f>
        <v/>
      </c>
      <c r="AX32" s="37">
        <f>AX24</f>
        <v/>
      </c>
      <c r="AY32" s="37">
        <f>AY24</f>
        <v/>
      </c>
      <c r="AZ32" s="37">
        <f>AZ24</f>
        <v/>
      </c>
      <c r="BA32" s="37">
        <f>BA24</f>
        <v/>
      </c>
      <c r="BB32" s="37">
        <f>BB24</f>
        <v/>
      </c>
    </row>
    <row r="33" ht="15" customHeight="1">
      <c r="E33" s="5">
        <f>Availability!E53</f>
        <v/>
      </c>
      <c r="G33" s="5" t="inlineStr">
        <is>
          <t>£m nominal prices</t>
        </is>
      </c>
      <c r="H33" s="21">
        <f>Availability!H53</f>
        <v/>
      </c>
      <c r="L33" s="58" t="n">
        <v>0</v>
      </c>
      <c r="M33" s="58" t="n">
        <v>0</v>
      </c>
      <c r="N33" s="58" t="n">
        <v>0</v>
      </c>
      <c r="O33" s="59" t="n">
        <v>0</v>
      </c>
      <c r="P33" s="37">
        <f>P26</f>
        <v/>
      </c>
      <c r="Q33" s="37">
        <f>Q26</f>
        <v/>
      </c>
      <c r="R33" s="37">
        <f>R26</f>
        <v/>
      </c>
      <c r="S33" s="37">
        <f>S26</f>
        <v/>
      </c>
      <c r="T33" s="37">
        <f>T26</f>
        <v/>
      </c>
      <c r="U33" s="37">
        <f>U26</f>
        <v/>
      </c>
      <c r="V33" s="37">
        <f>V26</f>
        <v/>
      </c>
      <c r="W33" s="37">
        <f>W26</f>
        <v/>
      </c>
      <c r="X33" s="37">
        <f>X26</f>
        <v/>
      </c>
      <c r="Y33" s="37">
        <f>Y26</f>
        <v/>
      </c>
      <c r="Z33" s="37">
        <f>Z26</f>
        <v/>
      </c>
      <c r="AA33" s="37">
        <f>AA26</f>
        <v/>
      </c>
      <c r="AB33" s="37">
        <f>AB26</f>
        <v/>
      </c>
      <c r="AC33" s="37">
        <f>AC26</f>
        <v/>
      </c>
      <c r="AD33" s="37">
        <f>AD26</f>
        <v/>
      </c>
      <c r="AE33" s="37">
        <f>AE26</f>
        <v/>
      </c>
      <c r="AF33" s="37">
        <f>AF26</f>
        <v/>
      </c>
      <c r="AG33" s="37">
        <f>AG26</f>
        <v/>
      </c>
      <c r="AH33" s="37">
        <f>AH26</f>
        <v/>
      </c>
      <c r="AI33" s="37">
        <f>AI26</f>
        <v/>
      </c>
      <c r="AJ33" s="37">
        <f>AJ26</f>
        <v/>
      </c>
      <c r="AK33" s="37">
        <f>AK26</f>
        <v/>
      </c>
      <c r="AL33" s="37">
        <f>AL26</f>
        <v/>
      </c>
      <c r="AM33" s="37">
        <f>AM26</f>
        <v/>
      </c>
      <c r="AN33" s="37">
        <f>AN26</f>
        <v/>
      </c>
      <c r="AO33" s="37">
        <f>AO26</f>
        <v/>
      </c>
      <c r="AP33" s="37">
        <f>AP26</f>
        <v/>
      </c>
      <c r="AQ33" s="37">
        <f>AQ26</f>
        <v/>
      </c>
      <c r="AR33" s="37">
        <f>AR26</f>
        <v/>
      </c>
      <c r="AS33" s="37">
        <f>AS26</f>
        <v/>
      </c>
      <c r="AT33" s="37">
        <f>AT26</f>
        <v/>
      </c>
      <c r="AU33" s="37">
        <f>AU26</f>
        <v/>
      </c>
      <c r="AV33" s="37">
        <f>AV26</f>
        <v/>
      </c>
      <c r="AW33" s="37">
        <f>AW26</f>
        <v/>
      </c>
      <c r="AX33" s="37">
        <f>AX26</f>
        <v/>
      </c>
      <c r="AY33" s="37">
        <f>AY26</f>
        <v/>
      </c>
      <c r="AZ33" s="37">
        <f>AZ26</f>
        <v/>
      </c>
      <c r="BA33" s="37">
        <f>BA26</f>
        <v/>
      </c>
      <c r="BB33" s="37">
        <f>BB26</f>
        <v/>
      </c>
    </row>
    <row r="34" ht="26" customHeight="1">
      <c r="A34" s="21" t="n"/>
      <c r="D34" s="21" t="n"/>
      <c r="E34" s="5" t="inlineStr">
        <is>
          <t>Revenue assessed for floor</t>
        </is>
      </c>
      <c r="G34" s="5" t="inlineStr">
        <is>
          <t>£m nominal prices</t>
        </is>
      </c>
      <c r="H34" s="47" t="inlineStr">
        <is>
          <t>Choice of SARt or ARt</t>
        </is>
      </c>
      <c r="I34" s="16" t="n"/>
      <c r="L34" s="58" t="n">
        <v>0</v>
      </c>
      <c r="M34" s="58" t="n">
        <v>0</v>
      </c>
      <c r="N34" s="58" t="n">
        <v>0</v>
      </c>
      <c r="O34" s="59" t="n">
        <v>0</v>
      </c>
      <c r="P34" s="37">
        <f>IF(P26=0,P29,P24)</f>
        <v/>
      </c>
      <c r="Q34" s="37">
        <f>IF(Q26=0,Q29,Q24)</f>
        <v/>
      </c>
      <c r="R34" s="37">
        <f>IF(R26=0,R29,R24)</f>
        <v/>
      </c>
      <c r="S34" s="37">
        <f>IF(S26=0,S29,S24)</f>
        <v/>
      </c>
      <c r="T34" s="37">
        <f>IF(T26=0,T29,T24)</f>
        <v/>
      </c>
      <c r="U34" s="37">
        <f>IF(U26=0,U29,U24)</f>
        <v/>
      </c>
      <c r="V34" s="37">
        <f>IF(V26=0,V29,V24)</f>
        <v/>
      </c>
      <c r="W34" s="37">
        <f>IF(W26=0,W29,W24)</f>
        <v/>
      </c>
      <c r="X34" s="37">
        <f>IF(X26=0,X29,X24)</f>
        <v/>
      </c>
      <c r="Y34" s="37">
        <f>IF(Y26=0,Y29,Y24)</f>
        <v/>
      </c>
      <c r="Z34" s="37">
        <f>IF(Z26=0,Z29,Z24)</f>
        <v/>
      </c>
      <c r="AA34" s="37">
        <f>IF(AA26=0,AA29,AA24)</f>
        <v/>
      </c>
      <c r="AB34" s="37">
        <f>IF(AB26=0,AB29,AB24)</f>
        <v/>
      </c>
      <c r="AC34" s="37">
        <f>IF(AC26=0,AC29,AC24)</f>
        <v/>
      </c>
      <c r="AD34" s="37">
        <f>IF(AD26=0,AD29,AD24)</f>
        <v/>
      </c>
      <c r="AE34" s="37">
        <f>IF(AE26=0,AE29,AE24)</f>
        <v/>
      </c>
      <c r="AF34" s="37">
        <f>IF(AF26=0,AF29,AF24)</f>
        <v/>
      </c>
      <c r="AG34" s="37">
        <f>IF(AG26=0,AG29,AG24)</f>
        <v/>
      </c>
      <c r="AH34" s="37">
        <f>IF(AH26=0,AH29,AH24)</f>
        <v/>
      </c>
      <c r="AI34" s="37">
        <f>IF(AI26=0,AI29,AI24)</f>
        <v/>
      </c>
      <c r="AJ34" s="37">
        <f>IF(AJ26=0,AJ29,AJ24)</f>
        <v/>
      </c>
      <c r="AK34" s="37">
        <f>IF(AK26=0,AK29,AK24)</f>
        <v/>
      </c>
      <c r="AL34" s="37">
        <f>IF(AL26=0,AL29,AL24)</f>
        <v/>
      </c>
      <c r="AM34" s="37">
        <f>IF(AM26=0,AM29,AM24)</f>
        <v/>
      </c>
      <c r="AN34" s="37">
        <f>IF(AN26=0,AN29,AN24)</f>
        <v/>
      </c>
      <c r="AO34" s="37">
        <f>IF(AO26=0,AO29,AO24)</f>
        <v/>
      </c>
      <c r="AP34" s="37">
        <f>IF(AP26=0,AP29,AP24)</f>
        <v/>
      </c>
      <c r="AQ34" s="37">
        <f>IF(AQ26=0,AQ29,AQ24)</f>
        <v/>
      </c>
      <c r="AR34" s="37">
        <f>IF(AR26=0,AR29,AR24)</f>
        <v/>
      </c>
      <c r="AS34" s="37">
        <f>IF(AS26=0,AS29,AS24)</f>
        <v/>
      </c>
      <c r="AT34" s="37">
        <f>IF(AT26=0,AT29,AT24)</f>
        <v/>
      </c>
      <c r="AU34" s="37">
        <f>IF(AU26=0,AU29,AU24)</f>
        <v/>
      </c>
      <c r="AV34" s="37">
        <f>IF(AV26=0,AV29,AV24)</f>
        <v/>
      </c>
      <c r="AW34" s="37">
        <f>IF(AW26=0,AW29,AW24)</f>
        <v/>
      </c>
      <c r="AX34" s="37">
        <f>IF(AX26=0,AX29,AX24)</f>
        <v/>
      </c>
      <c r="AY34" s="37">
        <f>IF(AY26=0,AY29,AY24)</f>
        <v/>
      </c>
      <c r="AZ34" s="37">
        <f>IF(AZ26=0,AZ29,AZ24)</f>
        <v/>
      </c>
      <c r="BA34" s="37">
        <f>IF(BA26=0,BA29,BA24)</f>
        <v/>
      </c>
      <c r="BB34" s="37">
        <f>IF(BB26=0,BB29,BB24)</f>
        <v/>
      </c>
    </row>
    <row r="35" ht="15" customHeight="1">
      <c r="E35" s="5" t="inlineStr">
        <is>
          <t>Within-period adjustment (assessed)</t>
        </is>
      </c>
      <c r="G35" s="5" t="inlineStr">
        <is>
          <t>£m nominal prices</t>
        </is>
      </c>
      <c r="H35" s="21" t="inlineStr">
        <is>
          <t>WPAt</t>
        </is>
      </c>
      <c r="L35" s="58" t="n">
        <v>0</v>
      </c>
      <c r="M35" s="58" t="n">
        <v>0</v>
      </c>
      <c r="N35" s="58" t="n">
        <v>0</v>
      </c>
      <c r="O35" s="59" t="n">
        <v>0</v>
      </c>
      <c r="P35" s="150">
        <f>INDEX(Inputs!$P$110:$BB$110,MATCH('Costs &amp; Revenue'!P$5,Inputs!$P$5:$BB$5,0))</f>
        <v/>
      </c>
      <c r="Q35" s="150">
        <f>INDEX(Inputs!$P$110:$BB$110,MATCH('Costs &amp; Revenue'!Q$5,Inputs!$P$5:$BB$5,0))</f>
        <v/>
      </c>
      <c r="R35" s="150">
        <f>INDEX(Inputs!$P$110:$BB$110,MATCH('Costs &amp; Revenue'!R$5,Inputs!$P$5:$BB$5,0))</f>
        <v/>
      </c>
      <c r="S35" s="150">
        <f>INDEX(Inputs!$P$110:$BB$110,MATCH('Costs &amp; Revenue'!S$5,Inputs!$P$5:$BB$5,0))</f>
        <v/>
      </c>
      <c r="T35" s="150">
        <f>INDEX(Inputs!$P$110:$BB$110,MATCH('Costs &amp; Revenue'!T$5,Inputs!$P$5:$BB$5,0))</f>
        <v/>
      </c>
      <c r="U35" s="150">
        <f>INDEX(Inputs!$P$110:$BB$110,MATCH('Costs &amp; Revenue'!U$5,Inputs!$P$5:$BB$5,0))</f>
        <v/>
      </c>
      <c r="V35" s="150">
        <f>INDEX(Inputs!$P$110:$BB$110,MATCH('Costs &amp; Revenue'!V$5,Inputs!$P$5:$BB$5,0))</f>
        <v/>
      </c>
      <c r="W35" s="150">
        <f>INDEX(Inputs!$P$110:$BB$110,MATCH('Costs &amp; Revenue'!W$5,Inputs!$P$5:$BB$5,0))</f>
        <v/>
      </c>
      <c r="X35" s="150">
        <f>INDEX(Inputs!$P$110:$BB$110,MATCH('Costs &amp; Revenue'!X$5,Inputs!$P$5:$BB$5,0))</f>
        <v/>
      </c>
      <c r="Y35" s="150">
        <f>INDEX(Inputs!$P$110:$BB$110,MATCH('Costs &amp; Revenue'!Y$5,Inputs!$P$5:$BB$5,0))</f>
        <v/>
      </c>
      <c r="Z35" s="150">
        <f>INDEX(Inputs!$P$110:$BB$110,MATCH('Costs &amp; Revenue'!Z$5,Inputs!$P$5:$BB$5,0))</f>
        <v/>
      </c>
      <c r="AA35" s="150">
        <f>INDEX(Inputs!$P$110:$BB$110,MATCH('Costs &amp; Revenue'!AA$5,Inputs!$P$5:$BB$5,0))</f>
        <v/>
      </c>
      <c r="AB35" s="150">
        <f>INDEX(Inputs!$P$110:$BB$110,MATCH('Costs &amp; Revenue'!AB$5,Inputs!$P$5:$BB$5,0))</f>
        <v/>
      </c>
      <c r="AC35" s="150">
        <f>INDEX(Inputs!$P$110:$BB$110,MATCH('Costs &amp; Revenue'!AC$5,Inputs!$P$5:$BB$5,0))</f>
        <v/>
      </c>
      <c r="AD35" s="150">
        <f>INDEX(Inputs!$P$110:$BB$110,MATCH('Costs &amp; Revenue'!AD$5,Inputs!$P$5:$BB$5,0))</f>
        <v/>
      </c>
      <c r="AE35" s="150">
        <f>INDEX(Inputs!$P$110:$BB$110,MATCH('Costs &amp; Revenue'!AE$5,Inputs!$P$5:$BB$5,0))</f>
        <v/>
      </c>
      <c r="AF35" s="150">
        <f>INDEX(Inputs!$P$110:$BB$110,MATCH('Costs &amp; Revenue'!AF$5,Inputs!$P$5:$BB$5,0))</f>
        <v/>
      </c>
      <c r="AG35" s="150">
        <f>INDEX(Inputs!$P$110:$BB$110,MATCH('Costs &amp; Revenue'!AG$5,Inputs!$P$5:$BB$5,0))</f>
        <v/>
      </c>
      <c r="AH35" s="150">
        <f>INDEX(Inputs!$P$110:$BB$110,MATCH('Costs &amp; Revenue'!AH$5,Inputs!$P$5:$BB$5,0))</f>
        <v/>
      </c>
      <c r="AI35" s="150">
        <f>INDEX(Inputs!$P$110:$BB$110,MATCH('Costs &amp; Revenue'!AI$5,Inputs!$P$5:$BB$5,0))</f>
        <v/>
      </c>
      <c r="AJ35" s="150">
        <f>INDEX(Inputs!$P$110:$BB$110,MATCH('Costs &amp; Revenue'!AJ$5,Inputs!$P$5:$BB$5,0))</f>
        <v/>
      </c>
      <c r="AK35" s="150">
        <f>INDEX(Inputs!$P$110:$BB$110,MATCH('Costs &amp; Revenue'!AK$5,Inputs!$P$5:$BB$5,0))</f>
        <v/>
      </c>
      <c r="AL35" s="150">
        <f>INDEX(Inputs!$P$110:$BB$110,MATCH('Costs &amp; Revenue'!AL$5,Inputs!$P$5:$BB$5,0))</f>
        <v/>
      </c>
      <c r="AM35" s="150">
        <f>INDEX(Inputs!$P$110:$BB$110,MATCH('Costs &amp; Revenue'!AM$5,Inputs!$P$5:$BB$5,0))</f>
        <v/>
      </c>
      <c r="AN35" s="150">
        <f>INDEX(Inputs!$P$110:$BB$110,MATCH('Costs &amp; Revenue'!AN$5,Inputs!$P$5:$BB$5,0))</f>
        <v/>
      </c>
      <c r="AO35" s="150">
        <f>INDEX(Inputs!$P$110:$BB$110,MATCH('Costs &amp; Revenue'!AO$5,Inputs!$P$5:$BB$5,0))</f>
        <v/>
      </c>
      <c r="AP35" s="150">
        <f>INDEX(Inputs!$P$110:$BB$110,MATCH('Costs &amp; Revenue'!AP$5,Inputs!$P$5:$BB$5,0))</f>
        <v/>
      </c>
      <c r="AQ35" s="150">
        <f>INDEX(Inputs!$P$110:$BB$110,MATCH('Costs &amp; Revenue'!AQ$5,Inputs!$P$5:$BB$5,0))</f>
        <v/>
      </c>
      <c r="AR35" s="150">
        <f>INDEX(Inputs!$P$110:$BB$110,MATCH('Costs &amp; Revenue'!AR$5,Inputs!$P$5:$BB$5,0))</f>
        <v/>
      </c>
      <c r="AS35" s="150">
        <f>INDEX(Inputs!$P$110:$BB$110,MATCH('Costs &amp; Revenue'!AS$5,Inputs!$P$5:$BB$5,0))</f>
        <v/>
      </c>
      <c r="AT35" s="150">
        <f>INDEX(Inputs!$P$110:$BB$110,MATCH('Costs &amp; Revenue'!AT$5,Inputs!$P$5:$BB$5,0))</f>
        <v/>
      </c>
      <c r="AU35" s="150">
        <f>INDEX(Inputs!$P$110:$BB$110,MATCH('Costs &amp; Revenue'!AU$5,Inputs!$P$5:$BB$5,0))</f>
        <v/>
      </c>
      <c r="AV35" s="150">
        <f>INDEX(Inputs!$P$110:$BB$110,MATCH('Costs &amp; Revenue'!AV$5,Inputs!$P$5:$BB$5,0))</f>
        <v/>
      </c>
      <c r="AW35" s="150">
        <f>INDEX(Inputs!$P$110:$BB$110,MATCH('Costs &amp; Revenue'!AW$5,Inputs!$P$5:$BB$5,0))</f>
        <v/>
      </c>
      <c r="AX35" s="150">
        <f>INDEX(Inputs!$P$110:$BB$110,MATCH('Costs &amp; Revenue'!AX$5,Inputs!$P$5:$BB$5,0))</f>
        <v/>
      </c>
      <c r="AY35" s="150">
        <f>INDEX(Inputs!$P$110:$BB$110,MATCH('Costs &amp; Revenue'!AY$5,Inputs!$P$5:$BB$5,0))</f>
        <v/>
      </c>
      <c r="AZ35" s="150">
        <f>INDEX(Inputs!$P$110:$BB$110,MATCH('Costs &amp; Revenue'!AZ$5,Inputs!$P$5:$BB$5,0))</f>
        <v/>
      </c>
      <c r="BA35" s="150">
        <f>INDEX(Inputs!$P$110:$BB$110,MATCH('Costs &amp; Revenue'!BA$5,Inputs!$P$5:$BB$5,0))</f>
        <v/>
      </c>
      <c r="BB35" s="150">
        <f>INDEX(Inputs!$P$110:$BB$110,MATCH('Costs &amp; Revenue'!BB$5,Inputs!$P$5:$BB$5,0))</f>
        <v/>
      </c>
    </row>
    <row r="36" ht="15" customHeight="1"/>
    <row r="37" ht="15" customFormat="1" customHeight="1" s="63">
      <c r="C37" s="40" t="inlineStr">
        <is>
          <t>NPV of assessed revenue for cap and floor</t>
        </is>
      </c>
      <c r="D37" s="40" t="n"/>
      <c r="E37" s="40" t="n"/>
      <c r="F37" s="40" t="n"/>
      <c r="G37" s="40" t="n"/>
      <c r="H37" s="40" t="n"/>
      <c r="I37" s="40" t="n"/>
      <c r="J37" s="40" t="n"/>
      <c r="K37" s="40" t="n"/>
      <c r="L37" s="40" t="n"/>
      <c r="M37" s="40" t="n"/>
      <c r="N37" s="40" t="n"/>
      <c r="O37" s="40" t="n"/>
      <c r="P37" s="40" t="n"/>
      <c r="Q37" s="40" t="n"/>
      <c r="R37" s="40" t="n"/>
      <c r="S37" s="40" t="n"/>
      <c r="T37" s="40" t="n"/>
      <c r="U37" s="40" t="n"/>
      <c r="V37" s="40" t="n"/>
      <c r="W37" s="40" t="n"/>
      <c r="X37" s="40" t="n"/>
      <c r="Y37" s="40" t="n"/>
      <c r="Z37" s="40" t="n"/>
      <c r="AA37" s="40" t="n"/>
      <c r="AB37" s="40" t="n"/>
      <c r="AC37" s="40" t="n"/>
      <c r="AD37" s="40" t="n"/>
      <c r="AE37" s="40" t="n"/>
      <c r="AF37" s="40" t="n"/>
      <c r="AG37" s="40" t="n"/>
      <c r="AH37" s="40" t="n"/>
      <c r="AI37" s="40" t="n"/>
      <c r="AJ37" s="40" t="n"/>
      <c r="AK37" s="40" t="n"/>
      <c r="AL37" s="40" t="n"/>
      <c r="AM37" s="40" t="n"/>
      <c r="AN37" s="40" t="n"/>
      <c r="AO37" s="40" t="n"/>
      <c r="AP37" s="40" t="n"/>
      <c r="AQ37" s="40" t="n"/>
      <c r="AR37" s="40" t="n"/>
      <c r="AS37" s="40" t="n"/>
      <c r="AT37" s="40" t="n"/>
      <c r="AU37" s="40" t="n"/>
      <c r="AV37" s="40" t="n"/>
      <c r="AW37" s="40" t="n"/>
      <c r="AX37" s="40" t="n"/>
      <c r="AY37" s="40" t="n"/>
      <c r="AZ37" s="40" t="n"/>
      <c r="BA37" s="40" t="n"/>
      <c r="BB37" s="40" t="n"/>
    </row>
    <row r="38" ht="15" customHeight="1">
      <c r="AK38" s="39" t="n"/>
    </row>
    <row r="39" ht="15" customHeight="1">
      <c r="A39" s="21" t="n"/>
      <c r="D39" s="21" t="n"/>
      <c r="E39" s="21">
        <f>"NPV of "&amp;E31</f>
        <v/>
      </c>
      <c r="G39" s="5" t="inlineStr">
        <is>
          <t>£m nominal prices</t>
        </is>
      </c>
      <c r="H39" s="21" t="inlineStr">
        <is>
          <t>CLNap</t>
        </is>
      </c>
      <c r="L39" s="33" t="n"/>
      <c r="M39" s="33" t="n"/>
      <c r="N39" s="33" t="n"/>
      <c r="O39" s="33" t="n"/>
      <c r="P39" s="37">
        <f>MMULT(L31:P31,P$16:P$20)</f>
        <v/>
      </c>
      <c r="Q39" s="37">
        <f>MMULT(M31:Q31,Q$16:Q$20)</f>
        <v/>
      </c>
      <c r="R39" s="37">
        <f>MMULT(N31:R31,R$16:R$20)</f>
        <v/>
      </c>
      <c r="S39" s="37">
        <f>MMULT(O31:S31,S$16:S$20)</f>
        <v/>
      </c>
      <c r="T39" s="37">
        <f>MMULT(P31:T31,T$16:T$20)</f>
        <v/>
      </c>
      <c r="U39" s="37">
        <f>MMULT(Q31:U31,U$16:U$20)</f>
        <v/>
      </c>
      <c r="V39" s="37">
        <f>MMULT(R31:V31,V$16:V$20)</f>
        <v/>
      </c>
      <c r="W39" s="37">
        <f>MMULT(S31:W31,W$16:W$20)</f>
        <v/>
      </c>
      <c r="X39" s="37">
        <f>MMULT(T31:X31,X$16:X$20)</f>
        <v/>
      </c>
      <c r="Y39" s="37">
        <f>MMULT(U31:Y31,Y$16:Y$20)</f>
        <v/>
      </c>
      <c r="Z39" s="37">
        <f>MMULT(V31:Z31,Z$16:Z$20)</f>
        <v/>
      </c>
      <c r="AA39" s="37">
        <f>MMULT(W31:AA31,AA$16:AA$20)</f>
        <v/>
      </c>
      <c r="AB39" s="37">
        <f>MMULT(X31:AB31,AB$16:AB$20)</f>
        <v/>
      </c>
      <c r="AC39" s="37">
        <f>MMULT(Y31:AC31,AC$16:AC$20)</f>
        <v/>
      </c>
      <c r="AD39" s="37">
        <f>MMULT(Z31:AD31,AD$16:AD$20)</f>
        <v/>
      </c>
      <c r="AE39" s="37">
        <f>MMULT(AA31:AE31,AE$16:AE$20)</f>
        <v/>
      </c>
      <c r="AF39" s="37">
        <f>MMULT(AB31:AF31,AF$16:AF$20)</f>
        <v/>
      </c>
      <c r="AG39" s="37">
        <f>MMULT(AC31:AG31,AG$16:AG$20)</f>
        <v/>
      </c>
      <c r="AH39" s="37">
        <f>MMULT(AD31:AH31,AH$16:AH$20)</f>
        <v/>
      </c>
      <c r="AI39" s="37">
        <f>MMULT(AE31:AI31,AI$16:AI$20)</f>
        <v/>
      </c>
      <c r="AJ39" s="37">
        <f>MMULT(AF31:AJ31,AJ$16:AJ$20)</f>
        <v/>
      </c>
      <c r="AK39" s="37">
        <f>MMULT(AG31:AK31,AK$16:AK$20)</f>
        <v/>
      </c>
      <c r="AL39" s="37">
        <f>MMULT(AH31:AL31,AL$16:AL$20)</f>
        <v/>
      </c>
      <c r="AM39" s="37">
        <f>MMULT(AI31:AM31,AM$16:AM$20)</f>
        <v/>
      </c>
      <c r="AN39" s="37">
        <f>MMULT(AJ31:AN31,AN$16:AN$20)</f>
        <v/>
      </c>
      <c r="AO39" s="37">
        <f>MMULT(AK31:AO31,AO$16:AO$20)</f>
        <v/>
      </c>
      <c r="AP39" s="37">
        <f>MMULT(AL31:AP31,AP$16:AP$20)</f>
        <v/>
      </c>
      <c r="AQ39" s="37">
        <f>MMULT(AM31:AQ31,AQ$16:AQ$20)</f>
        <v/>
      </c>
      <c r="AR39" s="37">
        <f>MMULT(AN31:AR31,AR$16:AR$20)</f>
        <v/>
      </c>
      <c r="AS39" s="37">
        <f>MMULT(AO31:AS31,AS$16:AS$20)</f>
        <v/>
      </c>
      <c r="AT39" s="37">
        <f>MMULT(AP31:AT31,AT$16:AT$20)</f>
        <v/>
      </c>
      <c r="AU39" s="37">
        <f>MMULT(AQ31:AU31,AU$16:AU$20)</f>
        <v/>
      </c>
      <c r="AV39" s="37">
        <f>MMULT(AR31:AV31,AV$16:AV$20)</f>
        <v/>
      </c>
      <c r="AW39" s="37">
        <f>MMULT(AS31:AW31,AW$16:AW$20)</f>
        <v/>
      </c>
      <c r="AX39" s="37">
        <f>MMULT(AT31:AX31,AX$16:AX$20)</f>
        <v/>
      </c>
      <c r="AY39" s="37">
        <f>MMULT(AU31:AY31,AY$16:AY$20)</f>
        <v/>
      </c>
      <c r="AZ39" s="37">
        <f>MMULT(AV31:AZ31,AZ$16:AZ$20)</f>
        <v/>
      </c>
      <c r="BA39" s="37">
        <f>MMULT(AW31:BA31,BA$16:BA$20)</f>
        <v/>
      </c>
      <c r="BB39" s="37">
        <f>MMULT(AX31:BB31,BB$16:BB$20)</f>
        <v/>
      </c>
    </row>
    <row r="40" ht="15" customHeight="1">
      <c r="A40" s="21" t="n"/>
      <c r="D40" s="21" t="n"/>
      <c r="E40" s="21">
        <f>"NPV of "&amp;E32</f>
        <v/>
      </c>
      <c r="G40" s="5" t="inlineStr">
        <is>
          <t>£m nominal prices</t>
        </is>
      </c>
      <c r="H40" s="21" t="inlineStr">
        <is>
          <t>ARNap</t>
        </is>
      </c>
      <c r="L40" s="33" t="n"/>
      <c r="M40" s="33" t="n"/>
      <c r="N40" s="33" t="n"/>
      <c r="O40" s="33" t="n"/>
      <c r="P40" s="37">
        <f>MMULT(L32:P32,P$16:P$20)</f>
        <v/>
      </c>
      <c r="Q40" s="37">
        <f>MMULT(M32:Q32,Q$16:Q$20)</f>
        <v/>
      </c>
      <c r="R40" s="37">
        <f>MMULT(N32:R32,R$16:R$20)</f>
        <v/>
      </c>
      <c r="S40" s="37">
        <f>MMULT(O32:S32,S$16:S$20)</f>
        <v/>
      </c>
      <c r="T40" s="37">
        <f>MMULT(P32:T32,T$16:T$20)</f>
        <v/>
      </c>
      <c r="U40" s="37">
        <f>MMULT(Q32:U32,U$16:U$20)</f>
        <v/>
      </c>
      <c r="V40" s="37">
        <f>MMULT(R32:V32,V$16:V$20)</f>
        <v/>
      </c>
      <c r="W40" s="37">
        <f>MMULT(S32:W32,W$16:W$20)</f>
        <v/>
      </c>
      <c r="X40" s="37">
        <f>MMULT(T32:X32,X$16:X$20)</f>
        <v/>
      </c>
      <c r="Y40" s="37">
        <f>MMULT(U32:Y32,Y$16:Y$20)</f>
        <v/>
      </c>
      <c r="Z40" s="37">
        <f>MMULT(V32:Z32,Z$16:Z$20)</f>
        <v/>
      </c>
      <c r="AA40" s="37">
        <f>MMULT(W32:AA32,AA$16:AA$20)</f>
        <v/>
      </c>
      <c r="AB40" s="37">
        <f>MMULT(X32:AB32,AB$16:AB$20)</f>
        <v/>
      </c>
      <c r="AC40" s="37">
        <f>MMULT(Y32:AC32,AC$16:AC$20)</f>
        <v/>
      </c>
      <c r="AD40" s="37">
        <f>MMULT(Z32:AD32,AD$16:AD$20)</f>
        <v/>
      </c>
      <c r="AE40" s="37">
        <f>MMULT(AA32:AE32,AE$16:AE$20)</f>
        <v/>
      </c>
      <c r="AF40" s="37">
        <f>MMULT(AB32:AF32,AF$16:AF$20)</f>
        <v/>
      </c>
      <c r="AG40" s="37">
        <f>MMULT(AC32:AG32,AG$16:AG$20)</f>
        <v/>
      </c>
      <c r="AH40" s="37">
        <f>MMULT(AD32:AH32,AH$16:AH$20)</f>
        <v/>
      </c>
      <c r="AI40" s="37">
        <f>MMULT(AE32:AI32,AI$16:AI$20)</f>
        <v/>
      </c>
      <c r="AJ40" s="37">
        <f>MMULT(AF32:AJ32,AJ$16:AJ$20)</f>
        <v/>
      </c>
      <c r="AK40" s="37">
        <f>MMULT(AG32:AK32,AK$16:AK$20)</f>
        <v/>
      </c>
      <c r="AL40" s="37">
        <f>MMULT(AH32:AL32,AL$16:AL$20)</f>
        <v/>
      </c>
      <c r="AM40" s="37">
        <f>MMULT(AI32:AM32,AM$16:AM$20)</f>
        <v/>
      </c>
      <c r="AN40" s="37">
        <f>MMULT(AJ32:AN32,AN$16:AN$20)</f>
        <v/>
      </c>
      <c r="AO40" s="37">
        <f>MMULT(AK32:AO32,AO$16:AO$20)</f>
        <v/>
      </c>
      <c r="AP40" s="37">
        <f>MMULT(AL32:AP32,AP$16:AP$20)</f>
        <v/>
      </c>
      <c r="AQ40" s="37">
        <f>MMULT(AM32:AQ32,AQ$16:AQ$20)</f>
        <v/>
      </c>
      <c r="AR40" s="37">
        <f>MMULT(AN32:AR32,AR$16:AR$20)</f>
        <v/>
      </c>
      <c r="AS40" s="37">
        <f>MMULT(AO32:AS32,AS$16:AS$20)</f>
        <v/>
      </c>
      <c r="AT40" s="37">
        <f>MMULT(AP32:AT32,AT$16:AT$20)</f>
        <v/>
      </c>
      <c r="AU40" s="37">
        <f>MMULT(AQ32:AU32,AU$16:AU$20)</f>
        <v/>
      </c>
      <c r="AV40" s="37">
        <f>MMULT(AR32:AV32,AV$16:AV$20)</f>
        <v/>
      </c>
      <c r="AW40" s="37">
        <f>MMULT(AS32:AW32,AW$16:AW$20)</f>
        <v/>
      </c>
      <c r="AX40" s="37">
        <f>MMULT(AT32:AX32,AX$16:AX$20)</f>
        <v/>
      </c>
      <c r="AY40" s="37">
        <f>MMULT(AU32:AY32,AY$16:AY$20)</f>
        <v/>
      </c>
      <c r="AZ40" s="37">
        <f>MMULT(AV32:AZ32,AZ$16:AZ$20)</f>
        <v/>
      </c>
      <c r="BA40" s="37">
        <f>MMULT(AW32:BA32,BA$16:BA$20)</f>
        <v/>
      </c>
      <c r="BB40" s="37">
        <f>MMULT(AX32:BB32,BB$16:BB$20)</f>
        <v/>
      </c>
    </row>
    <row r="41" ht="15" customHeight="1">
      <c r="A41" s="21" t="n"/>
      <c r="D41" s="21" t="n"/>
      <c r="E41" s="21">
        <f>"NPV of "&amp;E33</f>
        <v/>
      </c>
      <c r="G41" s="5" t="inlineStr">
        <is>
          <t>£m nominal prices</t>
        </is>
      </c>
      <c r="H41" s="21" t="inlineStr">
        <is>
          <t>FLNap</t>
        </is>
      </c>
      <c r="L41" s="33" t="n"/>
      <c r="M41" s="33" t="n"/>
      <c r="N41" s="33" t="n"/>
      <c r="O41" s="33" t="n"/>
      <c r="P41" s="37">
        <f>MMULT(L33:P33,P$16:P$20)</f>
        <v/>
      </c>
      <c r="Q41" s="37">
        <f>MMULT(M33:Q33,Q$16:Q$20)</f>
        <v/>
      </c>
      <c r="R41" s="37">
        <f>MMULT(N33:R33,R$16:R$20)</f>
        <v/>
      </c>
      <c r="S41" s="37">
        <f>MMULT(O33:S33,S$16:S$20)</f>
        <v/>
      </c>
      <c r="T41" s="37">
        <f>MMULT(P33:T33,T$16:T$20)</f>
        <v/>
      </c>
      <c r="U41" s="37">
        <f>MMULT(Q33:U33,U$16:U$20)</f>
        <v/>
      </c>
      <c r="V41" s="37">
        <f>MMULT(R33:V33,V$16:V$20)</f>
        <v/>
      </c>
      <c r="W41" s="37">
        <f>MMULT(S33:W33,W$16:W$20)</f>
        <v/>
      </c>
      <c r="X41" s="37">
        <f>MMULT(T33:X33,X$16:X$20)</f>
        <v/>
      </c>
      <c r="Y41" s="37">
        <f>MMULT(U33:Y33,Y$16:Y$20)</f>
        <v/>
      </c>
      <c r="Z41" s="37">
        <f>MMULT(V33:Z33,Z$16:Z$20)</f>
        <v/>
      </c>
      <c r="AA41" s="37">
        <f>MMULT(W33:AA33,AA$16:AA$20)</f>
        <v/>
      </c>
      <c r="AB41" s="37">
        <f>MMULT(X33:AB33,AB$16:AB$20)</f>
        <v/>
      </c>
      <c r="AC41" s="37">
        <f>MMULT(Y33:AC33,AC$16:AC$20)</f>
        <v/>
      </c>
      <c r="AD41" s="37">
        <f>MMULT(Z33:AD33,AD$16:AD$20)</f>
        <v/>
      </c>
      <c r="AE41" s="37">
        <f>MMULT(AA33:AE33,AE$16:AE$20)</f>
        <v/>
      </c>
      <c r="AF41" s="37">
        <f>MMULT(AB33:AF33,AF$16:AF$20)</f>
        <v/>
      </c>
      <c r="AG41" s="37">
        <f>MMULT(AC33:AG33,AG$16:AG$20)</f>
        <v/>
      </c>
      <c r="AH41" s="37">
        <f>MMULT(AD33:AH33,AH$16:AH$20)</f>
        <v/>
      </c>
      <c r="AI41" s="37">
        <f>MMULT(AE33:AI33,AI$16:AI$20)</f>
        <v/>
      </c>
      <c r="AJ41" s="37">
        <f>MMULT(AF33:AJ33,AJ$16:AJ$20)</f>
        <v/>
      </c>
      <c r="AK41" s="37">
        <f>MMULT(AG33:AK33,AK$16:AK$20)</f>
        <v/>
      </c>
      <c r="AL41" s="37">
        <f>MMULT(AH33:AL33,AL$16:AL$20)</f>
        <v/>
      </c>
      <c r="AM41" s="37">
        <f>MMULT(AI33:AM33,AM$16:AM$20)</f>
        <v/>
      </c>
      <c r="AN41" s="37">
        <f>MMULT(AJ33:AN33,AN$16:AN$20)</f>
        <v/>
      </c>
      <c r="AO41" s="37">
        <f>MMULT(AK33:AO33,AO$16:AO$20)</f>
        <v/>
      </c>
      <c r="AP41" s="37">
        <f>MMULT(AL33:AP33,AP$16:AP$20)</f>
        <v/>
      </c>
      <c r="AQ41" s="37">
        <f>MMULT(AM33:AQ33,AQ$16:AQ$20)</f>
        <v/>
      </c>
      <c r="AR41" s="37">
        <f>MMULT(AN33:AR33,AR$16:AR$20)</f>
        <v/>
      </c>
      <c r="AS41" s="37">
        <f>MMULT(AO33:AS33,AS$16:AS$20)</f>
        <v/>
      </c>
      <c r="AT41" s="37">
        <f>MMULT(AP33:AT33,AT$16:AT$20)</f>
        <v/>
      </c>
      <c r="AU41" s="37">
        <f>MMULT(AQ33:AU33,AU$16:AU$20)</f>
        <v/>
      </c>
      <c r="AV41" s="37">
        <f>MMULT(AR33:AV33,AV$16:AV$20)</f>
        <v/>
      </c>
      <c r="AW41" s="37">
        <f>MMULT(AS33:AW33,AW$16:AW$20)</f>
        <v/>
      </c>
      <c r="AX41" s="37">
        <f>MMULT(AT33:AX33,AX$16:AX$20)</f>
        <v/>
      </c>
      <c r="AY41" s="37">
        <f>MMULT(AU33:AY33,AY$16:AY$20)</f>
        <v/>
      </c>
      <c r="AZ41" s="37">
        <f>MMULT(AV33:AZ33,AZ$16:AZ$20)</f>
        <v/>
      </c>
      <c r="BA41" s="37">
        <f>MMULT(AW33:BA33,BA$16:BA$20)</f>
        <v/>
      </c>
      <c r="BB41" s="37">
        <f>MMULT(AX33:BB33,BB$16:BB$20)</f>
        <v/>
      </c>
    </row>
    <row r="42" ht="15" customHeight="1">
      <c r="A42" s="21" t="n"/>
      <c r="D42" s="21" t="n"/>
      <c r="E42" s="21">
        <f>"NPV of "&amp;E34</f>
        <v/>
      </c>
      <c r="G42" s="5" t="inlineStr">
        <is>
          <t>£m nominal prices</t>
        </is>
      </c>
      <c r="H42" s="21" t="inlineStr">
        <is>
          <t>ARNap</t>
        </is>
      </c>
      <c r="L42" s="33" t="n"/>
      <c r="M42" s="33" t="n"/>
      <c r="N42" s="33" t="n"/>
      <c r="O42" s="33" t="n"/>
      <c r="P42" s="37">
        <f>MMULT(L34:P34,P$16:P$20)</f>
        <v/>
      </c>
      <c r="Q42" s="37">
        <f>MMULT(M34:Q34,Q$16:Q$20)</f>
        <v/>
      </c>
      <c r="R42" s="37">
        <f>MMULT(N34:R34,R$16:R$20)</f>
        <v/>
      </c>
      <c r="S42" s="37">
        <f>MMULT(O34:S34,S$16:S$20)</f>
        <v/>
      </c>
      <c r="T42" s="37">
        <f>MMULT(P34:T34,T$16:T$20)</f>
        <v/>
      </c>
      <c r="U42" s="37">
        <f>MMULT(Q34:U34,U$16:U$20)</f>
        <v/>
      </c>
      <c r="V42" s="37">
        <f>MMULT(R34:V34,V$16:V$20)</f>
        <v/>
      </c>
      <c r="W42" s="37">
        <f>MMULT(S34:W34,W$16:W$20)</f>
        <v/>
      </c>
      <c r="X42" s="37">
        <f>MMULT(T34:X34,X$16:X$20)</f>
        <v/>
      </c>
      <c r="Y42" s="37">
        <f>MMULT(U34:Y34,Y$16:Y$20)</f>
        <v/>
      </c>
      <c r="Z42" s="37">
        <f>MMULT(V34:Z34,Z$16:Z$20)</f>
        <v/>
      </c>
      <c r="AA42" s="37">
        <f>MMULT(W34:AA34,AA$16:AA$20)</f>
        <v/>
      </c>
      <c r="AB42" s="37">
        <f>MMULT(X34:AB34,AB$16:AB$20)</f>
        <v/>
      </c>
      <c r="AC42" s="37">
        <f>MMULT(Y34:AC34,AC$16:AC$20)</f>
        <v/>
      </c>
      <c r="AD42" s="37">
        <f>MMULT(Z34:AD34,AD$16:AD$20)</f>
        <v/>
      </c>
      <c r="AE42" s="37">
        <f>MMULT(AA34:AE34,AE$16:AE$20)</f>
        <v/>
      </c>
      <c r="AF42" s="37">
        <f>MMULT(AB34:AF34,AF$16:AF$20)</f>
        <v/>
      </c>
      <c r="AG42" s="37">
        <f>MMULT(AC34:AG34,AG$16:AG$20)</f>
        <v/>
      </c>
      <c r="AH42" s="37">
        <f>MMULT(AD34:AH34,AH$16:AH$20)</f>
        <v/>
      </c>
      <c r="AI42" s="37">
        <f>MMULT(AE34:AI34,AI$16:AI$20)</f>
        <v/>
      </c>
      <c r="AJ42" s="37">
        <f>MMULT(AF34:AJ34,AJ$16:AJ$20)</f>
        <v/>
      </c>
      <c r="AK42" s="37">
        <f>MMULT(AG34:AK34,AK$16:AK$20)</f>
        <v/>
      </c>
      <c r="AL42" s="37">
        <f>MMULT(AH34:AL34,AL$16:AL$20)</f>
        <v/>
      </c>
      <c r="AM42" s="37">
        <f>MMULT(AI34:AM34,AM$16:AM$20)</f>
        <v/>
      </c>
      <c r="AN42" s="37">
        <f>MMULT(AJ34:AN34,AN$16:AN$20)</f>
        <v/>
      </c>
      <c r="AO42" s="37">
        <f>MMULT(AK34:AO34,AO$16:AO$20)</f>
        <v/>
      </c>
      <c r="AP42" s="37">
        <f>MMULT(AL34:AP34,AP$16:AP$20)</f>
        <v/>
      </c>
      <c r="AQ42" s="37">
        <f>MMULT(AM34:AQ34,AQ$16:AQ$20)</f>
        <v/>
      </c>
      <c r="AR42" s="37">
        <f>MMULT(AN34:AR34,AR$16:AR$20)</f>
        <v/>
      </c>
      <c r="AS42" s="37">
        <f>MMULT(AO34:AS34,AS$16:AS$20)</f>
        <v/>
      </c>
      <c r="AT42" s="37">
        <f>MMULT(AP34:AT34,AT$16:AT$20)</f>
        <v/>
      </c>
      <c r="AU42" s="37">
        <f>MMULT(AQ34:AU34,AU$16:AU$20)</f>
        <v/>
      </c>
      <c r="AV42" s="37">
        <f>MMULT(AR34:AV34,AV$16:AV$20)</f>
        <v/>
      </c>
      <c r="AW42" s="37">
        <f>MMULT(AS34:AW34,AW$16:AW$20)</f>
        <v/>
      </c>
      <c r="AX42" s="37">
        <f>MMULT(AT34:AX34,AX$16:AX$20)</f>
        <v/>
      </c>
      <c r="AY42" s="37">
        <f>MMULT(AU34:AY34,AY$16:AY$20)</f>
        <v/>
      </c>
      <c r="AZ42" s="37">
        <f>MMULT(AV34:AZ34,AZ$16:AZ$20)</f>
        <v/>
      </c>
      <c r="BA42" s="37">
        <f>MMULT(AW34:BA34,BA$16:BA$20)</f>
        <v/>
      </c>
      <c r="BB42" s="37">
        <f>MMULT(AX34:BB34,BB$16:BB$20)</f>
        <v/>
      </c>
    </row>
    <row r="43" ht="15" customHeight="1">
      <c r="A43" s="21" t="n"/>
      <c r="D43" s="21" t="n"/>
      <c r="E43" s="21">
        <f>"NPV of "&amp;E35</f>
        <v/>
      </c>
      <c r="G43" s="5" t="inlineStr">
        <is>
          <t>£m nominal prices</t>
        </is>
      </c>
      <c r="H43" s="21" t="inlineStr">
        <is>
          <t>WPANap</t>
        </is>
      </c>
      <c r="L43" s="33" t="n"/>
      <c r="M43" s="33" t="n"/>
      <c r="N43" s="33" t="n"/>
      <c r="O43" s="33" t="n"/>
      <c r="P43" s="37">
        <f>MMULT(L35:P35,P$16:P$20)</f>
        <v/>
      </c>
      <c r="Q43" s="37">
        <f>MMULT(M35:Q35,Q$16:Q$20)</f>
        <v/>
      </c>
      <c r="R43" s="37">
        <f>MMULT(N35:R35,R$16:R$20)</f>
        <v/>
      </c>
      <c r="S43" s="37">
        <f>MMULT(O35:S35,S$16:S$20)</f>
        <v/>
      </c>
      <c r="T43" s="37">
        <f>MMULT(P35:T35,T$16:T$20)</f>
        <v/>
      </c>
      <c r="U43" s="37">
        <f>MMULT(Q35:U35,U$16:U$20)</f>
        <v/>
      </c>
      <c r="V43" s="37">
        <f>MMULT(R35:V35,V$16:V$20)</f>
        <v/>
      </c>
      <c r="W43" s="37">
        <f>MMULT(S35:W35,W$16:W$20)</f>
        <v/>
      </c>
      <c r="X43" s="37">
        <f>MMULT(T35:X35,X$16:X$20)</f>
        <v/>
      </c>
      <c r="Y43" s="37">
        <f>MMULT(U35:Y35,Y$16:Y$20)</f>
        <v/>
      </c>
      <c r="Z43" s="37">
        <f>MMULT(V35:Z35,Z$16:Z$20)</f>
        <v/>
      </c>
      <c r="AA43" s="37">
        <f>MMULT(W35:AA35,AA$16:AA$20)</f>
        <v/>
      </c>
      <c r="AB43" s="37">
        <f>MMULT(X35:AB35,AB$16:AB$20)</f>
        <v/>
      </c>
      <c r="AC43" s="37">
        <f>MMULT(Y35:AC35,AC$16:AC$20)</f>
        <v/>
      </c>
      <c r="AD43" s="37">
        <f>MMULT(Z35:AD35,AD$16:AD$20)</f>
        <v/>
      </c>
      <c r="AE43" s="37">
        <f>MMULT(AA35:AE35,AE$16:AE$20)</f>
        <v/>
      </c>
      <c r="AF43" s="37">
        <f>MMULT(AB35:AF35,AF$16:AF$20)</f>
        <v/>
      </c>
      <c r="AG43" s="37">
        <f>MMULT(AC35:AG35,AG$16:AG$20)</f>
        <v/>
      </c>
      <c r="AH43" s="37">
        <f>MMULT(AD35:AH35,AH$16:AH$20)</f>
        <v/>
      </c>
      <c r="AI43" s="37">
        <f>MMULT(AE35:AI35,AI$16:AI$20)</f>
        <v/>
      </c>
      <c r="AJ43" s="37">
        <f>MMULT(AF35:AJ35,AJ$16:AJ$20)</f>
        <v/>
      </c>
      <c r="AK43" s="37">
        <f>MMULT(AG35:AK35,AK$16:AK$20)</f>
        <v/>
      </c>
      <c r="AL43" s="37">
        <f>MMULT(AH35:AL35,AL$16:AL$20)</f>
        <v/>
      </c>
      <c r="AM43" s="37">
        <f>MMULT(AI35:AM35,AM$16:AM$20)</f>
        <v/>
      </c>
      <c r="AN43" s="37">
        <f>MMULT(AJ35:AN35,AN$16:AN$20)</f>
        <v/>
      </c>
      <c r="AO43" s="37">
        <f>MMULT(AK35:AO35,AO$16:AO$20)</f>
        <v/>
      </c>
      <c r="AP43" s="37">
        <f>MMULT(AL35:AP35,AP$16:AP$20)</f>
        <v/>
      </c>
      <c r="AQ43" s="37">
        <f>MMULT(AM35:AQ35,AQ$16:AQ$20)</f>
        <v/>
      </c>
      <c r="AR43" s="37">
        <f>MMULT(AN35:AR35,AR$16:AR$20)</f>
        <v/>
      </c>
      <c r="AS43" s="37">
        <f>MMULT(AO35:AS35,AS$16:AS$20)</f>
        <v/>
      </c>
      <c r="AT43" s="37">
        <f>MMULT(AP35:AT35,AT$16:AT$20)</f>
        <v/>
      </c>
      <c r="AU43" s="37">
        <f>MMULT(AQ35:AU35,AU$16:AU$20)</f>
        <v/>
      </c>
      <c r="AV43" s="37">
        <f>MMULT(AR35:AV35,AV$16:AV$20)</f>
        <v/>
      </c>
      <c r="AW43" s="37">
        <f>MMULT(AS35:AW35,AW$16:AW$20)</f>
        <v/>
      </c>
      <c r="AX43" s="37">
        <f>MMULT(AT35:AX35,AX$16:AX$20)</f>
        <v/>
      </c>
      <c r="AY43" s="37">
        <f>MMULT(AU35:AY35,AY$16:AY$20)</f>
        <v/>
      </c>
      <c r="AZ43" s="37">
        <f>MMULT(AV35:AZ35,AZ$16:AZ$20)</f>
        <v/>
      </c>
      <c r="BA43" s="37">
        <f>MMULT(AW35:BA35,BA$16:BA$20)</f>
        <v/>
      </c>
      <c r="BB43" s="37">
        <f>MMULT(AX35:BB35,BB$16:BB$20)</f>
        <v/>
      </c>
    </row>
    <row r="44" ht="15" customHeight="1">
      <c r="A44" s="21" t="n"/>
      <c r="D44" s="21" t="n"/>
      <c r="O44" s="34" t="n"/>
      <c r="P44" s="34" t="n"/>
      <c r="Q44" s="34" t="n"/>
      <c r="R44" s="34" t="n"/>
      <c r="S44" s="34" t="n"/>
      <c r="T44" s="34" t="n"/>
      <c r="U44" s="34" t="n"/>
      <c r="V44" s="34" t="n"/>
      <c r="W44" s="34" t="n"/>
      <c r="X44" s="34" t="n"/>
      <c r="Y44" s="34" t="n"/>
      <c r="Z44" s="34" t="n"/>
      <c r="AA44" s="34" t="n"/>
      <c r="AB44" s="34" t="n"/>
      <c r="AC44" s="34" t="n"/>
      <c r="AD44" s="34" t="n"/>
      <c r="AE44" s="68" t="n"/>
      <c r="AF44" s="68" t="n"/>
      <c r="AG44" s="68" t="n"/>
      <c r="AH44" s="68" t="n"/>
      <c r="AI44" s="68" t="n"/>
      <c r="AJ44" s="68" t="n"/>
      <c r="AK44" s="68" t="n"/>
      <c r="AL44" s="68" t="n"/>
      <c r="AM44" s="68" t="n"/>
      <c r="AN44" s="68" t="n"/>
      <c r="AO44" s="68" t="n"/>
      <c r="AP44" s="68" t="n"/>
      <c r="AQ44" s="68" t="n"/>
      <c r="AR44" s="68" t="n"/>
      <c r="AS44" s="68" t="n"/>
      <c r="AT44" s="68" t="n"/>
      <c r="AU44" s="68" t="n"/>
      <c r="AV44" s="68" t="n"/>
      <c r="AW44" s="68" t="n"/>
      <c r="AX44" s="68" t="n"/>
      <c r="AY44" s="68" t="n"/>
      <c r="AZ44" s="68" t="n"/>
      <c r="BA44" s="68" t="n"/>
      <c r="BB44" s="68" t="n"/>
    </row>
    <row r="45" ht="15" customFormat="1" customHeight="1" s="63">
      <c r="C45" s="40" t="inlineStr">
        <is>
          <t>Assessed adjustment</t>
        </is>
      </c>
      <c r="D45" s="40" t="n"/>
      <c r="E45" s="40" t="n"/>
      <c r="F45" s="40" t="n"/>
      <c r="G45" s="40" t="n"/>
      <c r="H45" s="40" t="n"/>
      <c r="I45" s="40" t="n"/>
      <c r="J45" s="40" t="n"/>
      <c r="K45" s="40" t="n"/>
      <c r="L45" s="40" t="n"/>
      <c r="M45" s="40" t="n"/>
      <c r="N45" s="40" t="n"/>
      <c r="O45" s="40" t="n"/>
      <c r="P45" s="40" t="n"/>
      <c r="Q45" s="40" t="n"/>
      <c r="R45" s="40" t="n"/>
      <c r="S45" s="40" t="n"/>
      <c r="T45" s="40" t="n"/>
      <c r="U45" s="40" t="n"/>
      <c r="V45" s="40" t="n"/>
      <c r="W45" s="40" t="n"/>
      <c r="X45" s="40" t="n"/>
      <c r="Y45" s="40" t="n"/>
      <c r="Z45" s="40" t="n"/>
      <c r="AA45" s="40" t="n"/>
      <c r="AB45" s="40" t="n"/>
      <c r="AC45" s="40" t="n"/>
      <c r="AD45" s="40" t="n"/>
      <c r="AE45" s="40" t="n"/>
      <c r="AF45" s="40" t="n"/>
      <c r="AG45" s="40" t="n"/>
      <c r="AH45" s="40" t="n"/>
      <c r="AI45" s="40" t="n"/>
      <c r="AJ45" s="40" t="n"/>
      <c r="AK45" s="40" t="n"/>
      <c r="AL45" s="40" t="n"/>
      <c r="AM45" s="40" t="n"/>
      <c r="AN45" s="40" t="n"/>
      <c r="AO45" s="40" t="n"/>
      <c r="AP45" s="40" t="n"/>
      <c r="AQ45" s="40" t="n"/>
      <c r="AR45" s="40" t="n"/>
      <c r="AS45" s="40" t="n"/>
      <c r="AT45" s="40" t="n"/>
      <c r="AU45" s="40" t="n"/>
      <c r="AV45" s="40" t="n"/>
      <c r="AW45" s="40" t="n"/>
      <c r="AX45" s="40" t="n"/>
      <c r="AY45" s="40" t="n"/>
      <c r="AZ45" s="40" t="n"/>
      <c r="BA45" s="40" t="n"/>
      <c r="BB45" s="40" t="n"/>
    </row>
    <row r="46" ht="15" customHeight="1">
      <c r="A46" s="5" t="n"/>
      <c r="B46" s="5" t="n"/>
      <c r="C46" s="5" t="n"/>
      <c r="D46" s="5" t="n"/>
      <c r="E46" s="5" t="n"/>
      <c r="F46" s="5" t="n"/>
      <c r="G46" s="5" t="n"/>
      <c r="H46" s="5" t="n"/>
      <c r="I46" s="5" t="n"/>
      <c r="J46" s="5" t="n"/>
      <c r="K46" s="5" t="n"/>
      <c r="L46" s="5" t="n"/>
      <c r="M46" s="5" t="n"/>
      <c r="N46" s="5" t="n"/>
      <c r="O46" s="5" t="n"/>
      <c r="P46" s="5" t="n"/>
      <c r="Q46" s="5" t="n"/>
      <c r="R46" s="5" t="n"/>
      <c r="S46" s="5" t="n"/>
      <c r="T46" s="5" t="n"/>
      <c r="U46" s="5" t="n"/>
      <c r="V46" s="5" t="n"/>
      <c r="W46" s="5" t="n"/>
      <c r="X46" s="5" t="n"/>
      <c r="Y46" s="5" t="n"/>
      <c r="Z46" s="5" t="n"/>
      <c r="AD46" s="68" t="n"/>
      <c r="AE46" s="68" t="n"/>
      <c r="AF46" s="68" t="n"/>
      <c r="AG46" s="68" t="n"/>
      <c r="AH46" s="68" t="n"/>
      <c r="AI46" s="68" t="n"/>
      <c r="AJ46" s="68" t="n"/>
      <c r="AK46" s="68" t="n"/>
      <c r="AL46" s="68" t="n"/>
      <c r="AM46" s="68" t="n"/>
      <c r="AN46" s="68" t="n"/>
      <c r="AO46" s="68" t="n"/>
      <c r="AP46" s="68" t="n"/>
      <c r="AQ46" s="68" t="n"/>
      <c r="AR46" s="68" t="n"/>
      <c r="AS46" s="68" t="n"/>
      <c r="AT46" s="68" t="n"/>
      <c r="AU46" s="68" t="n"/>
      <c r="AV46" s="68" t="n"/>
      <c r="AW46" s="68" t="n"/>
      <c r="AX46" s="68" t="n"/>
      <c r="AY46" s="68" t="n"/>
      <c r="AZ46" s="68" t="n"/>
      <c r="BA46" s="68" t="n"/>
      <c r="BB46" s="68" t="n"/>
    </row>
    <row r="47" ht="15" customHeight="1">
      <c r="A47" s="21" t="n"/>
      <c r="D47" s="21" t="n"/>
      <c r="E47" s="12">
        <f>Inputs!E76</f>
        <v/>
      </c>
      <c r="F47" s="18" t="n"/>
      <c r="G47" s="12">
        <f>Inputs!G76</f>
        <v/>
      </c>
      <c r="I47" s="12">
        <f>Inputs!I76</f>
        <v/>
      </c>
      <c r="W47" s="68" t="n"/>
      <c r="X47" s="68" t="n"/>
      <c r="Y47" s="68" t="n"/>
      <c r="Z47" s="68" t="n"/>
      <c r="AA47" s="68" t="n"/>
      <c r="AB47" s="68" t="n"/>
      <c r="AC47" s="68" t="n"/>
      <c r="AD47" s="68" t="n"/>
      <c r="AE47" s="68" t="n"/>
      <c r="AF47" s="68" t="n"/>
      <c r="AG47" s="68" t="n"/>
      <c r="AH47" s="68" t="n"/>
      <c r="AI47" s="68" t="n"/>
      <c r="AJ47" s="68" t="n"/>
      <c r="AK47" s="68" t="n"/>
      <c r="AL47" s="68" t="n"/>
      <c r="AM47" s="68" t="n"/>
      <c r="AN47" s="68" t="n"/>
      <c r="AO47" s="68" t="n"/>
      <c r="AP47" s="68" t="n"/>
      <c r="AQ47" s="68" t="n"/>
      <c r="AR47" s="68" t="n"/>
      <c r="AS47" s="68" t="n"/>
      <c r="AT47" s="68" t="n"/>
      <c r="AU47" s="68" t="n"/>
      <c r="AV47" s="68" t="n"/>
      <c r="AW47" s="68" t="n"/>
      <c r="AX47" s="68" t="n"/>
      <c r="AY47" s="68" t="n"/>
      <c r="AZ47" s="68" t="n"/>
      <c r="BA47" s="68" t="n"/>
      <c r="BB47" s="68" t="n"/>
    </row>
    <row r="48" ht="15" customHeight="1">
      <c r="A48" s="21" t="n"/>
      <c r="D48" s="21" t="n"/>
      <c r="E48" s="21" t="inlineStr">
        <is>
          <t>Assessment year flag</t>
        </is>
      </c>
      <c r="G48" s="21" t="inlineStr">
        <is>
          <t>flag</t>
        </is>
      </c>
      <c r="L48" s="33" t="n"/>
      <c r="M48" s="33" t="n"/>
      <c r="N48" s="33" t="n"/>
      <c r="O48" s="33" t="n"/>
      <c r="P48" s="12">
        <f>AND(MOD(P$5,$I47)=0,P$5&gt;=$I47)</f>
        <v/>
      </c>
      <c r="Q48" s="12">
        <f>AND(MOD(Q$5,$I47)=0,Q$5&gt;=$I47)</f>
        <v/>
      </c>
      <c r="R48" s="12">
        <f>AND(MOD(R$5,$I47)=0,R$5&gt;=$I47)</f>
        <v/>
      </c>
      <c r="S48" s="12">
        <f>AND(MOD(S$5,$I47)=0,S$5&gt;=$I47)</f>
        <v/>
      </c>
      <c r="T48" s="12">
        <f>AND(MOD(T$5,$I47)=0,T$5&gt;=$I47)</f>
        <v/>
      </c>
      <c r="U48" s="12">
        <f>AND(MOD(U$5,$I47)=0,U$5&gt;=$I47)</f>
        <v/>
      </c>
      <c r="V48" s="12">
        <f>AND(MOD(V$5,$I47)=0,V$5&gt;=$I47)</f>
        <v/>
      </c>
      <c r="W48" s="12">
        <f>AND(MOD(W$5,$I47)=0,W$5&gt;=$I47)</f>
        <v/>
      </c>
      <c r="X48" s="12">
        <f>AND(MOD(X$5,$I47)=0,X$5&gt;=$I47)</f>
        <v/>
      </c>
      <c r="Y48" s="12">
        <f>AND(MOD(Y$5,$I47)=0,Y$5&gt;=$I47)</f>
        <v/>
      </c>
      <c r="Z48" s="12">
        <f>AND(MOD(Z$5,$I47)=0,Z$5&gt;=$I47)</f>
        <v/>
      </c>
      <c r="AA48" s="12">
        <f>AND(MOD(AA$5,$I47)=0,AA$5&gt;=$I47)</f>
        <v/>
      </c>
      <c r="AB48" s="12">
        <f>AND(MOD(AB$5,$I47)=0,AB$5&gt;=$I47)</f>
        <v/>
      </c>
      <c r="AC48" s="12">
        <f>AND(MOD(AC$5,$I47)=0,AC$5&gt;=$I47)</f>
        <v/>
      </c>
      <c r="AD48" s="12">
        <f>AND(MOD(AD$5,$I47)=0,AD$5&gt;=$I47)</f>
        <v/>
      </c>
      <c r="AE48" s="12">
        <f>AND(MOD(AE$5,$I47)=0,AE$5&gt;=$I47)</f>
        <v/>
      </c>
      <c r="AF48" s="12">
        <f>AND(MOD(AF$5,$I47)=0,AF$5&gt;=$I47)</f>
        <v/>
      </c>
      <c r="AG48" s="12">
        <f>AND(MOD(AG$5,$I47)=0,AG$5&gt;=$I47)</f>
        <v/>
      </c>
      <c r="AH48" s="12">
        <f>AND(MOD(AH$5,$I47)=0,AH$5&gt;=$I47)</f>
        <v/>
      </c>
      <c r="AI48" s="12">
        <f>AND(MOD(AI$5,$I47)=0,AI$5&gt;=$I47)</f>
        <v/>
      </c>
      <c r="AJ48" s="12">
        <f>AND(MOD(AJ$5,$I47)=0,AJ$5&gt;=$I47)</f>
        <v/>
      </c>
      <c r="AK48" s="12">
        <f>AND(MOD(AK$5,$I47)=0,AK$5&gt;=$I47)</f>
        <v/>
      </c>
      <c r="AL48" s="12">
        <f>AND(MOD(AL$5,$I47)=0,AL$5&gt;=$I47)</f>
        <v/>
      </c>
      <c r="AM48" s="12">
        <f>AND(MOD(AM$5,$I47)=0,AM$5&gt;=$I47)</f>
        <v/>
      </c>
      <c r="AN48" s="12">
        <f>AND(MOD(AN$5,$I47)=0,AN$5&gt;=$I47)</f>
        <v/>
      </c>
      <c r="AO48" s="12">
        <f>AND(MOD(AO$5,$I47)=0,AO$5&gt;=$I47)</f>
        <v/>
      </c>
      <c r="AP48" s="12">
        <f>AND(MOD(AP$5,$I47)=0,AP$5&gt;=$I47)</f>
        <v/>
      </c>
      <c r="AQ48" s="12">
        <f>AND(MOD(AQ$5,$I47)=0,AQ$5&gt;=$I47)</f>
        <v/>
      </c>
      <c r="AR48" s="12">
        <f>AND(MOD(AR$5,$I47)=0,AR$5&gt;=$I47)</f>
        <v/>
      </c>
      <c r="AS48" s="12">
        <f>AND(MOD(AS$5,$I47)=0,AS$5&gt;=$I47)</f>
        <v/>
      </c>
      <c r="AT48" s="12">
        <f>AND(MOD(AT$5,$I47)=0,AT$5&gt;=$I47)</f>
        <v/>
      </c>
      <c r="AU48" s="12">
        <f>AND(MOD(AU$5,$I47)=0,AU$5&gt;=$I47)</f>
        <v/>
      </c>
      <c r="AV48" s="12">
        <f>AND(MOD(AV$5,$I47)=0,AV$5&gt;=$I47)</f>
        <v/>
      </c>
      <c r="AW48" s="12">
        <f>AND(MOD(AW$5,$I47)=0,AW$5&gt;=$I47)</f>
        <v/>
      </c>
      <c r="AX48" s="12">
        <f>AND(MOD(AX$5,$I47)=0,AX$5&gt;=$I47)</f>
        <v/>
      </c>
      <c r="AY48" s="12">
        <f>AND(MOD(AY$5,$I47)=0,AY$5&gt;=$I47)</f>
        <v/>
      </c>
      <c r="AZ48" s="12">
        <f>AND(MOD(AZ$5,$I47)=0,AZ$5&gt;=$I47)</f>
        <v/>
      </c>
      <c r="BA48" s="12">
        <f>AND(MOD(BA$5,$I47)=0,BA$5&gt;=$I47)</f>
        <v/>
      </c>
      <c r="BB48" s="12">
        <f>AND(MOD(BB$5,$I47)=0,BB$5&gt;=$I47)</f>
        <v/>
      </c>
    </row>
    <row r="49" ht="15" customHeight="1"/>
    <row r="50" ht="15" customHeight="1">
      <c r="E50" s="21" t="inlineStr">
        <is>
          <t>Relevant revenue at Cap</t>
        </is>
      </c>
      <c r="G50" s="5" t="inlineStr">
        <is>
          <t>£m nominal prices</t>
        </is>
      </c>
      <c r="H50" s="21" t="inlineStr">
        <is>
          <t>RRACap</t>
        </is>
      </c>
      <c r="L50" s="33" t="n"/>
      <c r="M50" s="33" t="n"/>
      <c r="N50" s="33" t="n"/>
      <c r="O50" s="33" t="n"/>
      <c r="P50" s="5">
        <f>P40-P39</f>
        <v/>
      </c>
      <c r="Q50" s="5">
        <f>Q40-Q39</f>
        <v/>
      </c>
      <c r="R50" s="5">
        <f>R40-R39</f>
        <v/>
      </c>
      <c r="S50" s="5">
        <f>S40-S39</f>
        <v/>
      </c>
      <c r="T50" s="5">
        <f>T40-T39</f>
        <v/>
      </c>
      <c r="U50" s="5">
        <f>U40-U39</f>
        <v/>
      </c>
      <c r="V50" s="5">
        <f>V40-V39</f>
        <v/>
      </c>
      <c r="W50" s="5">
        <f>W40-W39</f>
        <v/>
      </c>
      <c r="X50" s="5">
        <f>X40-X39</f>
        <v/>
      </c>
      <c r="Y50" s="5">
        <f>Y40-Y39</f>
        <v/>
      </c>
      <c r="Z50" s="5">
        <f>Z40-Z39</f>
        <v/>
      </c>
      <c r="AA50" s="5">
        <f>AA40-AA39</f>
        <v/>
      </c>
      <c r="AB50" s="5">
        <f>AB40-AB39</f>
        <v/>
      </c>
      <c r="AC50" s="5">
        <f>AC40-AC39</f>
        <v/>
      </c>
      <c r="AD50" s="5">
        <f>AD40-AD39</f>
        <v/>
      </c>
      <c r="AE50" s="5">
        <f>AE40-AE39</f>
        <v/>
      </c>
      <c r="AF50" s="5">
        <f>AF40-AF39</f>
        <v/>
      </c>
      <c r="AG50" s="5">
        <f>AG40-AG39</f>
        <v/>
      </c>
      <c r="AH50" s="5">
        <f>AH40-AH39</f>
        <v/>
      </c>
      <c r="AI50" s="5">
        <f>AI40-AI39</f>
        <v/>
      </c>
      <c r="AJ50" s="5">
        <f>AJ40-AJ39</f>
        <v/>
      </c>
      <c r="AK50" s="5">
        <f>AK40-AK39</f>
        <v/>
      </c>
      <c r="AL50" s="5">
        <f>AL40-AL39</f>
        <v/>
      </c>
      <c r="AM50" s="5">
        <f>AM40-AM39</f>
        <v/>
      </c>
      <c r="AN50" s="5">
        <f>AN40-AN39</f>
        <v/>
      </c>
      <c r="AO50" s="5">
        <f>AO40-AO39</f>
        <v/>
      </c>
      <c r="AP50" s="5">
        <f>AP40-AP39</f>
        <v/>
      </c>
      <c r="AQ50" s="5">
        <f>AQ40-AQ39</f>
        <v/>
      </c>
      <c r="AR50" s="5">
        <f>AR40-AR39</f>
        <v/>
      </c>
      <c r="AS50" s="5">
        <f>AS40-AS39</f>
        <v/>
      </c>
      <c r="AT50" s="5">
        <f>AT40-AT39</f>
        <v/>
      </c>
      <c r="AU50" s="5">
        <f>AU40-AU39</f>
        <v/>
      </c>
      <c r="AV50" s="5">
        <f>AV40-AV39</f>
        <v/>
      </c>
      <c r="AW50" s="5">
        <f>AW40-AW39</f>
        <v/>
      </c>
      <c r="AX50" s="5">
        <f>AX40-AX39</f>
        <v/>
      </c>
      <c r="AY50" s="5">
        <f>AY40-AY39</f>
        <v/>
      </c>
      <c r="AZ50" s="5">
        <f>AZ40-AZ39</f>
        <v/>
      </c>
      <c r="BA50" s="5">
        <f>BA40-BA39</f>
        <v/>
      </c>
      <c r="BB50" s="5">
        <f>BB40-BB39</f>
        <v/>
      </c>
    </row>
    <row r="51" ht="15" customHeight="1">
      <c r="E51" s="21" t="inlineStr">
        <is>
          <t>Revenue excess at Cap</t>
        </is>
      </c>
      <c r="G51" s="5" t="inlineStr">
        <is>
          <t>£m nominal prices</t>
        </is>
      </c>
      <c r="H51" s="21" t="inlineStr">
        <is>
          <t>RECap</t>
        </is>
      </c>
      <c r="L51" s="33" t="n"/>
      <c r="M51" s="33" t="n"/>
      <c r="N51" s="33" t="n"/>
      <c r="O51" s="33" t="n"/>
      <c r="P51" s="5">
        <f>IF(P50&gt;0,P50,0)</f>
        <v/>
      </c>
      <c r="Q51" s="5">
        <f>IF(Q50&gt;0,Q50,0)</f>
        <v/>
      </c>
      <c r="R51" s="5">
        <f>IF(R50&gt;0,R50,0)</f>
        <v/>
      </c>
      <c r="S51" s="5">
        <f>IF(S50&gt;0,S50,0)</f>
        <v/>
      </c>
      <c r="T51" s="5">
        <f>IF(T50&gt;0,T50,0)</f>
        <v/>
      </c>
      <c r="U51" s="5">
        <f>IF(U50&gt;0,U50,0)</f>
        <v/>
      </c>
      <c r="V51" s="5">
        <f>IF(V50&gt;0,V50,0)</f>
        <v/>
      </c>
      <c r="W51" s="5">
        <f>IF(W50&gt;0,W50,0)</f>
        <v/>
      </c>
      <c r="X51" s="5">
        <f>IF(X50&gt;0,X50,0)</f>
        <v/>
      </c>
      <c r="Y51" s="5">
        <f>IF(Y50&gt;0,Y50,0)</f>
        <v/>
      </c>
      <c r="Z51" s="5">
        <f>IF(Z50&gt;0,Z50,0)</f>
        <v/>
      </c>
      <c r="AA51" s="5">
        <f>IF(AA50&gt;0,AA50,0)</f>
        <v/>
      </c>
      <c r="AB51" s="5">
        <f>IF(AB50&gt;0,AB50,0)</f>
        <v/>
      </c>
      <c r="AC51" s="5">
        <f>IF(AC50&gt;0,AC50,0)</f>
        <v/>
      </c>
      <c r="AD51" s="5">
        <f>IF(AD50&gt;0,AD50,0)</f>
        <v/>
      </c>
      <c r="AE51" s="5">
        <f>IF(AE50&gt;0,AE50,0)</f>
        <v/>
      </c>
      <c r="AF51" s="5">
        <f>IF(AF50&gt;0,AF50,0)</f>
        <v/>
      </c>
      <c r="AG51" s="5">
        <f>IF(AG50&gt;0,AG50,0)</f>
        <v/>
      </c>
      <c r="AH51" s="5">
        <f>IF(AH50&gt;0,AH50,0)</f>
        <v/>
      </c>
      <c r="AI51" s="5">
        <f>IF(AI50&gt;0,AI50,0)</f>
        <v/>
      </c>
      <c r="AJ51" s="5">
        <f>IF(AJ50&gt;0,AJ50,0)</f>
        <v/>
      </c>
      <c r="AK51" s="5">
        <f>IF(AK50&gt;0,AK50,0)</f>
        <v/>
      </c>
      <c r="AL51" s="5">
        <f>IF(AL50&gt;0,AL50,0)</f>
        <v/>
      </c>
      <c r="AM51" s="5">
        <f>IF(AM50&gt;0,AM50,0)</f>
        <v/>
      </c>
      <c r="AN51" s="5">
        <f>IF(AN50&gt;0,AN50,0)</f>
        <v/>
      </c>
      <c r="AO51" s="5">
        <f>IF(AO50&gt;0,AO50,0)</f>
        <v/>
      </c>
      <c r="AP51" s="5">
        <f>IF(AP50&gt;0,AP50,0)</f>
        <v/>
      </c>
      <c r="AQ51" s="5">
        <f>IF(AQ50&gt;0,AQ50,0)</f>
        <v/>
      </c>
      <c r="AR51" s="5">
        <f>IF(AR50&gt;0,AR50,0)</f>
        <v/>
      </c>
      <c r="AS51" s="5">
        <f>IF(AS50&gt;0,AS50,0)</f>
        <v/>
      </c>
      <c r="AT51" s="5">
        <f>IF(AT50&gt;0,AT50,0)</f>
        <v/>
      </c>
      <c r="AU51" s="5">
        <f>IF(AU50&gt;0,AU50,0)</f>
        <v/>
      </c>
      <c r="AV51" s="5">
        <f>IF(AV50&gt;0,AV50,0)</f>
        <v/>
      </c>
      <c r="AW51" s="5">
        <f>IF(AW50&gt;0,AW50,0)</f>
        <v/>
      </c>
      <c r="AX51" s="5">
        <f>IF(AX50&gt;0,AX50,0)</f>
        <v/>
      </c>
      <c r="AY51" s="5">
        <f>IF(AY50&gt;0,AY50,0)</f>
        <v/>
      </c>
      <c r="AZ51" s="5">
        <f>IF(AZ50&gt;0,AZ50,0)</f>
        <v/>
      </c>
      <c r="BA51" s="5">
        <f>IF(BA50&gt;0,BA50,0)</f>
        <v/>
      </c>
      <c r="BB51" s="5">
        <f>IF(BB50&gt;0,BB50,0)</f>
        <v/>
      </c>
    </row>
    <row r="52" ht="15" customHeight="1"/>
    <row r="53" ht="15" customHeight="1">
      <c r="E53" s="21" t="inlineStr">
        <is>
          <t>Relevant revenue at Floor</t>
        </is>
      </c>
      <c r="G53" s="5" t="inlineStr">
        <is>
          <t>£m nominal prices</t>
        </is>
      </c>
      <c r="H53" s="21" t="inlineStr">
        <is>
          <t>RRAFap</t>
        </is>
      </c>
      <c r="L53" s="33" t="n"/>
      <c r="M53" s="33" t="n"/>
      <c r="N53" s="33" t="n"/>
      <c r="O53" s="33" t="n"/>
      <c r="P53" s="5">
        <f>P41-P42</f>
        <v/>
      </c>
      <c r="Q53" s="5">
        <f>Q41-Q42</f>
        <v/>
      </c>
      <c r="R53" s="5">
        <f>R41-R42</f>
        <v/>
      </c>
      <c r="S53" s="5">
        <f>S41-S42</f>
        <v/>
      </c>
      <c r="T53" s="5">
        <f>T41-T42</f>
        <v/>
      </c>
      <c r="U53" s="5">
        <f>U41-U42</f>
        <v/>
      </c>
      <c r="V53" s="5">
        <f>V41-V42</f>
        <v/>
      </c>
      <c r="W53" s="5">
        <f>W41-W42</f>
        <v/>
      </c>
      <c r="X53" s="5">
        <f>X41-X42</f>
        <v/>
      </c>
      <c r="Y53" s="5">
        <f>Y41-Y42</f>
        <v/>
      </c>
      <c r="Z53" s="5">
        <f>Z41-Z42</f>
        <v/>
      </c>
      <c r="AA53" s="5">
        <f>AA41-AA42</f>
        <v/>
      </c>
      <c r="AB53" s="5">
        <f>AB41-AB42</f>
        <v/>
      </c>
      <c r="AC53" s="5">
        <f>AC41-AC42</f>
        <v/>
      </c>
      <c r="AD53" s="5">
        <f>AD41-AD42</f>
        <v/>
      </c>
      <c r="AE53" s="5">
        <f>AE41-AE42</f>
        <v/>
      </c>
      <c r="AF53" s="5">
        <f>AF41-AF42</f>
        <v/>
      </c>
      <c r="AG53" s="5">
        <f>AG41-AG42</f>
        <v/>
      </c>
      <c r="AH53" s="5">
        <f>AH41-AH42</f>
        <v/>
      </c>
      <c r="AI53" s="5">
        <f>AI41-AI42</f>
        <v/>
      </c>
      <c r="AJ53" s="5">
        <f>AJ41-AJ42</f>
        <v/>
      </c>
      <c r="AK53" s="5">
        <f>AK41-AK42</f>
        <v/>
      </c>
      <c r="AL53" s="5">
        <f>AL41-AL42</f>
        <v/>
      </c>
      <c r="AM53" s="5">
        <f>AM41-AM42</f>
        <v/>
      </c>
      <c r="AN53" s="5">
        <f>AN41-AN42</f>
        <v/>
      </c>
      <c r="AO53" s="5">
        <f>AO41-AO42</f>
        <v/>
      </c>
      <c r="AP53" s="5">
        <f>AP41-AP42</f>
        <v/>
      </c>
      <c r="AQ53" s="5">
        <f>AQ41-AQ42</f>
        <v/>
      </c>
      <c r="AR53" s="5">
        <f>AR41-AR42</f>
        <v/>
      </c>
      <c r="AS53" s="5">
        <f>AS41-AS42</f>
        <v/>
      </c>
      <c r="AT53" s="5">
        <f>AT41-AT42</f>
        <v/>
      </c>
      <c r="AU53" s="5">
        <f>AU41-AU42</f>
        <v/>
      </c>
      <c r="AV53" s="5">
        <f>AV41-AV42</f>
        <v/>
      </c>
      <c r="AW53" s="5">
        <f>AW41-AW42</f>
        <v/>
      </c>
      <c r="AX53" s="5">
        <f>AX41-AX42</f>
        <v/>
      </c>
      <c r="AY53" s="5">
        <f>AY41-AY42</f>
        <v/>
      </c>
      <c r="AZ53" s="5">
        <f>AZ41-AZ42</f>
        <v/>
      </c>
      <c r="BA53" s="5">
        <f>BA41-BA42</f>
        <v/>
      </c>
      <c r="BB53" s="5">
        <f>BB41-BB42</f>
        <v/>
      </c>
    </row>
    <row r="54" ht="15" customHeight="1">
      <c r="E54" s="21" t="inlineStr">
        <is>
          <t>Revenue shortfall at Floor</t>
        </is>
      </c>
      <c r="G54" s="5" t="inlineStr">
        <is>
          <t>£m nominal prices</t>
        </is>
      </c>
      <c r="H54" s="21" t="inlineStr">
        <is>
          <t>RSFap</t>
        </is>
      </c>
      <c r="L54" s="33" t="n"/>
      <c r="M54" s="33" t="n"/>
      <c r="N54" s="33" t="n"/>
      <c r="O54" s="33" t="n"/>
      <c r="P54" s="5">
        <f>IF(P53&gt;0,P53,0)</f>
        <v/>
      </c>
      <c r="Q54" s="5">
        <f>IF(Q53&gt;0,Q53,0)</f>
        <v/>
      </c>
      <c r="R54" s="5">
        <f>IF(R53&gt;0,R53,0)</f>
        <v/>
      </c>
      <c r="S54" s="5">
        <f>IF(S53&gt;0,S53,0)</f>
        <v/>
      </c>
      <c r="T54" s="5">
        <f>IF(T53&gt;0,T53,0)</f>
        <v/>
      </c>
      <c r="U54" s="5">
        <f>IF(U53&gt;0,U53,0)</f>
        <v/>
      </c>
      <c r="V54" s="5">
        <f>IF(V53&gt;0,V53,0)</f>
        <v/>
      </c>
      <c r="W54" s="5">
        <f>IF(W53&gt;0,W53,0)</f>
        <v/>
      </c>
      <c r="X54" s="5">
        <f>IF(X53&gt;0,X53,0)</f>
        <v/>
      </c>
      <c r="Y54" s="5">
        <f>IF(Y53&gt;0,Y53,0)</f>
        <v/>
      </c>
      <c r="Z54" s="5">
        <f>IF(Z53&gt;0,Z53,0)</f>
        <v/>
      </c>
      <c r="AA54" s="5">
        <f>IF(AA53&gt;0,AA53,0)</f>
        <v/>
      </c>
      <c r="AB54" s="5">
        <f>IF(AB53&gt;0,AB53,0)</f>
        <v/>
      </c>
      <c r="AC54" s="5">
        <f>IF(AC53&gt;0,AC53,0)</f>
        <v/>
      </c>
      <c r="AD54" s="5">
        <f>IF(AD53&gt;0,AD53,0)</f>
        <v/>
      </c>
      <c r="AE54" s="5">
        <f>IF(AE53&gt;0,AE53,0)</f>
        <v/>
      </c>
      <c r="AF54" s="5">
        <f>IF(AF53&gt;0,AF53,0)</f>
        <v/>
      </c>
      <c r="AG54" s="5">
        <f>IF(AG53&gt;0,AG53,0)</f>
        <v/>
      </c>
      <c r="AH54" s="5">
        <f>IF(AH53&gt;0,AH53,0)</f>
        <v/>
      </c>
      <c r="AI54" s="5">
        <f>IF(AI53&gt;0,AI53,0)</f>
        <v/>
      </c>
      <c r="AJ54" s="5">
        <f>IF(AJ53&gt;0,AJ53,0)</f>
        <v/>
      </c>
      <c r="AK54" s="5">
        <f>IF(AK53&gt;0,AK53,0)</f>
        <v/>
      </c>
      <c r="AL54" s="5">
        <f>IF(AL53&gt;0,AL53,0)</f>
        <v/>
      </c>
      <c r="AM54" s="5">
        <f>IF(AM53&gt;0,AM53,0)</f>
        <v/>
      </c>
      <c r="AN54" s="5">
        <f>IF(AN53&gt;0,AN53,0)</f>
        <v/>
      </c>
      <c r="AO54" s="5">
        <f>IF(AO53&gt;0,AO53,0)</f>
        <v/>
      </c>
      <c r="AP54" s="5">
        <f>IF(AP53&gt;0,AP53,0)</f>
        <v/>
      </c>
      <c r="AQ54" s="5">
        <f>IF(AQ53&gt;0,AQ53,0)</f>
        <v/>
      </c>
      <c r="AR54" s="5">
        <f>IF(AR53&gt;0,AR53,0)</f>
        <v/>
      </c>
      <c r="AS54" s="5">
        <f>IF(AS53&gt;0,AS53,0)</f>
        <v/>
      </c>
      <c r="AT54" s="5">
        <f>IF(AT53&gt;0,AT53,0)</f>
        <v/>
      </c>
      <c r="AU54" s="5">
        <f>IF(AU53&gt;0,AU53,0)</f>
        <v/>
      </c>
      <c r="AV54" s="5">
        <f>IF(AV53&gt;0,AV53,0)</f>
        <v/>
      </c>
      <c r="AW54" s="5">
        <f>IF(AW53&gt;0,AW53,0)</f>
        <v/>
      </c>
      <c r="AX54" s="5">
        <f>IF(AX53&gt;0,AX53,0)</f>
        <v/>
      </c>
      <c r="AY54" s="5">
        <f>IF(AY53&gt;0,AY53,0)</f>
        <v/>
      </c>
      <c r="AZ54" s="5">
        <f>IF(AZ53&gt;0,AZ53,0)</f>
        <v/>
      </c>
      <c r="BA54" s="5">
        <f>IF(BA53&gt;0,BA53,0)</f>
        <v/>
      </c>
      <c r="BB54" s="5">
        <f>IF(BB53&gt;0,BB53,0)</f>
        <v/>
      </c>
    </row>
    <row r="55" ht="15" customHeight="1">
      <c r="G55" s="5" t="n"/>
      <c r="L55" s="5" t="n"/>
      <c r="M55" s="5" t="n"/>
      <c r="N55" s="5" t="n"/>
      <c r="O55" s="5" t="n"/>
      <c r="P55" s="5" t="n"/>
      <c r="Q55" s="5" t="n"/>
      <c r="R55" s="5" t="n"/>
      <c r="S55" s="5" t="n"/>
      <c r="T55" s="5" t="n"/>
      <c r="U55" s="5" t="n"/>
      <c r="V55" s="5" t="n"/>
      <c r="W55" s="5" t="n"/>
      <c r="X55" s="5" t="n"/>
      <c r="Y55" s="5" t="n"/>
      <c r="Z55" s="5" t="n"/>
      <c r="AA55" s="5" t="n"/>
      <c r="AB55" s="5" t="n"/>
      <c r="AC55" s="5" t="n"/>
      <c r="AD55" s="5" t="n"/>
      <c r="AE55" s="5" t="n"/>
      <c r="AF55" s="5" t="n"/>
      <c r="AG55" s="5" t="n"/>
      <c r="AH55" s="5" t="n"/>
      <c r="AI55" s="5" t="n"/>
      <c r="AJ55" s="5" t="n"/>
      <c r="AK55" s="5" t="n"/>
      <c r="AL55" s="5" t="n"/>
      <c r="AM55" s="5" t="n"/>
      <c r="AN55" s="5" t="n"/>
      <c r="AO55" s="5" t="n"/>
      <c r="AP55" s="5" t="n"/>
      <c r="AQ55" s="5" t="n"/>
      <c r="AR55" s="5" t="n"/>
      <c r="AS55" s="5" t="n"/>
      <c r="AT55" s="5" t="n"/>
      <c r="AU55" s="5" t="n"/>
      <c r="AV55" s="5" t="n"/>
      <c r="AW55" s="5" t="n"/>
      <c r="AX55" s="5" t="n"/>
      <c r="AY55" s="5" t="n"/>
      <c r="AZ55" s="5" t="n"/>
      <c r="BA55" s="5" t="n"/>
      <c r="BB55" s="5" t="n"/>
    </row>
    <row r="56" ht="15" customHeight="1">
      <c r="A56" s="21" t="n"/>
      <c r="C56" s="32" t="n"/>
      <c r="D56" s="21" t="n"/>
      <c r="E56" s="21">
        <f>E43</f>
        <v/>
      </c>
      <c r="G56" s="5" t="inlineStr">
        <is>
          <t>£m nominal prices</t>
        </is>
      </c>
      <c r="H56" s="21">
        <f>H43</f>
        <v/>
      </c>
      <c r="L56" s="33" t="n"/>
      <c r="M56" s="33" t="n"/>
      <c r="N56" s="33" t="n"/>
      <c r="O56" s="33" t="n"/>
      <c r="P56" s="5">
        <f>P43</f>
        <v/>
      </c>
      <c r="Q56" s="5">
        <f>Q43</f>
        <v/>
      </c>
      <c r="R56" s="5">
        <f>R43</f>
        <v/>
      </c>
      <c r="S56" s="5">
        <f>S43</f>
        <v/>
      </c>
      <c r="T56" s="5">
        <f>T43</f>
        <v/>
      </c>
      <c r="U56" s="5">
        <f>U43</f>
        <v/>
      </c>
      <c r="V56" s="5">
        <f>V43</f>
        <v/>
      </c>
      <c r="W56" s="5">
        <f>W43</f>
        <v/>
      </c>
      <c r="X56" s="5">
        <f>X43</f>
        <v/>
      </c>
      <c r="Y56" s="5">
        <f>Y43</f>
        <v/>
      </c>
      <c r="Z56" s="5">
        <f>Z43</f>
        <v/>
      </c>
      <c r="AA56" s="5">
        <f>AA43</f>
        <v/>
      </c>
      <c r="AB56" s="5">
        <f>AB43</f>
        <v/>
      </c>
      <c r="AC56" s="5">
        <f>AC43</f>
        <v/>
      </c>
      <c r="AD56" s="5">
        <f>AD43</f>
        <v/>
      </c>
      <c r="AE56" s="5">
        <f>AE43</f>
        <v/>
      </c>
      <c r="AF56" s="5">
        <f>AF43</f>
        <v/>
      </c>
      <c r="AG56" s="5">
        <f>AG43</f>
        <v/>
      </c>
      <c r="AH56" s="5">
        <f>AH43</f>
        <v/>
      </c>
      <c r="AI56" s="5">
        <f>AI43</f>
        <v/>
      </c>
      <c r="AJ56" s="5">
        <f>AJ43</f>
        <v/>
      </c>
      <c r="AK56" s="5">
        <f>AK43</f>
        <v/>
      </c>
      <c r="AL56" s="5">
        <f>AL43</f>
        <v/>
      </c>
      <c r="AM56" s="5">
        <f>AM43</f>
        <v/>
      </c>
      <c r="AN56" s="5">
        <f>AN43</f>
        <v/>
      </c>
      <c r="AO56" s="5">
        <f>AO43</f>
        <v/>
      </c>
      <c r="AP56" s="5">
        <f>AP43</f>
        <v/>
      </c>
      <c r="AQ56" s="5">
        <f>AQ43</f>
        <v/>
      </c>
      <c r="AR56" s="5">
        <f>AR43</f>
        <v/>
      </c>
      <c r="AS56" s="5">
        <f>AS43</f>
        <v/>
      </c>
      <c r="AT56" s="5">
        <f>AT43</f>
        <v/>
      </c>
      <c r="AU56" s="5">
        <f>AU43</f>
        <v/>
      </c>
      <c r="AV56" s="5">
        <f>AV43</f>
        <v/>
      </c>
      <c r="AW56" s="5">
        <f>AW43</f>
        <v/>
      </c>
      <c r="AX56" s="5">
        <f>AX43</f>
        <v/>
      </c>
      <c r="AY56" s="5">
        <f>AY43</f>
        <v/>
      </c>
      <c r="AZ56" s="5">
        <f>AZ43</f>
        <v/>
      </c>
      <c r="BA56" s="5">
        <f>BA43</f>
        <v/>
      </c>
      <c r="BB56" s="5">
        <f>BB43</f>
        <v/>
      </c>
    </row>
    <row r="57" ht="15" customHeight="1"/>
    <row r="58" ht="26" customHeight="1">
      <c r="E58" s="47" t="inlineStr">
        <is>
          <t>Cap and Floor revenue adjustment - Unadjusted for end of period</t>
        </is>
      </c>
      <c r="G58" s="5" t="inlineStr">
        <is>
          <t>£m nominal prices</t>
        </is>
      </c>
      <c r="L58" s="33" t="n"/>
      <c r="M58" s="33" t="n"/>
      <c r="N58" s="33" t="n"/>
      <c r="O58" s="33" t="n"/>
      <c r="P58" s="5">
        <f>IF(P51&gt;0,-P51-P56,IF(P54&gt;0,P54-P56,-P56))</f>
        <v/>
      </c>
      <c r="Q58" s="5">
        <f>IF(Q51&gt;0,-Q51-Q56,IF(Q54&gt;0,Q54-Q56,-Q56))</f>
        <v/>
      </c>
      <c r="R58" s="5">
        <f>IF(R51&gt;0,-R51-R56,IF(R54&gt;0,R54-R56,-R56))</f>
        <v/>
      </c>
      <c r="S58" s="5">
        <f>IF(S51&gt;0,-S51-S56,IF(S54&gt;0,S54-S56,-S56))</f>
        <v/>
      </c>
      <c r="T58" s="5">
        <f>IF(T51&gt;0,-T51-T56,IF(T54&gt;0,T54-T56,-T56))</f>
        <v/>
      </c>
      <c r="U58" s="5">
        <f>IF(U51&gt;0,-U51-U56,IF(U54&gt;0,U54-U56,-U56))</f>
        <v/>
      </c>
      <c r="V58" s="5">
        <f>IF(V51&gt;0,-V51-V56,IF(V54&gt;0,V54-V56,-V56))</f>
        <v/>
      </c>
      <c r="W58" s="5">
        <f>IF(W51&gt;0,-W51-W56,IF(W54&gt;0,W54-W56,-W56))</f>
        <v/>
      </c>
      <c r="X58" s="5">
        <f>IF(X51&gt;0,-X51-X56,IF(X54&gt;0,X54-X56,-X56))</f>
        <v/>
      </c>
      <c r="Y58" s="5">
        <f>IF(Y51&gt;0,-Y51-Y56,IF(Y54&gt;0,Y54-Y56,-Y56))</f>
        <v/>
      </c>
      <c r="Z58" s="5">
        <f>IF(Z51&gt;0,-Z51-Z56,IF(Z54&gt;0,Z54-Z56,-Z56))</f>
        <v/>
      </c>
      <c r="AA58" s="5">
        <f>IF(AA51&gt;0,-AA51-AA56,IF(AA54&gt;0,AA54-AA56,-AA56))</f>
        <v/>
      </c>
      <c r="AB58" s="5">
        <f>IF(AB51&gt;0,-AB51-AB56,IF(AB54&gt;0,AB54-AB56,-AB56))</f>
        <v/>
      </c>
      <c r="AC58" s="5">
        <f>IF(AC51&gt;0,-AC51-AC56,IF(AC54&gt;0,AC54-AC56,-AC56))</f>
        <v/>
      </c>
      <c r="AD58" s="5">
        <f>IF(AD51&gt;0,-AD51-AD56,IF(AD54&gt;0,AD54-AD56,-AD56))</f>
        <v/>
      </c>
      <c r="AE58" s="5">
        <f>IF(AE51&gt;0,-AE51-AE56,IF(AE54&gt;0,AE54-AE56,-AE56))</f>
        <v/>
      </c>
      <c r="AF58" s="5">
        <f>IF(AF51&gt;0,-AF51-AF56,IF(AF54&gt;0,AF54-AF56,-AF56))</f>
        <v/>
      </c>
      <c r="AG58" s="5">
        <f>IF(AG51&gt;0,-AG51-AG56,IF(AG54&gt;0,AG54-AG56,-AG56))</f>
        <v/>
      </c>
      <c r="AH58" s="5">
        <f>IF(AH51&gt;0,-AH51-AH56,IF(AH54&gt;0,AH54-AH56,-AH56))</f>
        <v/>
      </c>
      <c r="AI58" s="5">
        <f>IF(AI51&gt;0,-AI51-AI56,IF(AI54&gt;0,AI54-AI56,-AI56))</f>
        <v/>
      </c>
      <c r="AJ58" s="5">
        <f>IF(AJ51&gt;0,-AJ51-AJ56,IF(AJ54&gt;0,AJ54-AJ56,-AJ56))</f>
        <v/>
      </c>
      <c r="AK58" s="5">
        <f>IF(AK51&gt;0,-AK51-AK56,IF(AK54&gt;0,AK54-AK56,-AK56))</f>
        <v/>
      </c>
      <c r="AL58" s="5">
        <f>IF(AL51&gt;0,-AL51-AL56,IF(AL54&gt;0,AL54-AL56,-AL56))</f>
        <v/>
      </c>
      <c r="AM58" s="5">
        <f>IF(AM51&gt;0,-AM51-AM56,IF(AM54&gt;0,AM54-AM56,-AM56))</f>
        <v/>
      </c>
      <c r="AN58" s="5">
        <f>IF(AN51&gt;0,-AN51-AN56,IF(AN54&gt;0,AN54-AN56,-AN56))</f>
        <v/>
      </c>
      <c r="AO58" s="5">
        <f>IF(AO51&gt;0,-AO51-AO56,IF(AO54&gt;0,AO54-AO56,-AO56))</f>
        <v/>
      </c>
      <c r="AP58" s="5">
        <f>IF(AP51&gt;0,-AP51-AP56,IF(AP54&gt;0,AP54-AP56,-AP56))</f>
        <v/>
      </c>
      <c r="AQ58" s="5">
        <f>IF(AQ51&gt;0,-AQ51-AQ56,IF(AQ54&gt;0,AQ54-AQ56,-AQ56))</f>
        <v/>
      </c>
      <c r="AR58" s="5">
        <f>IF(AR51&gt;0,-AR51-AR56,IF(AR54&gt;0,AR54-AR56,-AR56))</f>
        <v/>
      </c>
      <c r="AS58" s="5">
        <f>IF(AS51&gt;0,-AS51-AS56,IF(AS54&gt;0,AS54-AS56,-AS56))</f>
        <v/>
      </c>
      <c r="AT58" s="5">
        <f>IF(AT51&gt;0,-AT51-AT56,IF(AT54&gt;0,AT54-AT56,-AT56))</f>
        <v/>
      </c>
      <c r="AU58" s="5">
        <f>IF(AU51&gt;0,-AU51-AU56,IF(AU54&gt;0,AU54-AU56,-AU56))</f>
        <v/>
      </c>
      <c r="AV58" s="5">
        <f>IF(AV51&gt;0,-AV51-AV56,IF(AV54&gt;0,AV54-AV56,-AV56))</f>
        <v/>
      </c>
      <c r="AW58" s="5">
        <f>IF(AW51&gt;0,-AW51-AW56,IF(AW54&gt;0,AW54-AW56,-AW56))</f>
        <v/>
      </c>
      <c r="AX58" s="5">
        <f>IF(AX51&gt;0,-AX51-AX56,IF(AX54&gt;0,AX54-AX56,-AX56))</f>
        <v/>
      </c>
      <c r="AY58" s="5">
        <f>IF(AY51&gt;0,-AY51-AY56,IF(AY54&gt;0,AY54-AY56,-AY56))</f>
        <v/>
      </c>
      <c r="AZ58" s="5">
        <f>IF(AZ51&gt;0,-AZ51-AZ56,IF(AZ54&gt;0,AZ54-AZ56,-AZ56))</f>
        <v/>
      </c>
      <c r="BA58" s="5">
        <f>IF(BA51&gt;0,-BA51-BA56,IF(BA54&gt;0,BA54-BA56,-BA56))</f>
        <v/>
      </c>
      <c r="BB58" s="5">
        <f>IF(BB51&gt;0,-BB51-BB56,IF(BB54&gt;0,BB54-BB56,-BB56))</f>
        <v/>
      </c>
    </row>
    <row r="59" ht="15" customHeight="1">
      <c r="G59" s="5" t="n"/>
      <c r="L59" s="5" t="n"/>
      <c r="M59" s="5" t="n"/>
      <c r="N59" s="5" t="n"/>
      <c r="O59" s="5" t="n"/>
      <c r="P59" s="5" t="n"/>
      <c r="Q59" s="5" t="n"/>
      <c r="R59" s="5" t="n"/>
      <c r="S59" s="5" t="n"/>
      <c r="T59" s="5" t="n"/>
      <c r="U59" s="5" t="n"/>
      <c r="V59" s="5" t="n"/>
      <c r="W59" s="5" t="n"/>
      <c r="X59" s="5" t="n"/>
      <c r="Y59" s="5" t="n"/>
      <c r="Z59" s="5" t="n"/>
      <c r="AA59" s="5" t="n"/>
      <c r="AB59" s="5" t="n"/>
      <c r="AC59" s="5" t="n"/>
      <c r="AD59" s="5" t="n"/>
      <c r="AE59" s="5" t="n"/>
      <c r="AF59" s="5" t="n"/>
      <c r="AG59" s="5" t="n"/>
      <c r="AH59" s="5" t="n"/>
      <c r="AI59" s="5" t="n"/>
      <c r="AJ59" s="5" t="n"/>
      <c r="AK59" s="5" t="n"/>
      <c r="AL59" s="5" t="n"/>
      <c r="AM59" s="5" t="n"/>
      <c r="AN59" s="5" t="n"/>
      <c r="AO59" s="5" t="n"/>
      <c r="AP59" s="5" t="n"/>
      <c r="AQ59" s="5" t="n"/>
      <c r="AR59" s="5" t="n"/>
      <c r="AS59" s="5" t="n"/>
      <c r="AT59" s="5" t="n"/>
      <c r="AU59" s="5" t="n"/>
      <c r="AV59" s="5" t="n"/>
      <c r="AW59" s="5" t="n"/>
      <c r="AX59" s="5" t="n"/>
      <c r="AY59" s="5" t="n"/>
      <c r="AZ59" s="5" t="n"/>
      <c r="BA59" s="5" t="n"/>
      <c r="BB59" s="5" t="n"/>
    </row>
    <row r="60" ht="15" customHeight="1">
      <c r="E60" s="21" t="inlineStr">
        <is>
          <t>End of period Cap and Floor revenue adjustment</t>
        </is>
      </c>
      <c r="G60" s="5" t="inlineStr">
        <is>
          <t>£m nominal prices</t>
        </is>
      </c>
      <c r="H60" s="21" t="inlineStr">
        <is>
          <t>CFAap</t>
        </is>
      </c>
      <c r="L60" s="33" t="n"/>
      <c r="M60" s="33" t="n"/>
      <c r="N60" s="33" t="n"/>
      <c r="O60" s="33" t="n"/>
      <c r="P60" s="77">
        <f>P58*P48</f>
        <v/>
      </c>
      <c r="Q60" s="77">
        <f>Q58*Q48</f>
        <v/>
      </c>
      <c r="R60" s="77">
        <f>R58*R48</f>
        <v/>
      </c>
      <c r="S60" s="77">
        <f>S58*S48</f>
        <v/>
      </c>
      <c r="T60" s="77">
        <f>T58*T48</f>
        <v/>
      </c>
      <c r="U60" s="77">
        <f>U58*U48</f>
        <v/>
      </c>
      <c r="V60" s="77">
        <f>V58*V48</f>
        <v/>
      </c>
      <c r="W60" s="77">
        <f>W58*W48</f>
        <v/>
      </c>
      <c r="X60" s="77">
        <f>X58*X48</f>
        <v/>
      </c>
      <c r="Y60" s="77">
        <f>Y58*Y48</f>
        <v/>
      </c>
      <c r="Z60" s="77">
        <f>Z58*Z48</f>
        <v/>
      </c>
      <c r="AA60" s="77">
        <f>AA58*AA48</f>
        <v/>
      </c>
      <c r="AB60" s="77">
        <f>AB58*AB48</f>
        <v/>
      </c>
      <c r="AC60" s="77">
        <f>AC58*AC48</f>
        <v/>
      </c>
      <c r="AD60" s="77">
        <f>AD58*AD48</f>
        <v/>
      </c>
      <c r="AE60" s="77">
        <f>AE58*AE48</f>
        <v/>
      </c>
      <c r="AF60" s="77">
        <f>AF58*AF48</f>
        <v/>
      </c>
      <c r="AG60" s="77">
        <f>AG58*AG48</f>
        <v/>
      </c>
      <c r="AH60" s="77">
        <f>AH58*AH48</f>
        <v/>
      </c>
      <c r="AI60" s="77">
        <f>AI58*AI48</f>
        <v/>
      </c>
      <c r="AJ60" s="77">
        <f>AJ58*AJ48</f>
        <v/>
      </c>
      <c r="AK60" s="77">
        <f>AK58*AK48</f>
        <v/>
      </c>
      <c r="AL60" s="77">
        <f>AL58*AL48</f>
        <v/>
      </c>
      <c r="AM60" s="77">
        <f>AM58*AM48</f>
        <v/>
      </c>
      <c r="AN60" s="77">
        <f>AN58*AN48</f>
        <v/>
      </c>
      <c r="AO60" s="77">
        <f>AO58*AO48</f>
        <v/>
      </c>
      <c r="AP60" s="77">
        <f>AP58*AP48</f>
        <v/>
      </c>
      <c r="AQ60" s="77">
        <f>AQ58*AQ48</f>
        <v/>
      </c>
      <c r="AR60" s="77">
        <f>AR58*AR48</f>
        <v/>
      </c>
      <c r="AS60" s="77">
        <f>AS58*AS48</f>
        <v/>
      </c>
      <c r="AT60" s="77">
        <f>AT58*AT48</f>
        <v/>
      </c>
      <c r="AU60" s="77">
        <f>AU58*AU48</f>
        <v/>
      </c>
      <c r="AV60" s="77">
        <f>AV58*AV48</f>
        <v/>
      </c>
      <c r="AW60" s="77">
        <f>AW58*AW48</f>
        <v/>
      </c>
      <c r="AX60" s="77">
        <f>AX58*AX48</f>
        <v/>
      </c>
      <c r="AY60" s="77">
        <f>AY58*AY48</f>
        <v/>
      </c>
      <c r="AZ60" s="77">
        <f>AZ58*AZ48</f>
        <v/>
      </c>
      <c r="BA60" s="77">
        <f>BA58*BA48</f>
        <v/>
      </c>
      <c r="BB60" s="77">
        <f>BB58*BB48</f>
        <v/>
      </c>
    </row>
    <row r="61" ht="15" customHeight="1">
      <c r="A61" s="21" t="n"/>
      <c r="C61" s="32" t="n"/>
      <c r="D61" s="21" t="n"/>
      <c r="O61" s="34" t="n"/>
      <c r="P61" s="34" t="n"/>
      <c r="Q61" s="34" t="n"/>
      <c r="R61" s="34" t="n"/>
      <c r="S61" s="34" t="n"/>
      <c r="T61" s="34" t="n"/>
      <c r="U61" s="34" t="n"/>
      <c r="V61" s="34" t="n"/>
      <c r="W61" s="34" t="n"/>
      <c r="X61" s="34" t="n"/>
      <c r="Y61" s="34" t="n"/>
      <c r="Z61" s="34" t="n"/>
      <c r="AA61" s="34"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row>
    <row r="62" ht="15" customFormat="1" customHeight="1" s="4">
      <c r="B62" s="8" t="inlineStr">
        <is>
          <t>Revenue adjustment for changes in non-controllable Opex</t>
        </is>
      </c>
      <c r="C62" s="8" t="n"/>
      <c r="D62" s="8" t="n"/>
      <c r="E62" s="8" t="n"/>
      <c r="F62" s="8" t="n"/>
      <c r="G62" s="8" t="n"/>
      <c r="H62" s="8" t="n"/>
      <c r="I62" s="8" t="n"/>
      <c r="J62" s="8" t="n"/>
      <c r="K62" s="8" t="n"/>
      <c r="L62" s="8" t="n"/>
      <c r="M62" s="8" t="n"/>
      <c r="N62" s="8" t="n"/>
      <c r="O62" s="8" t="n"/>
      <c r="P62" s="8" t="n"/>
      <c r="Q62" s="8" t="n"/>
      <c r="R62" s="8" t="n"/>
      <c r="S62" s="8" t="n"/>
      <c r="T62" s="8" t="n"/>
      <c r="U62" s="8" t="n"/>
      <c r="V62" s="8" t="n"/>
      <c r="W62" s="8" t="n"/>
      <c r="X62" s="8" t="n"/>
      <c r="Y62" s="8" t="n"/>
      <c r="Z62" s="8" t="n"/>
      <c r="AA62" s="8" t="n"/>
      <c r="AB62" s="8" t="n"/>
      <c r="AC62" s="8" t="n"/>
      <c r="AD62" s="8" t="n"/>
      <c r="AE62" s="8" t="n"/>
      <c r="AF62" s="8" t="n"/>
      <c r="AG62" s="8" t="n"/>
      <c r="AH62" s="8" t="n"/>
      <c r="AI62" s="8" t="n"/>
      <c r="AJ62" s="8" t="n"/>
      <c r="AK62" s="8" t="n"/>
      <c r="AL62" s="8" t="n"/>
      <c r="AM62" s="8" t="n"/>
      <c r="AN62" s="8" t="n"/>
      <c r="AO62" s="8" t="n"/>
      <c r="AP62" s="8" t="n"/>
      <c r="AQ62" s="8" t="n"/>
      <c r="AR62" s="8" t="n"/>
      <c r="AS62" s="8" t="n"/>
      <c r="AT62" s="8" t="n"/>
      <c r="AU62" s="8" t="n"/>
      <c r="AV62" s="8" t="n"/>
      <c r="AW62" s="8" t="n"/>
      <c r="AX62" s="8" t="n"/>
      <c r="AY62" s="8" t="n"/>
      <c r="AZ62" s="8" t="n"/>
      <c r="BA62" s="8" t="n"/>
      <c r="BB62" s="8" t="n"/>
    </row>
    <row r="63" ht="15" customHeight="1">
      <c r="A63" s="21" t="n"/>
      <c r="D63" s="21" t="n"/>
      <c r="E63" s="5" t="n"/>
      <c r="O63" s="68" t="n"/>
      <c r="P63" s="68" t="n"/>
      <c r="Q63" s="68" t="n"/>
      <c r="R63" s="68" t="n"/>
      <c r="S63" s="68" t="n"/>
      <c r="T63" s="68" t="n"/>
      <c r="U63" s="68" t="n"/>
      <c r="V63" s="68" t="n"/>
      <c r="W63" s="68" t="n"/>
      <c r="X63" s="68" t="n"/>
      <c r="Y63" s="68" t="n"/>
      <c r="Z63" s="68" t="n"/>
      <c r="AA63" s="68" t="n"/>
      <c r="AB63" s="68" t="n"/>
      <c r="AC63" s="68" t="n"/>
      <c r="AD63" s="68" t="n"/>
      <c r="AE63" s="68" t="n"/>
      <c r="AF63" s="68" t="n"/>
      <c r="AG63" s="68" t="n"/>
      <c r="AH63" s="68" t="n"/>
      <c r="AI63" s="68" t="n"/>
      <c r="AJ63" s="68" t="n"/>
      <c r="AK63" s="68" t="n"/>
      <c r="AL63" s="68" t="n"/>
      <c r="AM63" s="68" t="n"/>
      <c r="AN63" s="68" t="n"/>
      <c r="AO63" s="68" t="n"/>
      <c r="AP63" s="68" t="n"/>
      <c r="AQ63" s="68" t="n"/>
      <c r="AR63" s="68" t="n"/>
      <c r="AS63" s="68" t="n"/>
      <c r="AT63" s="68" t="n"/>
      <c r="AU63" s="68" t="n"/>
      <c r="AV63" s="68" t="n"/>
      <c r="AW63" s="68" t="n"/>
      <c r="AX63" s="68" t="n"/>
      <c r="AY63" s="68" t="n"/>
      <c r="AZ63" s="68" t="n"/>
      <c r="BA63" s="68" t="n"/>
      <c r="BB63" s="68" t="n"/>
    </row>
    <row r="64" ht="15" customHeight="1">
      <c r="A64" s="21" t="n"/>
      <c r="D64" s="21" t="n"/>
      <c r="E64" s="21" t="inlineStr">
        <is>
          <t>PPPI index</t>
        </is>
      </c>
      <c r="G64" s="21" t="inlineStr">
        <is>
          <t>scalar</t>
        </is>
      </c>
      <c r="H64" s="21">
        <f>H11</f>
        <v/>
      </c>
      <c r="L64" s="33" t="n"/>
      <c r="M64" s="33" t="n"/>
      <c r="N64" s="33" t="n"/>
      <c r="O64" s="88">
        <f>O11</f>
        <v/>
      </c>
      <c r="P64" s="88">
        <f>P11</f>
        <v/>
      </c>
      <c r="Q64" s="88">
        <f>Q11</f>
        <v/>
      </c>
      <c r="R64" s="88">
        <f>R11</f>
        <v/>
      </c>
      <c r="S64" s="88">
        <f>S11</f>
        <v/>
      </c>
      <c r="T64" s="88">
        <f>T11</f>
        <v/>
      </c>
      <c r="U64" s="88">
        <f>U11</f>
        <v/>
      </c>
      <c r="V64" s="88">
        <f>V11</f>
        <v/>
      </c>
      <c r="W64" s="88">
        <f>W11</f>
        <v/>
      </c>
      <c r="X64" s="88">
        <f>X11</f>
        <v/>
      </c>
      <c r="Y64" s="88">
        <f>Y11</f>
        <v/>
      </c>
      <c r="Z64" s="88">
        <f>Z11</f>
        <v/>
      </c>
      <c r="AA64" s="88">
        <f>AA11</f>
        <v/>
      </c>
      <c r="AB64" s="88">
        <f>AB11</f>
        <v/>
      </c>
      <c r="AC64" s="88">
        <f>AC11</f>
        <v/>
      </c>
      <c r="AD64" s="88">
        <f>AD11</f>
        <v/>
      </c>
      <c r="AE64" s="88">
        <f>AE11</f>
        <v/>
      </c>
      <c r="AF64" s="88">
        <f>AF11</f>
        <v/>
      </c>
      <c r="AG64" s="88">
        <f>AG11</f>
        <v/>
      </c>
      <c r="AH64" s="88">
        <f>AH11</f>
        <v/>
      </c>
      <c r="AI64" s="88">
        <f>AI11</f>
        <v/>
      </c>
      <c r="AJ64" s="88">
        <f>AJ11</f>
        <v/>
      </c>
      <c r="AK64" s="88">
        <f>AK11</f>
        <v/>
      </c>
      <c r="AL64" s="88">
        <f>AL11</f>
        <v/>
      </c>
      <c r="AM64" s="88">
        <f>AM11</f>
        <v/>
      </c>
      <c r="AN64" s="88">
        <f>AN11</f>
        <v/>
      </c>
      <c r="AO64" s="88">
        <f>AO11</f>
        <v/>
      </c>
      <c r="AP64" s="88">
        <f>AP11</f>
        <v/>
      </c>
      <c r="AQ64" s="88">
        <f>AQ11</f>
        <v/>
      </c>
      <c r="AR64" s="88">
        <f>AR11</f>
        <v/>
      </c>
      <c r="AS64" s="88">
        <f>AS11</f>
        <v/>
      </c>
      <c r="AT64" s="88">
        <f>AT11</f>
        <v/>
      </c>
      <c r="AU64" s="88">
        <f>AU11</f>
        <v/>
      </c>
      <c r="AV64" s="88">
        <f>AV11</f>
        <v/>
      </c>
      <c r="AW64" s="88">
        <f>AW11</f>
        <v/>
      </c>
      <c r="AX64" s="88">
        <f>AX11</f>
        <v/>
      </c>
      <c r="AY64" s="88">
        <f>AY11</f>
        <v/>
      </c>
      <c r="AZ64" s="88">
        <f>AZ11</f>
        <v/>
      </c>
      <c r="BA64" s="88">
        <f>BA11</f>
        <v/>
      </c>
      <c r="BB64" s="88">
        <f>BB11</f>
        <v/>
      </c>
    </row>
    <row r="65" ht="15" customHeight="1">
      <c r="A65" s="21" t="n"/>
      <c r="D65" s="21" t="n"/>
      <c r="E65" s="5" t="n"/>
      <c r="O65" s="68" t="n"/>
      <c r="P65" s="68" t="n"/>
      <c r="Q65" s="68" t="n"/>
      <c r="R65" s="68" t="n"/>
      <c r="S65" s="68" t="n"/>
      <c r="T65" s="68" t="n"/>
      <c r="U65" s="68" t="n"/>
      <c r="V65" s="68" t="n"/>
      <c r="W65" s="68" t="n"/>
      <c r="X65" s="68" t="n"/>
      <c r="Y65" s="68" t="n"/>
      <c r="Z65" s="68" t="n"/>
      <c r="AA65" s="68" t="n"/>
      <c r="AB65" s="68" t="n"/>
      <c r="AC65" s="68" t="n"/>
      <c r="AD65" s="68" t="n"/>
      <c r="AE65" s="68" t="n"/>
      <c r="AF65" s="68" t="n"/>
      <c r="AG65" s="68" t="n"/>
      <c r="AH65" s="68" t="n"/>
      <c r="AI65" s="68" t="n"/>
      <c r="AJ65" s="68" t="n"/>
      <c r="AK65" s="68" t="n"/>
      <c r="AL65" s="68" t="n"/>
      <c r="AM65" s="68" t="n"/>
      <c r="AN65" s="68" t="n"/>
      <c r="AO65" s="68" t="n"/>
      <c r="AP65" s="68" t="n"/>
      <c r="AQ65" s="68" t="n"/>
      <c r="AR65" s="68" t="n"/>
      <c r="AS65" s="68" t="n"/>
      <c r="AT65" s="68" t="n"/>
      <c r="AU65" s="68" t="n"/>
      <c r="AV65" s="68" t="n"/>
      <c r="AW65" s="68" t="n"/>
      <c r="AX65" s="68" t="n"/>
      <c r="AY65" s="68" t="n"/>
      <c r="AZ65" s="68" t="n"/>
      <c r="BA65" s="68" t="n"/>
      <c r="BB65" s="68" t="n"/>
    </row>
    <row r="66" ht="15" customHeight="1">
      <c r="A66" s="21" t="n"/>
      <c r="D66" s="21" t="n"/>
      <c r="E66" s="5">
        <f>Inputs!E84</f>
        <v/>
      </c>
      <c r="G66" s="5" t="inlineStr">
        <is>
          <t>£m nominal prices</t>
        </is>
      </c>
      <c r="H66" s="21" t="inlineStr">
        <is>
          <t>ONCOCt</t>
        </is>
      </c>
      <c r="L66" s="33" t="n"/>
      <c r="M66" s="33" t="n"/>
      <c r="N66" s="33" t="n"/>
      <c r="O66" s="33" t="n"/>
      <c r="P66" s="84">
        <f>'Costs &amp; Revenue'!P21</f>
        <v/>
      </c>
      <c r="Q66" s="84">
        <f>'Costs &amp; Revenue'!Q21</f>
        <v/>
      </c>
      <c r="R66" s="84">
        <f>'Costs &amp; Revenue'!R21</f>
        <v/>
      </c>
      <c r="S66" s="84">
        <f>'Costs &amp; Revenue'!S21</f>
        <v/>
      </c>
      <c r="T66" s="84">
        <f>'Costs &amp; Revenue'!T21</f>
        <v/>
      </c>
      <c r="U66" s="84">
        <f>'Costs &amp; Revenue'!U21</f>
        <v/>
      </c>
      <c r="V66" s="84">
        <f>'Costs &amp; Revenue'!V21</f>
        <v/>
      </c>
      <c r="W66" s="84">
        <f>'Costs &amp; Revenue'!W21</f>
        <v/>
      </c>
      <c r="X66" s="84">
        <f>'Costs &amp; Revenue'!X21</f>
        <v/>
      </c>
      <c r="Y66" s="84">
        <f>'Costs &amp; Revenue'!Y21</f>
        <v/>
      </c>
      <c r="Z66" s="84">
        <f>'Costs &amp; Revenue'!Z21</f>
        <v/>
      </c>
      <c r="AA66" s="84">
        <f>'Costs &amp; Revenue'!AA21</f>
        <v/>
      </c>
      <c r="AB66" s="84">
        <f>'Costs &amp; Revenue'!AB21</f>
        <v/>
      </c>
      <c r="AC66" s="84">
        <f>'Costs &amp; Revenue'!AC21</f>
        <v/>
      </c>
      <c r="AD66" s="84">
        <f>'Costs &amp; Revenue'!AD21</f>
        <v/>
      </c>
      <c r="AE66" s="84">
        <f>'Costs &amp; Revenue'!AE21</f>
        <v/>
      </c>
      <c r="AF66" s="84">
        <f>'Costs &amp; Revenue'!AF21</f>
        <v/>
      </c>
      <c r="AG66" s="84">
        <f>'Costs &amp; Revenue'!AG21</f>
        <v/>
      </c>
      <c r="AH66" s="84">
        <f>'Costs &amp; Revenue'!AH21</f>
        <v/>
      </c>
      <c r="AI66" s="84">
        <f>'Costs &amp; Revenue'!AI21</f>
        <v/>
      </c>
      <c r="AJ66" s="84">
        <f>'Costs &amp; Revenue'!AJ21</f>
        <v/>
      </c>
      <c r="AK66" s="84">
        <f>'Costs &amp; Revenue'!AK21</f>
        <v/>
      </c>
      <c r="AL66" s="84">
        <f>'Costs &amp; Revenue'!AL21</f>
        <v/>
      </c>
      <c r="AM66" s="84">
        <f>'Costs &amp; Revenue'!AM21</f>
        <v/>
      </c>
      <c r="AN66" s="84">
        <f>'Costs &amp; Revenue'!AN21</f>
        <v/>
      </c>
      <c r="AO66" s="84">
        <f>'Costs &amp; Revenue'!AO21</f>
        <v/>
      </c>
      <c r="AP66" s="84">
        <f>'Costs &amp; Revenue'!AP21</f>
        <v/>
      </c>
      <c r="AQ66" s="84">
        <f>'Costs &amp; Revenue'!AQ21</f>
        <v/>
      </c>
      <c r="AR66" s="84">
        <f>'Costs &amp; Revenue'!AR21</f>
        <v/>
      </c>
      <c r="AS66" s="84">
        <f>'Costs &amp; Revenue'!AS21</f>
        <v/>
      </c>
      <c r="AT66" s="84">
        <f>'Costs &amp; Revenue'!AT21</f>
        <v/>
      </c>
      <c r="AU66" s="84">
        <f>'Costs &amp; Revenue'!AU21</f>
        <v/>
      </c>
      <c r="AV66" s="84">
        <f>'Costs &amp; Revenue'!AV21</f>
        <v/>
      </c>
      <c r="AW66" s="84">
        <f>'Costs &amp; Revenue'!AW21</f>
        <v/>
      </c>
      <c r="AX66" s="84">
        <f>'Costs &amp; Revenue'!AX21</f>
        <v/>
      </c>
      <c r="AY66" s="84">
        <f>'Costs &amp; Revenue'!AY21</f>
        <v/>
      </c>
      <c r="AZ66" s="84">
        <f>'Costs &amp; Revenue'!AZ21</f>
        <v/>
      </c>
      <c r="BA66" s="84">
        <f>'Costs &amp; Revenue'!BA21</f>
        <v/>
      </c>
      <c r="BB66" s="84">
        <f>'Costs &amp; Revenue'!BB21</f>
        <v/>
      </c>
    </row>
    <row r="67" ht="15" customHeight="1">
      <c r="A67" s="21" t="n"/>
      <c r="D67" s="21" t="n"/>
      <c r="E67" s="5" t="inlineStr">
        <is>
          <t>Non-controllable Opex (baseline)</t>
        </is>
      </c>
      <c r="G67" s="5" t="inlineStr">
        <is>
          <t>£m nominal prices</t>
        </is>
      </c>
      <c r="H67" s="21" t="inlineStr">
        <is>
          <t>BNCOCt</t>
        </is>
      </c>
      <c r="L67" s="33" t="n"/>
      <c r="M67" s="33" t="n"/>
      <c r="N67" s="33" t="n"/>
      <c r="O67" s="33" t="n"/>
      <c r="P67" s="84">
        <f>'Costs &amp; Revenue'!P13*P64</f>
        <v/>
      </c>
      <c r="Q67" s="84">
        <f>'Costs &amp; Revenue'!Q13*Q64</f>
        <v/>
      </c>
      <c r="R67" s="84">
        <f>'Costs &amp; Revenue'!R13*R64</f>
        <v/>
      </c>
      <c r="S67" s="84">
        <f>'Costs &amp; Revenue'!S13*S64</f>
        <v/>
      </c>
      <c r="T67" s="84">
        <f>'Costs &amp; Revenue'!T13*T64</f>
        <v/>
      </c>
      <c r="U67" s="84">
        <f>'Costs &amp; Revenue'!U13*U64</f>
        <v/>
      </c>
      <c r="V67" s="84">
        <f>'Costs &amp; Revenue'!V13*V64</f>
        <v/>
      </c>
      <c r="W67" s="84">
        <f>'Costs &amp; Revenue'!W13*W64</f>
        <v/>
      </c>
      <c r="X67" s="84">
        <f>'Costs &amp; Revenue'!X13*X64</f>
        <v/>
      </c>
      <c r="Y67" s="84">
        <f>'Costs &amp; Revenue'!Y13*Y64</f>
        <v/>
      </c>
      <c r="Z67" s="84">
        <f>'Costs &amp; Revenue'!Z13*Z64</f>
        <v/>
      </c>
      <c r="AA67" s="84">
        <f>'Costs &amp; Revenue'!AA13*AA64</f>
        <v/>
      </c>
      <c r="AB67" s="84">
        <f>'Costs &amp; Revenue'!AB13*AB64</f>
        <v/>
      </c>
      <c r="AC67" s="84">
        <f>'Costs &amp; Revenue'!AC13*AC64</f>
        <v/>
      </c>
      <c r="AD67" s="84">
        <f>'Costs &amp; Revenue'!AD13*AD64</f>
        <v/>
      </c>
      <c r="AE67" s="84">
        <f>'Costs &amp; Revenue'!AE13*AE64</f>
        <v/>
      </c>
      <c r="AF67" s="84">
        <f>'Costs &amp; Revenue'!AF13*AF64</f>
        <v/>
      </c>
      <c r="AG67" s="84">
        <f>'Costs &amp; Revenue'!AG13*AG64</f>
        <v/>
      </c>
      <c r="AH67" s="84">
        <f>'Costs &amp; Revenue'!AH13*AH64</f>
        <v/>
      </c>
      <c r="AI67" s="84">
        <f>'Costs &amp; Revenue'!AI13*AI64</f>
        <v/>
      </c>
      <c r="AJ67" s="84">
        <f>'Costs &amp; Revenue'!AJ13*AJ64</f>
        <v/>
      </c>
      <c r="AK67" s="84">
        <f>'Costs &amp; Revenue'!AK13*AK64</f>
        <v/>
      </c>
      <c r="AL67" s="84">
        <f>'Costs &amp; Revenue'!AL13*AL64</f>
        <v/>
      </c>
      <c r="AM67" s="84">
        <f>'Costs &amp; Revenue'!AM13*AM64</f>
        <v/>
      </c>
      <c r="AN67" s="84">
        <f>'Costs &amp; Revenue'!AN13*AN64</f>
        <v/>
      </c>
      <c r="AO67" s="84">
        <f>'Costs &amp; Revenue'!AO13*AO64</f>
        <v/>
      </c>
      <c r="AP67" s="84">
        <f>'Costs &amp; Revenue'!AP13*AP64</f>
        <v/>
      </c>
      <c r="AQ67" s="84">
        <f>'Costs &amp; Revenue'!AQ13*AQ64</f>
        <v/>
      </c>
      <c r="AR67" s="84">
        <f>'Costs &amp; Revenue'!AR13*AR64</f>
        <v/>
      </c>
      <c r="AS67" s="84">
        <f>'Costs &amp; Revenue'!AS13*AS64</f>
        <v/>
      </c>
      <c r="AT67" s="84">
        <f>'Costs &amp; Revenue'!AT13*AT64</f>
        <v/>
      </c>
      <c r="AU67" s="84">
        <f>'Costs &amp; Revenue'!AU13*AU64</f>
        <v/>
      </c>
      <c r="AV67" s="84">
        <f>'Costs &amp; Revenue'!AV13*AV64</f>
        <v/>
      </c>
      <c r="AW67" s="84">
        <f>'Costs &amp; Revenue'!AW13*AW64</f>
        <v/>
      </c>
      <c r="AX67" s="84">
        <f>'Costs &amp; Revenue'!AX13*AX64</f>
        <v/>
      </c>
      <c r="AY67" s="84">
        <f>'Costs &amp; Revenue'!AY13*AY64</f>
        <v/>
      </c>
      <c r="AZ67" s="84">
        <f>'Costs &amp; Revenue'!AZ13*AZ64</f>
        <v/>
      </c>
      <c r="BA67" s="84">
        <f>'Costs &amp; Revenue'!BA13*BA64</f>
        <v/>
      </c>
      <c r="BB67" s="84">
        <f>'Costs &amp; Revenue'!BB13*BB64</f>
        <v/>
      </c>
    </row>
    <row r="68" ht="15" customHeight="1">
      <c r="A68" s="21" t="n"/>
      <c r="D68" s="21" t="n"/>
      <c r="E68" s="21" t="inlineStr">
        <is>
          <t>Non-controllable Opex change from baseline</t>
        </is>
      </c>
      <c r="G68" s="5" t="inlineStr">
        <is>
          <t>£m nominal prices</t>
        </is>
      </c>
      <c r="H68" s="21" t="inlineStr">
        <is>
          <t>DNCOCt</t>
        </is>
      </c>
      <c r="L68" s="33" t="n"/>
      <c r="M68" s="33" t="n"/>
      <c r="N68" s="33" t="n"/>
      <c r="O68" s="33" t="n"/>
      <c r="P68" s="84">
        <f>P66-P67</f>
        <v/>
      </c>
      <c r="Q68" s="84">
        <f>Q66-Q67</f>
        <v/>
      </c>
      <c r="R68" s="84">
        <f>R66-R67</f>
        <v/>
      </c>
      <c r="S68" s="84">
        <f>S66-S67</f>
        <v/>
      </c>
      <c r="T68" s="84">
        <f>T66-T67</f>
        <v/>
      </c>
      <c r="U68" s="84">
        <f>U66-U67</f>
        <v/>
      </c>
      <c r="V68" s="84">
        <f>V66-V67</f>
        <v/>
      </c>
      <c r="W68" s="84">
        <f>W66-W67</f>
        <v/>
      </c>
      <c r="X68" s="84">
        <f>X66-X67</f>
        <v/>
      </c>
      <c r="Y68" s="84">
        <f>Y66-Y67</f>
        <v/>
      </c>
      <c r="Z68" s="84">
        <f>Z66-Z67</f>
        <v/>
      </c>
      <c r="AA68" s="84">
        <f>AA66-AA67</f>
        <v/>
      </c>
      <c r="AB68" s="84">
        <f>AB66-AB67</f>
        <v/>
      </c>
      <c r="AC68" s="84">
        <f>AC66-AC67</f>
        <v/>
      </c>
      <c r="AD68" s="84">
        <f>AD66-AD67</f>
        <v/>
      </c>
      <c r="AE68" s="84">
        <f>AE66-AE67</f>
        <v/>
      </c>
      <c r="AF68" s="84">
        <f>AF66-AF67</f>
        <v/>
      </c>
      <c r="AG68" s="84">
        <f>AG66-AG67</f>
        <v/>
      </c>
      <c r="AH68" s="84">
        <f>AH66-AH67</f>
        <v/>
      </c>
      <c r="AI68" s="84">
        <f>AI66-AI67</f>
        <v/>
      </c>
      <c r="AJ68" s="84">
        <f>AJ66-AJ67</f>
        <v/>
      </c>
      <c r="AK68" s="84">
        <f>AK66-AK67</f>
        <v/>
      </c>
      <c r="AL68" s="84">
        <f>AL66-AL67</f>
        <v/>
      </c>
      <c r="AM68" s="84">
        <f>AM66-AM67</f>
        <v/>
      </c>
      <c r="AN68" s="84">
        <f>AN66-AN67</f>
        <v/>
      </c>
      <c r="AO68" s="84">
        <f>AO66-AO67</f>
        <v/>
      </c>
      <c r="AP68" s="84">
        <f>AP66-AP67</f>
        <v/>
      </c>
      <c r="AQ68" s="84">
        <f>AQ66-AQ67</f>
        <v/>
      </c>
      <c r="AR68" s="84">
        <f>AR66-AR67</f>
        <v/>
      </c>
      <c r="AS68" s="84">
        <f>AS66-AS67</f>
        <v/>
      </c>
      <c r="AT68" s="84">
        <f>AT66-AT67</f>
        <v/>
      </c>
      <c r="AU68" s="84">
        <f>AU66-AU67</f>
        <v/>
      </c>
      <c r="AV68" s="84">
        <f>AV66-AV67</f>
        <v/>
      </c>
      <c r="AW68" s="84">
        <f>AW66-AW67</f>
        <v/>
      </c>
      <c r="AX68" s="84">
        <f>AX66-AX67</f>
        <v/>
      </c>
      <c r="AY68" s="84">
        <f>AY66-AY67</f>
        <v/>
      </c>
      <c r="AZ68" s="84">
        <f>AZ66-AZ67</f>
        <v/>
      </c>
      <c r="BA68" s="84">
        <f>BA66-BA67</f>
        <v/>
      </c>
      <c r="BB68" s="84">
        <f>BB66-BB67</f>
        <v/>
      </c>
    </row>
    <row r="69" ht="15" customHeight="1">
      <c r="A69" s="21" t="n"/>
      <c r="D69" s="21" t="n"/>
      <c r="G69" s="5" t="n"/>
      <c r="L69" s="5" t="n"/>
      <c r="M69" s="5" t="n"/>
      <c r="N69" s="5" t="n"/>
      <c r="O69" s="5" t="n"/>
      <c r="P69" s="5" t="n"/>
      <c r="Q69" s="5" t="n"/>
      <c r="R69" s="5" t="n"/>
      <c r="S69" s="5" t="n"/>
      <c r="T69" s="5" t="n"/>
      <c r="U69" s="5" t="n"/>
      <c r="V69" s="5" t="n"/>
      <c r="W69" s="5" t="n"/>
      <c r="X69" s="5" t="n"/>
      <c r="Y69" s="5" t="n"/>
      <c r="Z69" s="5" t="n"/>
      <c r="AA69" s="5" t="n"/>
      <c r="AB69" s="5" t="n"/>
      <c r="AC69" s="5" t="n"/>
      <c r="AD69" s="5" t="n"/>
      <c r="AE69" s="5" t="n"/>
      <c r="AF69" s="5" t="n"/>
      <c r="AG69" s="5" t="n"/>
      <c r="AH69" s="5" t="n"/>
      <c r="AI69" s="5" t="n"/>
      <c r="AJ69" s="5" t="n"/>
      <c r="AK69" s="5" t="n"/>
      <c r="AL69" s="5" t="n"/>
      <c r="AM69" s="5" t="n"/>
      <c r="AN69" s="5" t="n"/>
      <c r="AO69" s="5" t="n"/>
      <c r="AP69" s="5" t="n"/>
      <c r="AQ69" s="5" t="n"/>
      <c r="AR69" s="5" t="n"/>
      <c r="AS69" s="5" t="n"/>
      <c r="AT69" s="5" t="n"/>
      <c r="AU69" s="5" t="n"/>
      <c r="AV69" s="5" t="n"/>
      <c r="AW69" s="5" t="n"/>
      <c r="AX69" s="5" t="n"/>
      <c r="AY69" s="5" t="n"/>
      <c r="AZ69" s="5" t="n"/>
      <c r="BA69" s="5" t="n"/>
      <c r="BB69" s="5" t="n"/>
    </row>
    <row r="70" ht="27" customHeight="1">
      <c r="A70" s="21" t="n"/>
      <c r="D70" s="21" t="n"/>
      <c r="E70" s="47" t="inlineStr">
        <is>
          <t>Adjustment to non-controllable Opex (from NRA efficiency and economic review)</t>
        </is>
      </c>
      <c r="G70" s="5" t="inlineStr">
        <is>
          <t>£m nominal prices</t>
        </is>
      </c>
      <c r="L70" s="33" t="n"/>
      <c r="M70" s="33" t="n"/>
      <c r="N70" s="33" t="n"/>
      <c r="O70" s="33" t="n"/>
      <c r="P70" s="84">
        <f>'Costs &amp; Revenue'!P25</f>
        <v/>
      </c>
      <c r="Q70" s="84">
        <f>'Costs &amp; Revenue'!Q25</f>
        <v/>
      </c>
      <c r="R70" s="84">
        <f>'Costs &amp; Revenue'!R25</f>
        <v/>
      </c>
      <c r="S70" s="84">
        <f>'Costs &amp; Revenue'!S25</f>
        <v/>
      </c>
      <c r="T70" s="84">
        <f>'Costs &amp; Revenue'!T25</f>
        <v/>
      </c>
      <c r="U70" s="84">
        <f>'Costs &amp; Revenue'!U25</f>
        <v/>
      </c>
      <c r="V70" s="84">
        <f>'Costs &amp; Revenue'!V25</f>
        <v/>
      </c>
      <c r="W70" s="84">
        <f>'Costs &amp; Revenue'!W25</f>
        <v/>
      </c>
      <c r="X70" s="84">
        <f>'Costs &amp; Revenue'!X25</f>
        <v/>
      </c>
      <c r="Y70" s="84">
        <f>'Costs &amp; Revenue'!Y25</f>
        <v/>
      </c>
      <c r="Z70" s="84">
        <f>'Costs &amp; Revenue'!Z25</f>
        <v/>
      </c>
      <c r="AA70" s="84">
        <f>'Costs &amp; Revenue'!AA25</f>
        <v/>
      </c>
      <c r="AB70" s="84">
        <f>'Costs &amp; Revenue'!AB25</f>
        <v/>
      </c>
      <c r="AC70" s="84">
        <f>'Costs &amp; Revenue'!AC25</f>
        <v/>
      </c>
      <c r="AD70" s="84">
        <f>'Costs &amp; Revenue'!AD25</f>
        <v/>
      </c>
      <c r="AE70" s="84">
        <f>'Costs &amp; Revenue'!AE25</f>
        <v/>
      </c>
      <c r="AF70" s="84">
        <f>'Costs &amp; Revenue'!AF25</f>
        <v/>
      </c>
      <c r="AG70" s="84">
        <f>'Costs &amp; Revenue'!AG25</f>
        <v/>
      </c>
      <c r="AH70" s="84">
        <f>'Costs &amp; Revenue'!AH25</f>
        <v/>
      </c>
      <c r="AI70" s="84">
        <f>'Costs &amp; Revenue'!AI25</f>
        <v/>
      </c>
      <c r="AJ70" s="84">
        <f>'Costs &amp; Revenue'!AJ25</f>
        <v/>
      </c>
      <c r="AK70" s="84">
        <f>'Costs &amp; Revenue'!AK25</f>
        <v/>
      </c>
      <c r="AL70" s="84">
        <f>'Costs &amp; Revenue'!AL25</f>
        <v/>
      </c>
      <c r="AM70" s="84">
        <f>'Costs &amp; Revenue'!AM25</f>
        <v/>
      </c>
      <c r="AN70" s="84">
        <f>'Costs &amp; Revenue'!AN25</f>
        <v/>
      </c>
      <c r="AO70" s="84">
        <f>'Costs &amp; Revenue'!AO25</f>
        <v/>
      </c>
      <c r="AP70" s="84">
        <f>'Costs &amp; Revenue'!AP25</f>
        <v/>
      </c>
      <c r="AQ70" s="84">
        <f>'Costs &amp; Revenue'!AQ25</f>
        <v/>
      </c>
      <c r="AR70" s="84">
        <f>'Costs &amp; Revenue'!AR25</f>
        <v/>
      </c>
      <c r="AS70" s="84">
        <f>'Costs &amp; Revenue'!AS25</f>
        <v/>
      </c>
      <c r="AT70" s="84">
        <f>'Costs &amp; Revenue'!AT25</f>
        <v/>
      </c>
      <c r="AU70" s="84">
        <f>'Costs &amp; Revenue'!AU25</f>
        <v/>
      </c>
      <c r="AV70" s="84">
        <f>'Costs &amp; Revenue'!AV25</f>
        <v/>
      </c>
      <c r="AW70" s="84">
        <f>'Costs &amp; Revenue'!AW25</f>
        <v/>
      </c>
      <c r="AX70" s="84">
        <f>'Costs &amp; Revenue'!AX25</f>
        <v/>
      </c>
      <c r="AY70" s="84">
        <f>'Costs &amp; Revenue'!AY25</f>
        <v/>
      </c>
      <c r="AZ70" s="84">
        <f>'Costs &amp; Revenue'!AZ25</f>
        <v/>
      </c>
      <c r="BA70" s="84">
        <f>'Costs &amp; Revenue'!BA25</f>
        <v/>
      </c>
      <c r="BB70" s="84">
        <f>'Costs &amp; Revenue'!BB25</f>
        <v/>
      </c>
    </row>
    <row r="71" ht="15" customHeight="1">
      <c r="A71" s="21" t="n"/>
      <c r="D71" s="21" t="n"/>
      <c r="E71" s="5" t="n"/>
      <c r="O71" s="5" t="n"/>
      <c r="P71" s="5" t="n"/>
      <c r="Q71" s="5" t="n"/>
      <c r="R71" s="5" t="n"/>
      <c r="S71" s="5" t="n"/>
      <c r="T71" s="5" t="n"/>
      <c r="U71" s="5" t="n"/>
      <c r="V71" s="5" t="n"/>
      <c r="W71" s="5" t="n"/>
      <c r="X71" s="5" t="n"/>
      <c r="Y71" s="5" t="n"/>
      <c r="Z71" s="5" t="n"/>
      <c r="AA71" s="5" t="n"/>
      <c r="AB71" s="5" t="n"/>
      <c r="AC71" s="5" t="n"/>
      <c r="AD71" s="5" t="n"/>
      <c r="AE71" s="5" t="n"/>
      <c r="AF71" s="5" t="n"/>
      <c r="AG71" s="5" t="n"/>
      <c r="AH71" s="5" t="n"/>
      <c r="AI71" s="5" t="n"/>
      <c r="AJ71" s="5" t="n"/>
      <c r="AK71" s="5" t="n"/>
      <c r="AL71" s="5" t="n"/>
      <c r="AM71" s="5" t="n"/>
      <c r="AN71" s="5" t="n"/>
      <c r="AO71" s="5" t="n"/>
      <c r="AP71" s="5" t="n"/>
      <c r="AQ71" s="5" t="n"/>
      <c r="AR71" s="5" t="n"/>
      <c r="AS71" s="5" t="n"/>
      <c r="AT71" s="5" t="n"/>
      <c r="AU71" s="5" t="n"/>
      <c r="AV71" s="5" t="n"/>
      <c r="AW71" s="5" t="n"/>
      <c r="AX71" s="5" t="n"/>
      <c r="AY71" s="5" t="n"/>
      <c r="AZ71" s="5" t="n"/>
      <c r="BA71" s="5" t="n"/>
      <c r="BB71" s="5" t="n"/>
    </row>
    <row r="72" ht="15" customHeight="1">
      <c r="A72" s="21" t="n"/>
      <c r="D72" s="21" t="n"/>
      <c r="E72" s="5" t="inlineStr">
        <is>
          <t>Total non-controllable Opex change from baseline (including NRA)</t>
        </is>
      </c>
      <c r="G72" s="5" t="inlineStr">
        <is>
          <t>£m nominal prices</t>
        </is>
      </c>
      <c r="H72" s="21" t="inlineStr">
        <is>
          <t>NCOCt</t>
        </is>
      </c>
      <c r="L72" s="60" t="n">
        <v>0</v>
      </c>
      <c r="M72" s="60" t="n">
        <v>0</v>
      </c>
      <c r="N72" s="60" t="n">
        <v>0</v>
      </c>
      <c r="O72" s="60" t="n">
        <v>0</v>
      </c>
      <c r="P72" s="5">
        <f>P68+P70</f>
        <v/>
      </c>
      <c r="Q72" s="5">
        <f>Q68+Q70</f>
        <v/>
      </c>
      <c r="R72" s="5">
        <f>R68+R70</f>
        <v/>
      </c>
      <c r="S72" s="5">
        <f>S68+S70</f>
        <v/>
      </c>
      <c r="T72" s="5">
        <f>T68+T70</f>
        <v/>
      </c>
      <c r="U72" s="5">
        <f>U68+U70</f>
        <v/>
      </c>
      <c r="V72" s="5">
        <f>V68+V70</f>
        <v/>
      </c>
      <c r="W72" s="5">
        <f>W68+W70</f>
        <v/>
      </c>
      <c r="X72" s="5">
        <f>X68+X70</f>
        <v/>
      </c>
      <c r="Y72" s="5">
        <f>Y68+Y70</f>
        <v/>
      </c>
      <c r="Z72" s="5">
        <f>Z68+Z70</f>
        <v/>
      </c>
      <c r="AA72" s="5">
        <f>AA68+AA70</f>
        <v/>
      </c>
      <c r="AB72" s="5">
        <f>AB68+AB70</f>
        <v/>
      </c>
      <c r="AC72" s="5">
        <f>AC68+AC70</f>
        <v/>
      </c>
      <c r="AD72" s="5">
        <f>AD68+AD70</f>
        <v/>
      </c>
      <c r="AE72" s="5">
        <f>AE68+AE70</f>
        <v/>
      </c>
      <c r="AF72" s="5">
        <f>AF68+AF70</f>
        <v/>
      </c>
      <c r="AG72" s="5">
        <f>AG68+AG70</f>
        <v/>
      </c>
      <c r="AH72" s="5">
        <f>AH68+AH70</f>
        <v/>
      </c>
      <c r="AI72" s="5">
        <f>AI68+AI70</f>
        <v/>
      </c>
      <c r="AJ72" s="5">
        <f>AJ68+AJ70</f>
        <v/>
      </c>
      <c r="AK72" s="5">
        <f>AK68+AK70</f>
        <v/>
      </c>
      <c r="AL72" s="5">
        <f>AL68+AL70</f>
        <v/>
      </c>
      <c r="AM72" s="5">
        <f>AM68+AM70</f>
        <v/>
      </c>
      <c r="AN72" s="5">
        <f>AN68+AN70</f>
        <v/>
      </c>
      <c r="AO72" s="5">
        <f>AO68+AO70</f>
        <v/>
      </c>
      <c r="AP72" s="5">
        <f>AP68+AP70</f>
        <v/>
      </c>
      <c r="AQ72" s="5">
        <f>AQ68+AQ70</f>
        <v/>
      </c>
      <c r="AR72" s="5">
        <f>AR68+AR70</f>
        <v/>
      </c>
      <c r="AS72" s="5">
        <f>AS68+AS70</f>
        <v/>
      </c>
      <c r="AT72" s="5">
        <f>AT68+AT70</f>
        <v/>
      </c>
      <c r="AU72" s="5">
        <f>AU68+AU70</f>
        <v/>
      </c>
      <c r="AV72" s="5">
        <f>AV68+AV70</f>
        <v/>
      </c>
      <c r="AW72" s="5">
        <f>AW68+AW70</f>
        <v/>
      </c>
      <c r="AX72" s="5">
        <f>AX68+AX70</f>
        <v/>
      </c>
      <c r="AY72" s="5">
        <f>AY68+AY70</f>
        <v/>
      </c>
      <c r="AZ72" s="5">
        <f>AZ68+AZ70</f>
        <v/>
      </c>
      <c r="BA72" s="5">
        <f>BA68+BA70</f>
        <v/>
      </c>
      <c r="BB72" s="5">
        <f>BB68+BB70</f>
        <v/>
      </c>
    </row>
    <row r="73" ht="15" customHeight="1"/>
    <row r="74" ht="26" customHeight="1">
      <c r="A74" s="21" t="n"/>
      <c r="D74" s="21" t="n"/>
      <c r="E74" s="46" t="inlineStr">
        <is>
          <t>Pass-through revenue adjustment (assessed) - Unadjusted for end of period</t>
        </is>
      </c>
      <c r="G74" s="5" t="inlineStr">
        <is>
          <t>£m nominal prices</t>
        </is>
      </c>
      <c r="L74" s="33" t="n"/>
      <c r="M74" s="33" t="n"/>
      <c r="N74" s="33" t="n"/>
      <c r="O74" s="33" t="n"/>
      <c r="P74" s="5">
        <f>MMULT(L72:P72,P$16:P$20)</f>
        <v/>
      </c>
      <c r="Q74" s="5">
        <f>MMULT(M72:Q72,Q$16:Q$20)</f>
        <v/>
      </c>
      <c r="R74" s="5">
        <f>MMULT(N72:R72,R$16:R$20)</f>
        <v/>
      </c>
      <c r="S74" s="5">
        <f>MMULT(O72:S72,S$16:S$20)</f>
        <v/>
      </c>
      <c r="T74" s="5">
        <f>MMULT(P72:T72,T$16:T$20)</f>
        <v/>
      </c>
      <c r="U74" s="5">
        <f>MMULT(Q72:U72,U$16:U$20)</f>
        <v/>
      </c>
      <c r="V74" s="5">
        <f>MMULT(R72:V72,V$16:V$20)</f>
        <v/>
      </c>
      <c r="W74" s="5">
        <f>MMULT(S72:W72,W$16:W$20)</f>
        <v/>
      </c>
      <c r="X74" s="5">
        <f>MMULT(T72:X72,X$16:X$20)</f>
        <v/>
      </c>
      <c r="Y74" s="5">
        <f>MMULT(U72:Y72,Y$16:Y$20)</f>
        <v/>
      </c>
      <c r="Z74" s="5">
        <f>MMULT(V72:Z72,Z$16:Z$20)</f>
        <v/>
      </c>
      <c r="AA74" s="5">
        <f>MMULT(W72:AA72,AA$16:AA$20)</f>
        <v/>
      </c>
      <c r="AB74" s="5">
        <f>MMULT(X72:AB72,AB$16:AB$20)</f>
        <v/>
      </c>
      <c r="AC74" s="5">
        <f>MMULT(Y72:AC72,AC$16:AC$20)</f>
        <v/>
      </c>
      <c r="AD74" s="5">
        <f>MMULT(Z72:AD72,AD$16:AD$20)</f>
        <v/>
      </c>
      <c r="AE74" s="5">
        <f>MMULT(AA72:AE72,AE$16:AE$20)</f>
        <v/>
      </c>
      <c r="AF74" s="5">
        <f>MMULT(AB72:AF72,AF$16:AF$20)</f>
        <v/>
      </c>
      <c r="AG74" s="5">
        <f>MMULT(AC72:AG72,AG$16:AG$20)</f>
        <v/>
      </c>
      <c r="AH74" s="5">
        <f>MMULT(AD72:AH72,AH$16:AH$20)</f>
        <v/>
      </c>
      <c r="AI74" s="5">
        <f>MMULT(AE72:AI72,AI$16:AI$20)</f>
        <v/>
      </c>
      <c r="AJ74" s="5">
        <f>MMULT(AF72:AJ72,AJ$16:AJ$20)</f>
        <v/>
      </c>
      <c r="AK74" s="5">
        <f>MMULT(AG72:AK72,AK$16:AK$20)</f>
        <v/>
      </c>
      <c r="AL74" s="5">
        <f>MMULT(AH72:AL72,AL$16:AL$20)</f>
        <v/>
      </c>
      <c r="AM74" s="5">
        <f>MMULT(AI72:AM72,AM$16:AM$20)</f>
        <v/>
      </c>
      <c r="AN74" s="5">
        <f>MMULT(AJ72:AN72,AN$16:AN$20)</f>
        <v/>
      </c>
      <c r="AO74" s="5">
        <f>MMULT(AK72:AO72,AO$16:AO$20)</f>
        <v/>
      </c>
      <c r="AP74" s="5">
        <f>MMULT(AL72:AP72,AP$16:AP$20)</f>
        <v/>
      </c>
      <c r="AQ74" s="5">
        <f>MMULT(AM72:AQ72,AQ$16:AQ$20)</f>
        <v/>
      </c>
      <c r="AR74" s="5">
        <f>MMULT(AN72:AR72,AR$16:AR$20)</f>
        <v/>
      </c>
      <c r="AS74" s="5">
        <f>MMULT(AO72:AS72,AS$16:AS$20)</f>
        <v/>
      </c>
      <c r="AT74" s="5">
        <f>MMULT(AP72:AT72,AT$16:AT$20)</f>
        <v/>
      </c>
      <c r="AU74" s="5">
        <f>MMULT(AQ72:AU72,AU$16:AU$20)</f>
        <v/>
      </c>
      <c r="AV74" s="5">
        <f>MMULT(AR72:AV72,AV$16:AV$20)</f>
        <v/>
      </c>
      <c r="AW74" s="5">
        <f>MMULT(AS72:AW72,AW$16:AW$20)</f>
        <v/>
      </c>
      <c r="AX74" s="5">
        <f>MMULT(AT72:AX72,AX$16:AX$20)</f>
        <v/>
      </c>
      <c r="AY74" s="5">
        <f>MMULT(AU72:AY72,AY$16:AY$20)</f>
        <v/>
      </c>
      <c r="AZ74" s="5">
        <f>MMULT(AV72:AZ72,AZ$16:AZ$20)</f>
        <v/>
      </c>
      <c r="BA74" s="5">
        <f>MMULT(AW72:BA72,BA$16:BA$20)</f>
        <v/>
      </c>
      <c r="BB74" s="5">
        <f>MMULT(AX72:BB72,BB$16:BB$20)</f>
        <v/>
      </c>
    </row>
    <row r="75" ht="15" customHeight="1">
      <c r="A75" s="21" t="n"/>
      <c r="D75" s="21" t="n"/>
      <c r="E75" s="5" t="n"/>
      <c r="G75" s="5" t="n"/>
      <c r="L75" s="5" t="n"/>
      <c r="M75" s="5" t="n"/>
      <c r="N75" s="5" t="n"/>
      <c r="O75" s="5" t="n"/>
      <c r="P75" s="5" t="n"/>
      <c r="Q75" s="5" t="n"/>
      <c r="R75" s="5" t="n"/>
      <c r="S75" s="5" t="n"/>
      <c r="T75" s="5" t="n"/>
      <c r="U75" s="5" t="n"/>
      <c r="V75" s="5" t="n"/>
      <c r="W75" s="5" t="n"/>
      <c r="X75" s="5" t="n"/>
      <c r="Y75" s="5" t="n"/>
      <c r="Z75" s="5" t="n"/>
      <c r="AA75" s="5" t="n"/>
      <c r="AB75" s="5" t="n"/>
      <c r="AC75" s="5" t="n"/>
      <c r="AD75" s="5" t="n"/>
      <c r="AE75" s="5" t="n"/>
      <c r="AF75" s="5" t="n"/>
      <c r="AG75" s="5" t="n"/>
      <c r="AH75" s="5" t="n"/>
      <c r="AI75" s="5" t="n"/>
      <c r="AJ75" s="5" t="n"/>
      <c r="AK75" s="5" t="n"/>
      <c r="AL75" s="5" t="n"/>
      <c r="AM75" s="5" t="n"/>
      <c r="AN75" s="5" t="n"/>
      <c r="AO75" s="5" t="n"/>
      <c r="AP75" s="5" t="n"/>
      <c r="AQ75" s="5" t="n"/>
      <c r="AR75" s="5" t="n"/>
      <c r="AS75" s="5" t="n"/>
      <c r="AT75" s="5" t="n"/>
      <c r="AU75" s="5" t="n"/>
      <c r="AV75" s="5" t="n"/>
      <c r="AW75" s="5" t="n"/>
      <c r="AX75" s="5" t="n"/>
      <c r="AY75" s="5" t="n"/>
      <c r="AZ75" s="5" t="n"/>
      <c r="BA75" s="5" t="n"/>
      <c r="BB75" s="5" t="n"/>
    </row>
    <row r="76" ht="28.5" customHeight="1">
      <c r="A76" s="21" t="n"/>
      <c r="D76" s="21" t="n"/>
      <c r="E76" s="46" t="inlineStr">
        <is>
          <t>End of period pass-through revenue adjustment (assessed)</t>
        </is>
      </c>
      <c r="G76" s="5" t="inlineStr">
        <is>
          <t>£m nominal prices</t>
        </is>
      </c>
      <c r="H76" s="21" t="inlineStr">
        <is>
          <t>PTAap</t>
        </is>
      </c>
      <c r="L76" s="33" t="n"/>
      <c r="M76" s="33" t="n"/>
      <c r="N76" s="33" t="n"/>
      <c r="O76" s="33" t="n"/>
      <c r="P76" s="77">
        <f>P74*P48</f>
        <v/>
      </c>
      <c r="Q76" s="77">
        <f>Q74*Q48</f>
        <v/>
      </c>
      <c r="R76" s="77">
        <f>R74*R48</f>
        <v/>
      </c>
      <c r="S76" s="77">
        <f>S74*S48</f>
        <v/>
      </c>
      <c r="T76" s="77">
        <f>T74*T48</f>
        <v/>
      </c>
      <c r="U76" s="77">
        <f>U74*U48</f>
        <v/>
      </c>
      <c r="V76" s="77">
        <f>V74*V48</f>
        <v/>
      </c>
      <c r="W76" s="77">
        <f>W74*W48</f>
        <v/>
      </c>
      <c r="X76" s="77">
        <f>X74*X48</f>
        <v/>
      </c>
      <c r="Y76" s="77">
        <f>Y74*Y48</f>
        <v/>
      </c>
      <c r="Z76" s="77">
        <f>Z74*Z48</f>
        <v/>
      </c>
      <c r="AA76" s="77">
        <f>AA74*AA48</f>
        <v/>
      </c>
      <c r="AB76" s="77">
        <f>AB74*AB48</f>
        <v/>
      </c>
      <c r="AC76" s="77">
        <f>AC74*AC48</f>
        <v/>
      </c>
      <c r="AD76" s="77">
        <f>AD74*AD48</f>
        <v/>
      </c>
      <c r="AE76" s="77">
        <f>AE74*AE48</f>
        <v/>
      </c>
      <c r="AF76" s="77">
        <f>AF74*AF48</f>
        <v/>
      </c>
      <c r="AG76" s="77">
        <f>AG74*AG48</f>
        <v/>
      </c>
      <c r="AH76" s="77">
        <f>AH74*AH48</f>
        <v/>
      </c>
      <c r="AI76" s="77">
        <f>AI74*AI48</f>
        <v/>
      </c>
      <c r="AJ76" s="77">
        <f>AJ74*AJ48</f>
        <v/>
      </c>
      <c r="AK76" s="77">
        <f>AK74*AK48</f>
        <v/>
      </c>
      <c r="AL76" s="77">
        <f>AL74*AL48</f>
        <v/>
      </c>
      <c r="AM76" s="77">
        <f>AM74*AM48</f>
        <v/>
      </c>
      <c r="AN76" s="77">
        <f>AN74*AN48</f>
        <v/>
      </c>
      <c r="AO76" s="77">
        <f>AO74*AO48</f>
        <v/>
      </c>
      <c r="AP76" s="77">
        <f>AP74*AP48</f>
        <v/>
      </c>
      <c r="AQ76" s="77">
        <f>AQ74*AQ48</f>
        <v/>
      </c>
      <c r="AR76" s="77">
        <f>AR74*AR48</f>
        <v/>
      </c>
      <c r="AS76" s="77">
        <f>AS74*AS48</f>
        <v/>
      </c>
      <c r="AT76" s="77">
        <f>AT74*AT48</f>
        <v/>
      </c>
      <c r="AU76" s="77">
        <f>AU74*AU48</f>
        <v/>
      </c>
      <c r="AV76" s="77">
        <f>AV74*AV48</f>
        <v/>
      </c>
      <c r="AW76" s="77">
        <f>AW74*AW48</f>
        <v/>
      </c>
      <c r="AX76" s="77">
        <f>AX74*AX48</f>
        <v/>
      </c>
      <c r="AY76" s="77">
        <f>AY74*AY48</f>
        <v/>
      </c>
      <c r="AZ76" s="77">
        <f>AZ74*AZ48</f>
        <v/>
      </c>
      <c r="BA76" s="77">
        <f>BA74*BA48</f>
        <v/>
      </c>
      <c r="BB76" s="77">
        <f>BB74*BB48</f>
        <v/>
      </c>
    </row>
    <row r="77" ht="15" customHeight="1">
      <c r="A77" s="21" t="n"/>
      <c r="D77" s="21" t="n"/>
      <c r="W77" s="68" t="n"/>
      <c r="X77" s="68" t="n"/>
      <c r="Y77" s="68" t="n"/>
      <c r="Z77" s="68" t="n"/>
      <c r="AA77" s="68" t="n"/>
      <c r="AB77" s="68" t="n"/>
      <c r="AC77" s="68" t="n"/>
      <c r="AD77" s="68" t="n"/>
      <c r="AE77" s="68" t="n"/>
      <c r="AF77" s="68" t="n"/>
      <c r="AG77" s="68" t="n"/>
      <c r="AH77" s="68" t="n"/>
      <c r="AI77" s="68" t="n"/>
      <c r="AJ77" s="68" t="n"/>
      <c r="AK77" s="68" t="n"/>
      <c r="AL77" s="68" t="n"/>
      <c r="AM77" s="68" t="n"/>
      <c r="AN77" s="68" t="n"/>
      <c r="AO77" s="68" t="n"/>
      <c r="AP77" s="68" t="n"/>
      <c r="AQ77" s="68" t="n"/>
      <c r="AR77" s="68" t="n"/>
      <c r="AS77" s="68" t="n"/>
      <c r="AT77" s="68" t="n"/>
      <c r="AU77" s="68" t="n"/>
      <c r="AV77" s="68" t="n"/>
      <c r="AW77" s="68" t="n"/>
      <c r="AX77" s="68" t="n"/>
      <c r="AY77" s="68" t="n"/>
      <c r="AZ77" s="68" t="n"/>
      <c r="BA77" s="68" t="n"/>
      <c r="BB77" s="68" t="n"/>
    </row>
    <row r="78" ht="15" customFormat="1" customHeight="1" s="4">
      <c r="B78" s="8" t="inlineStr">
        <is>
          <t>End of sheet</t>
        </is>
      </c>
      <c r="C78" s="8" t="n"/>
      <c r="D78" s="8" t="n"/>
      <c r="E78" s="8" t="n"/>
      <c r="F78" s="8" t="n"/>
      <c r="G78" s="8" t="n"/>
      <c r="H78" s="8" t="n"/>
      <c r="I78" s="8" t="n"/>
      <c r="J78" s="8" t="n"/>
      <c r="K78" s="8" t="n"/>
      <c r="L78" s="8" t="n"/>
      <c r="M78" s="8" t="n"/>
      <c r="N78" s="8" t="n"/>
      <c r="O78" s="8" t="n"/>
      <c r="P78" s="8" t="n"/>
      <c r="Q78" s="8" t="n"/>
      <c r="R78" s="8" t="n"/>
      <c r="S78" s="8" t="n"/>
      <c r="T78" s="8" t="n"/>
      <c r="U78" s="8" t="n"/>
      <c r="V78" s="8" t="n"/>
      <c r="W78" s="8" t="n"/>
      <c r="X78" s="8" t="n"/>
      <c r="Y78" s="8" t="n"/>
      <c r="Z78" s="8" t="n"/>
      <c r="AA78" s="8" t="n"/>
      <c r="AB78" s="8" t="n"/>
      <c r="AC78" s="8" t="n"/>
      <c r="AD78" s="8" t="n"/>
      <c r="AE78" s="8" t="n"/>
      <c r="AF78" s="8" t="n"/>
      <c r="AG78" s="8" t="n"/>
      <c r="AH78" s="8" t="n"/>
      <c r="AI78" s="8" t="n"/>
      <c r="AJ78" s="8" t="n"/>
      <c r="AK78" s="8" t="n"/>
      <c r="AL78" s="8" t="n"/>
      <c r="AM78" s="8" t="n"/>
      <c r="AN78" s="8" t="n"/>
      <c r="AO78" s="8" t="n"/>
      <c r="AP78" s="8" t="n"/>
      <c r="AQ78" s="8" t="n"/>
      <c r="AR78" s="8" t="n"/>
      <c r="AS78" s="8" t="n"/>
      <c r="AT78" s="8" t="n"/>
      <c r="AU78" s="8" t="n"/>
      <c r="AV78" s="8" t="n"/>
      <c r="AW78" s="8" t="n"/>
      <c r="AX78" s="8" t="n"/>
      <c r="AY78" s="8" t="n"/>
      <c r="AZ78" s="8" t="n"/>
      <c r="BA78" s="8" t="n"/>
      <c r="BB78" s="8" t="n"/>
    </row>
    <row r="79" ht="15" customHeight="1"/>
    <row r="80" hidden="1" ht="15" customHeight="1">
      <c r="AF80" s="39" t="n"/>
      <c r="AG80" s="39" t="n"/>
    </row>
  </sheetData>
  <conditionalFormatting sqref="P48:BB48">
    <cfRule type="cellIs" priority="4" operator="equal" dxfId="0">
      <formula>FALSE()</formula>
    </cfRule>
  </conditionalFormatting>
  <pageMargins left="0.2362204724409449" right="0.2362204724409449" top="0.7480314960629921" bottom="0.7480314960629921" header="0.3149606299212598" footer="0.3149606299212598"/>
  <pageSetup orientation="landscape" paperSize="8" scale="42"/>
</worksheet>
</file>

<file path=xl/worksheets/sheet11.xml><?xml version="1.0" encoding="utf-8"?>
<worksheet xmlns="http://schemas.openxmlformats.org/spreadsheetml/2006/main">
  <sheetPr codeName="Sheet18">
    <tabColor theme="6" tint="0.5999938962981048"/>
    <outlinePr summaryBelow="1" summaryRight="1"/>
    <pageSetUpPr fitToPage="1"/>
  </sheetPr>
  <dimension ref="A1:BC25"/>
  <sheetViews>
    <sheetView zoomScaleNormal="100" workbookViewId="0">
      <pane xSplit="10" ySplit="5" topLeftCell="K6" activePane="bottomRight" state="frozen"/>
      <selection pane="topRight" activeCell="A1" sqref="A1"/>
      <selection pane="bottomLeft" activeCell="A1" sqref="A1"/>
      <selection pane="bottomRight" activeCell="I16" sqref="I16"/>
    </sheetView>
  </sheetViews>
  <sheetFormatPr baseColWidth="10" defaultColWidth="0" defaultRowHeight="15" customHeight="1" zeroHeight="1"/>
  <cols>
    <col width="2.59765625" customWidth="1" style="15" min="1" max="3"/>
    <col width="2.59765625" customWidth="1" style="21" min="4" max="4"/>
    <col width="50.59765625" customWidth="1" style="21" min="5" max="5"/>
    <col width="1.59765625" customWidth="1" style="21" min="6" max="6"/>
    <col width="15.59765625" customWidth="1" style="21" min="7" max="7"/>
    <col width="10.59765625" bestFit="1" customWidth="1" style="21" min="8" max="8"/>
    <col width="10.59765625" customWidth="1" style="21" min="9" max="9"/>
    <col width="1.59765625" customWidth="1" style="21" min="10" max="14"/>
    <col width="10.59765625" customWidth="1" style="21" min="15" max="19"/>
    <col width="11" customWidth="1" style="21" min="20" max="20"/>
    <col width="10.59765625" customWidth="1" style="21" min="21" max="54"/>
    <col width="2.59765625" customWidth="1" style="21" min="55" max="55"/>
    <col hidden="1" width="9" customWidth="1" style="21" min="56" max="56"/>
    <col hidden="1" width="9" customWidth="1" style="21" min="57" max="16384"/>
  </cols>
  <sheetData>
    <row r="1" ht="15" customFormat="1" customHeight="1" s="10">
      <c r="A1" s="126" t="inlineStr">
        <is>
          <t>Revenue Adjustment</t>
        </is>
      </c>
      <c r="H1" s="9" t="inlineStr">
        <is>
          <t>Licence</t>
        </is>
      </c>
      <c r="J1" s="61" t="n"/>
      <c r="K1" s="61" t="n"/>
      <c r="L1" s="61" t="n"/>
      <c r="M1" s="61" t="n"/>
      <c r="N1" s="61" t="n"/>
      <c r="O1" s="61" t="n"/>
      <c r="P1" s="61" t="n"/>
      <c r="Q1" s="61" t="n"/>
      <c r="R1" s="61" t="n"/>
      <c r="S1" s="61" t="n"/>
      <c r="T1" s="61" t="n"/>
      <c r="U1" s="61" t="n"/>
      <c r="V1" s="61" t="n"/>
      <c r="W1" s="61" t="n"/>
      <c r="X1" s="61" t="n"/>
      <c r="Y1" s="61" t="n"/>
      <c r="Z1" s="61" t="n"/>
      <c r="AA1" s="61" t="n"/>
      <c r="AB1" s="61" t="n"/>
      <c r="AC1" s="61" t="n"/>
      <c r="AD1" s="61" t="n"/>
      <c r="AE1" s="61" t="n"/>
      <c r="AF1" s="61" t="n"/>
      <c r="AG1" s="61" t="n"/>
      <c r="AH1" s="61" t="n"/>
      <c r="AI1" s="61" t="n"/>
      <c r="AJ1" s="61" t="n"/>
    </row>
    <row r="2" ht="15" customFormat="1" customHeight="1" s="10">
      <c r="E2" s="9" t="inlineStr">
        <is>
          <t>Parameter</t>
        </is>
      </c>
      <c r="F2" s="9" t="n"/>
      <c r="G2" s="9" t="inlineStr">
        <is>
          <t>Units</t>
        </is>
      </c>
      <c r="H2" s="9" t="inlineStr">
        <is>
          <t>Terminology</t>
        </is>
      </c>
      <c r="I2" s="13" t="inlineStr">
        <is>
          <t>Constant</t>
        </is>
      </c>
      <c r="O2" s="9" t="inlineStr">
        <is>
          <t>Annual values</t>
        </is>
      </c>
    </row>
    <row r="3" ht="15" customFormat="1" customHeight="1" s="10">
      <c r="E3" s="52" t="inlineStr">
        <is>
          <t>Year commencing</t>
        </is>
      </c>
      <c r="F3" s="9" t="n"/>
      <c r="G3" s="9" t="n"/>
      <c r="H3" s="9" t="n"/>
      <c r="I3" s="9" t="n"/>
      <c r="O3" s="62">
        <f>INDEX(Inputs!$O3:$BB3,MATCH('Costs &amp; Revenue'!O$5,Inputs!$O$5:$BB$5,0))</f>
        <v/>
      </c>
      <c r="P3" s="62">
        <f>INDEX(Inputs!$O3:$BB3,MATCH('Costs &amp; Revenue'!P$5,Inputs!$O$5:$BB$5,0))</f>
        <v/>
      </c>
      <c r="Q3" s="62">
        <f>INDEX(Inputs!$O3:$BB3,MATCH('Costs &amp; Revenue'!Q$5,Inputs!$O$5:$BB$5,0))</f>
        <v/>
      </c>
      <c r="R3" s="62">
        <f>INDEX(Inputs!$O3:$BB3,MATCH('Costs &amp; Revenue'!R$5,Inputs!$O$5:$BB$5,0))</f>
        <v/>
      </c>
      <c r="S3" s="62">
        <f>INDEX(Inputs!$O3:$BB3,MATCH('Costs &amp; Revenue'!S$5,Inputs!$O$5:$BB$5,0))</f>
        <v/>
      </c>
      <c r="T3" s="62">
        <f>INDEX(Inputs!$O3:$BB3,MATCH('Costs &amp; Revenue'!T$5,Inputs!$O$5:$BB$5,0))</f>
        <v/>
      </c>
      <c r="U3" s="62">
        <f>INDEX(Inputs!$O3:$BB3,MATCH('Costs &amp; Revenue'!U$5,Inputs!$O$5:$BB$5,0))</f>
        <v/>
      </c>
      <c r="V3" s="62">
        <f>INDEX(Inputs!$O3:$BB3,MATCH('Costs &amp; Revenue'!V$5,Inputs!$O$5:$BB$5,0))</f>
        <v/>
      </c>
      <c r="W3" s="62">
        <f>INDEX(Inputs!$O3:$BB3,MATCH('Costs &amp; Revenue'!W$5,Inputs!$O$5:$BB$5,0))</f>
        <v/>
      </c>
      <c r="X3" s="62">
        <f>INDEX(Inputs!$O3:$BB3,MATCH('Costs &amp; Revenue'!X$5,Inputs!$O$5:$BB$5,0))</f>
        <v/>
      </c>
      <c r="Y3" s="62">
        <f>INDEX(Inputs!$O3:$BB3,MATCH('Costs &amp; Revenue'!Y$5,Inputs!$O$5:$BB$5,0))</f>
        <v/>
      </c>
      <c r="Z3" s="62">
        <f>INDEX(Inputs!$O3:$BB3,MATCH('Costs &amp; Revenue'!Z$5,Inputs!$O$5:$BB$5,0))</f>
        <v/>
      </c>
      <c r="AA3" s="62">
        <f>INDEX(Inputs!$O3:$BB3,MATCH('Costs &amp; Revenue'!AA$5,Inputs!$O$5:$BB$5,0))</f>
        <v/>
      </c>
      <c r="AB3" s="62">
        <f>INDEX(Inputs!$O3:$BB3,MATCH('Costs &amp; Revenue'!AB$5,Inputs!$O$5:$BB$5,0))</f>
        <v/>
      </c>
      <c r="AC3" s="62">
        <f>INDEX(Inputs!$O3:$BB3,MATCH('Costs &amp; Revenue'!AC$5,Inputs!$O$5:$BB$5,0))</f>
        <v/>
      </c>
      <c r="AD3" s="62">
        <f>INDEX(Inputs!$O3:$BB3,MATCH('Costs &amp; Revenue'!AD$5,Inputs!$O$5:$BB$5,0))</f>
        <v/>
      </c>
      <c r="AE3" s="62">
        <f>INDEX(Inputs!$O3:$BB3,MATCH('Costs &amp; Revenue'!AE$5,Inputs!$O$5:$BB$5,0))</f>
        <v/>
      </c>
      <c r="AF3" s="62">
        <f>INDEX(Inputs!$O3:$BB3,MATCH('Costs &amp; Revenue'!AF$5,Inputs!$O$5:$BB$5,0))</f>
        <v/>
      </c>
      <c r="AG3" s="62">
        <f>INDEX(Inputs!$O3:$BB3,MATCH('Costs &amp; Revenue'!AG$5,Inputs!$O$5:$BB$5,0))</f>
        <v/>
      </c>
      <c r="AH3" s="62">
        <f>INDEX(Inputs!$O3:$BB3,MATCH('Costs &amp; Revenue'!AH$5,Inputs!$O$5:$BB$5,0))</f>
        <v/>
      </c>
      <c r="AI3" s="62">
        <f>INDEX(Inputs!$O3:$BB3,MATCH('Costs &amp; Revenue'!AI$5,Inputs!$O$5:$BB$5,0))</f>
        <v/>
      </c>
      <c r="AJ3" s="62">
        <f>INDEX(Inputs!$O3:$BB3,MATCH('Costs &amp; Revenue'!AJ$5,Inputs!$O$5:$BB$5,0))</f>
        <v/>
      </c>
      <c r="AK3" s="62">
        <f>INDEX(Inputs!$O3:$BB3,MATCH('Costs &amp; Revenue'!AK$5,Inputs!$O$5:$BB$5,0))</f>
        <v/>
      </c>
      <c r="AL3" s="62">
        <f>INDEX(Inputs!$O3:$BB3,MATCH('Costs &amp; Revenue'!AL$5,Inputs!$O$5:$BB$5,0))</f>
        <v/>
      </c>
      <c r="AM3" s="62">
        <f>INDEX(Inputs!$O3:$BB3,MATCH('Costs &amp; Revenue'!AM$5,Inputs!$O$5:$BB$5,0))</f>
        <v/>
      </c>
      <c r="AN3" s="62">
        <f>INDEX(Inputs!$O3:$BB3,MATCH('Costs &amp; Revenue'!AN$5,Inputs!$O$5:$BB$5,0))</f>
        <v/>
      </c>
      <c r="AO3" s="62">
        <f>INDEX(Inputs!$O3:$BB3,MATCH('Costs &amp; Revenue'!AO$5,Inputs!$O$5:$BB$5,0))</f>
        <v/>
      </c>
      <c r="AP3" s="62">
        <f>INDEX(Inputs!$O3:$BB3,MATCH('Costs &amp; Revenue'!AP$5,Inputs!$O$5:$BB$5,0))</f>
        <v/>
      </c>
      <c r="AQ3" s="62">
        <f>INDEX(Inputs!$O3:$BB3,MATCH('Costs &amp; Revenue'!AQ$5,Inputs!$O$5:$BB$5,0))</f>
        <v/>
      </c>
      <c r="AR3" s="62">
        <f>INDEX(Inputs!$O3:$BB3,MATCH('Costs &amp; Revenue'!AR$5,Inputs!$O$5:$BB$5,0))</f>
        <v/>
      </c>
      <c r="AS3" s="62">
        <f>INDEX(Inputs!$O3:$BB3,MATCH('Costs &amp; Revenue'!AS$5,Inputs!$O$5:$BB$5,0))</f>
        <v/>
      </c>
      <c r="AT3" s="62">
        <f>INDEX(Inputs!$O3:$BB3,MATCH('Costs &amp; Revenue'!AT$5,Inputs!$O$5:$BB$5,0))</f>
        <v/>
      </c>
      <c r="AU3" s="62">
        <f>INDEX(Inputs!$O3:$BB3,MATCH('Costs &amp; Revenue'!AU$5,Inputs!$O$5:$BB$5,0))</f>
        <v/>
      </c>
      <c r="AV3" s="62">
        <f>INDEX(Inputs!$O3:$BB3,MATCH('Costs &amp; Revenue'!AV$5,Inputs!$O$5:$BB$5,0))</f>
        <v/>
      </c>
      <c r="AW3" s="62">
        <f>INDEX(Inputs!$O3:$BB3,MATCH('Costs &amp; Revenue'!AW$5,Inputs!$O$5:$BB$5,0))</f>
        <v/>
      </c>
      <c r="AX3" s="62">
        <f>INDEX(Inputs!$O3:$BB3,MATCH('Costs &amp; Revenue'!AX$5,Inputs!$O$5:$BB$5,0))</f>
        <v/>
      </c>
      <c r="AY3" s="62">
        <f>INDEX(Inputs!$O3:$BB3,MATCH('Costs &amp; Revenue'!AY$5,Inputs!$O$5:$BB$5,0))</f>
        <v/>
      </c>
      <c r="AZ3" s="62">
        <f>INDEX(Inputs!$O3:$BB3,MATCH('Costs &amp; Revenue'!AZ$5,Inputs!$O$5:$BB$5,0))</f>
        <v/>
      </c>
      <c r="BA3" s="62">
        <f>INDEX(Inputs!$O3:$BB3,MATCH('Costs &amp; Revenue'!BA$5,Inputs!$O$5:$BB$5,0))</f>
        <v/>
      </c>
      <c r="BB3" s="62">
        <f>INDEX(Inputs!$O3:$BB3,MATCH('Costs &amp; Revenue'!BB$5,Inputs!$O$5:$BB$5,0))</f>
        <v/>
      </c>
    </row>
    <row r="4" ht="15" customFormat="1" customHeight="1" s="52">
      <c r="E4" s="52" t="inlineStr">
        <is>
          <t>Year ending</t>
        </is>
      </c>
      <c r="O4" s="62">
        <f>INDEX(Inputs!$O4:$BB4,MATCH('Costs &amp; Revenue'!O$5,Inputs!$O$5:$BB$5,0))</f>
        <v/>
      </c>
      <c r="P4" s="62">
        <f>INDEX(Inputs!$O4:$BB4,MATCH('Costs &amp; Revenue'!P$5,Inputs!$O$5:$BB$5,0))</f>
        <v/>
      </c>
      <c r="Q4" s="62">
        <f>INDEX(Inputs!$O4:$BB4,MATCH('Costs &amp; Revenue'!Q$5,Inputs!$O$5:$BB$5,0))</f>
        <v/>
      </c>
      <c r="R4" s="62">
        <f>INDEX(Inputs!$O4:$BB4,MATCH('Costs &amp; Revenue'!R$5,Inputs!$O$5:$BB$5,0))</f>
        <v/>
      </c>
      <c r="S4" s="62">
        <f>INDEX(Inputs!$O4:$BB4,MATCH('Costs &amp; Revenue'!S$5,Inputs!$O$5:$BB$5,0))</f>
        <v/>
      </c>
      <c r="T4" s="62">
        <f>INDEX(Inputs!$O4:$BB4,MATCH('Costs &amp; Revenue'!T$5,Inputs!$O$5:$BB$5,0))</f>
        <v/>
      </c>
      <c r="U4" s="62">
        <f>INDEX(Inputs!$O4:$BB4,MATCH('Costs &amp; Revenue'!U$5,Inputs!$O$5:$BB$5,0))</f>
        <v/>
      </c>
      <c r="V4" s="62">
        <f>INDEX(Inputs!$O4:$BB4,MATCH('Costs &amp; Revenue'!V$5,Inputs!$O$5:$BB$5,0))</f>
        <v/>
      </c>
      <c r="W4" s="62">
        <f>INDEX(Inputs!$O4:$BB4,MATCH('Costs &amp; Revenue'!W$5,Inputs!$O$5:$BB$5,0))</f>
        <v/>
      </c>
      <c r="X4" s="62">
        <f>INDEX(Inputs!$O4:$BB4,MATCH('Costs &amp; Revenue'!X$5,Inputs!$O$5:$BB$5,0))</f>
        <v/>
      </c>
      <c r="Y4" s="62">
        <f>INDEX(Inputs!$O4:$BB4,MATCH('Costs &amp; Revenue'!Y$5,Inputs!$O$5:$BB$5,0))</f>
        <v/>
      </c>
      <c r="Z4" s="62">
        <f>INDEX(Inputs!$O4:$BB4,MATCH('Costs &amp; Revenue'!Z$5,Inputs!$O$5:$BB$5,0))</f>
        <v/>
      </c>
      <c r="AA4" s="62">
        <f>INDEX(Inputs!$O4:$BB4,MATCH('Costs &amp; Revenue'!AA$5,Inputs!$O$5:$BB$5,0))</f>
        <v/>
      </c>
      <c r="AB4" s="62">
        <f>INDEX(Inputs!$O4:$BB4,MATCH('Costs &amp; Revenue'!AB$5,Inputs!$O$5:$BB$5,0))</f>
        <v/>
      </c>
      <c r="AC4" s="62">
        <f>INDEX(Inputs!$O4:$BB4,MATCH('Costs &amp; Revenue'!AC$5,Inputs!$O$5:$BB$5,0))</f>
        <v/>
      </c>
      <c r="AD4" s="62">
        <f>INDEX(Inputs!$O4:$BB4,MATCH('Costs &amp; Revenue'!AD$5,Inputs!$O$5:$BB$5,0))</f>
        <v/>
      </c>
      <c r="AE4" s="62">
        <f>INDEX(Inputs!$O4:$BB4,MATCH('Costs &amp; Revenue'!AE$5,Inputs!$O$5:$BB$5,0))</f>
        <v/>
      </c>
      <c r="AF4" s="62">
        <f>INDEX(Inputs!$O4:$BB4,MATCH('Costs &amp; Revenue'!AF$5,Inputs!$O$5:$BB$5,0))</f>
        <v/>
      </c>
      <c r="AG4" s="62">
        <f>INDEX(Inputs!$O4:$BB4,MATCH('Costs &amp; Revenue'!AG$5,Inputs!$O$5:$BB$5,0))</f>
        <v/>
      </c>
      <c r="AH4" s="62">
        <f>INDEX(Inputs!$O4:$BB4,MATCH('Costs &amp; Revenue'!AH$5,Inputs!$O$5:$BB$5,0))</f>
        <v/>
      </c>
      <c r="AI4" s="62">
        <f>INDEX(Inputs!$O4:$BB4,MATCH('Costs &amp; Revenue'!AI$5,Inputs!$O$5:$BB$5,0))</f>
        <v/>
      </c>
      <c r="AJ4" s="62">
        <f>INDEX(Inputs!$O4:$BB4,MATCH('Costs &amp; Revenue'!AJ$5,Inputs!$O$5:$BB$5,0))</f>
        <v/>
      </c>
      <c r="AK4" s="62">
        <f>INDEX(Inputs!$O4:$BB4,MATCH('Costs &amp; Revenue'!AK$5,Inputs!$O$5:$BB$5,0))</f>
        <v/>
      </c>
      <c r="AL4" s="62">
        <f>INDEX(Inputs!$O4:$BB4,MATCH('Costs &amp; Revenue'!AL$5,Inputs!$O$5:$BB$5,0))</f>
        <v/>
      </c>
      <c r="AM4" s="62">
        <f>INDEX(Inputs!$O4:$BB4,MATCH('Costs &amp; Revenue'!AM$5,Inputs!$O$5:$BB$5,0))</f>
        <v/>
      </c>
      <c r="AN4" s="62">
        <f>INDEX(Inputs!$O4:$BB4,MATCH('Costs &amp; Revenue'!AN$5,Inputs!$O$5:$BB$5,0))</f>
        <v/>
      </c>
      <c r="AO4" s="62">
        <f>INDEX(Inputs!$O4:$BB4,MATCH('Costs &amp; Revenue'!AO$5,Inputs!$O$5:$BB$5,0))</f>
        <v/>
      </c>
      <c r="AP4" s="62">
        <f>INDEX(Inputs!$O4:$BB4,MATCH('Costs &amp; Revenue'!AP$5,Inputs!$O$5:$BB$5,0))</f>
        <v/>
      </c>
      <c r="AQ4" s="62">
        <f>INDEX(Inputs!$O4:$BB4,MATCH('Costs &amp; Revenue'!AQ$5,Inputs!$O$5:$BB$5,0))</f>
        <v/>
      </c>
      <c r="AR4" s="62">
        <f>INDEX(Inputs!$O4:$BB4,MATCH('Costs &amp; Revenue'!AR$5,Inputs!$O$5:$BB$5,0))</f>
        <v/>
      </c>
      <c r="AS4" s="62">
        <f>INDEX(Inputs!$O4:$BB4,MATCH('Costs &amp; Revenue'!AS$5,Inputs!$O$5:$BB$5,0))</f>
        <v/>
      </c>
      <c r="AT4" s="62">
        <f>INDEX(Inputs!$O4:$BB4,MATCH('Costs &amp; Revenue'!AT$5,Inputs!$O$5:$BB$5,0))</f>
        <v/>
      </c>
      <c r="AU4" s="62">
        <f>INDEX(Inputs!$O4:$BB4,MATCH('Costs &amp; Revenue'!AU$5,Inputs!$O$5:$BB$5,0))</f>
        <v/>
      </c>
      <c r="AV4" s="62">
        <f>INDEX(Inputs!$O4:$BB4,MATCH('Costs &amp; Revenue'!AV$5,Inputs!$O$5:$BB$5,0))</f>
        <v/>
      </c>
      <c r="AW4" s="62">
        <f>INDEX(Inputs!$O4:$BB4,MATCH('Costs &amp; Revenue'!AW$5,Inputs!$O$5:$BB$5,0))</f>
        <v/>
      </c>
      <c r="AX4" s="62">
        <f>INDEX(Inputs!$O4:$BB4,MATCH('Costs &amp; Revenue'!AX$5,Inputs!$O$5:$BB$5,0))</f>
        <v/>
      </c>
      <c r="AY4" s="62">
        <f>INDEX(Inputs!$O4:$BB4,MATCH('Costs &amp; Revenue'!AY$5,Inputs!$O$5:$BB$5,0))</f>
        <v/>
      </c>
      <c r="AZ4" s="62">
        <f>INDEX(Inputs!$O4:$BB4,MATCH('Costs &amp; Revenue'!AZ$5,Inputs!$O$5:$BB$5,0))</f>
        <v/>
      </c>
      <c r="BA4" s="62">
        <f>INDEX(Inputs!$O4:$BB4,MATCH('Costs &amp; Revenue'!BA$5,Inputs!$O$5:$BB$5,0))</f>
        <v/>
      </c>
      <c r="BB4" s="62">
        <f>INDEX(Inputs!$O4:$BB4,MATCH('Costs &amp; Revenue'!BB$5,Inputs!$O$5:$BB$5,0))</f>
        <v/>
      </c>
      <c r="BC4" s="62" t="n"/>
    </row>
    <row r="5" ht="15" customFormat="1" customHeight="1" s="52">
      <c r="E5" s="52" t="inlineStr">
        <is>
          <t>Operational year</t>
        </is>
      </c>
      <c r="O5" s="11">
        <f>Inputs!O5</f>
        <v/>
      </c>
      <c r="P5" s="11">
        <f>Inputs!P5</f>
        <v/>
      </c>
      <c r="Q5" s="11">
        <f>Inputs!Q5</f>
        <v/>
      </c>
      <c r="R5" s="11">
        <f>Inputs!R5</f>
        <v/>
      </c>
      <c r="S5" s="11">
        <f>Inputs!S5</f>
        <v/>
      </c>
      <c r="T5" s="11">
        <f>Inputs!T5</f>
        <v/>
      </c>
      <c r="U5" s="11">
        <f>Inputs!U5</f>
        <v/>
      </c>
      <c r="V5" s="11">
        <f>Inputs!V5</f>
        <v/>
      </c>
      <c r="W5" s="11">
        <f>Inputs!W5</f>
        <v/>
      </c>
      <c r="X5" s="11">
        <f>Inputs!X5</f>
        <v/>
      </c>
      <c r="Y5" s="11">
        <f>Inputs!Y5</f>
        <v/>
      </c>
      <c r="Z5" s="11">
        <f>Inputs!Z5</f>
        <v/>
      </c>
      <c r="AA5" s="11">
        <f>Inputs!AA5</f>
        <v/>
      </c>
      <c r="AB5" s="11">
        <f>Inputs!AB5</f>
        <v/>
      </c>
      <c r="AC5" s="11">
        <f>Inputs!AC5</f>
        <v/>
      </c>
      <c r="AD5" s="11">
        <f>Inputs!AD5</f>
        <v/>
      </c>
      <c r="AE5" s="11">
        <f>Inputs!AE5</f>
        <v/>
      </c>
      <c r="AF5" s="11">
        <f>Inputs!AF5</f>
        <v/>
      </c>
      <c r="AG5" s="11">
        <f>Inputs!AG5</f>
        <v/>
      </c>
      <c r="AH5" s="11">
        <f>Inputs!AH5</f>
        <v/>
      </c>
      <c r="AI5" s="11">
        <f>Inputs!AI5</f>
        <v/>
      </c>
      <c r="AJ5" s="11">
        <f>Inputs!AJ5</f>
        <v/>
      </c>
      <c r="AK5" s="11">
        <f>Inputs!AK5</f>
        <v/>
      </c>
      <c r="AL5" s="11">
        <f>Inputs!AL5</f>
        <v/>
      </c>
      <c r="AM5" s="11">
        <f>Inputs!AM5</f>
        <v/>
      </c>
      <c r="AN5" s="11">
        <f>Inputs!AN5</f>
        <v/>
      </c>
      <c r="AO5" s="11">
        <f>Inputs!AO5</f>
        <v/>
      </c>
      <c r="AP5" s="11">
        <f>Inputs!AP5</f>
        <v/>
      </c>
      <c r="AQ5" s="11">
        <f>Inputs!AQ5</f>
        <v/>
      </c>
      <c r="AR5" s="11">
        <f>Inputs!AR5</f>
        <v/>
      </c>
      <c r="AS5" s="11">
        <f>Inputs!AS5</f>
        <v/>
      </c>
      <c r="AT5" s="11">
        <f>Inputs!AT5</f>
        <v/>
      </c>
      <c r="AU5" s="11">
        <f>Inputs!AU5</f>
        <v/>
      </c>
      <c r="AV5" s="11">
        <f>Inputs!AV5</f>
        <v/>
      </c>
      <c r="AW5" s="11">
        <f>Inputs!AW5</f>
        <v/>
      </c>
      <c r="AX5" s="11">
        <f>Inputs!AX5</f>
        <v/>
      </c>
      <c r="AY5" s="11">
        <f>Inputs!AY5</f>
        <v/>
      </c>
      <c r="AZ5" s="11">
        <f>Inputs!AZ5</f>
        <v/>
      </c>
      <c r="BA5" s="11">
        <f>Inputs!BA5</f>
        <v/>
      </c>
      <c r="BB5" s="11">
        <f>Inputs!BB5</f>
        <v/>
      </c>
      <c r="BC5" s="62" t="n"/>
    </row>
    <row r="6" ht="15" customHeight="1">
      <c r="I6" s="16" t="n"/>
      <c r="J6" s="16" t="n"/>
      <c r="K6" s="16" t="n"/>
      <c r="L6" s="16" t="n"/>
      <c r="M6" s="16" t="n"/>
      <c r="N6" s="16" t="n"/>
      <c r="O6" s="16" t="n"/>
      <c r="P6" s="16" t="n"/>
      <c r="Q6" s="16" t="n"/>
      <c r="R6" s="16" t="n"/>
      <c r="S6" s="16" t="n"/>
      <c r="T6" s="16" t="n"/>
      <c r="U6" s="16" t="n"/>
      <c r="V6" s="16" t="n"/>
      <c r="W6" s="16" t="n"/>
      <c r="X6" s="16" t="n"/>
      <c r="Y6" s="16" t="n"/>
      <c r="Z6" s="16" t="n"/>
      <c r="AA6" s="16" t="n"/>
      <c r="AB6" s="16" t="n"/>
      <c r="AC6" s="16" t="n"/>
      <c r="AD6" s="16" t="n"/>
      <c r="AE6" s="16" t="n"/>
      <c r="AF6" s="16" t="n"/>
      <c r="AG6" s="16" t="n"/>
      <c r="AH6" s="16" t="n"/>
      <c r="AI6" s="16" t="n"/>
      <c r="AJ6" s="16" t="n"/>
      <c r="AK6" s="16" t="n"/>
      <c r="AL6" s="16" t="n"/>
      <c r="AM6" s="16" t="n"/>
      <c r="AN6" s="16" t="n"/>
      <c r="AO6" s="16" t="n"/>
      <c r="AP6" s="16" t="n"/>
      <c r="AQ6" s="16" t="n"/>
      <c r="AR6" s="16" t="n"/>
      <c r="AS6" s="16" t="n"/>
      <c r="AT6" s="16" t="n"/>
      <c r="AU6" s="16" t="n"/>
      <c r="AV6" s="16" t="n"/>
      <c r="AW6" s="16" t="n"/>
      <c r="AX6" s="16" t="n"/>
      <c r="AY6" s="16" t="n"/>
      <c r="AZ6" s="16" t="n"/>
      <c r="BA6" s="16" t="n"/>
      <c r="BB6" s="16" t="n"/>
    </row>
    <row r="7" ht="15" customFormat="1" customHeight="1" s="4">
      <c r="B7" s="8" t="inlineStr">
        <is>
          <t>Model outputs</t>
        </is>
      </c>
      <c r="C7" s="8" t="n"/>
      <c r="D7" s="8" t="n"/>
      <c r="E7" s="8" t="n"/>
      <c r="F7" s="8" t="n"/>
      <c r="G7" s="8" t="n"/>
      <c r="H7" s="8" t="n"/>
      <c r="I7" s="8" t="n"/>
      <c r="J7" s="8" t="n"/>
      <c r="K7" s="8" t="n"/>
      <c r="L7" s="8" t="n"/>
      <c r="M7" s="8" t="n"/>
      <c r="N7" s="8" t="n"/>
      <c r="O7" s="8" t="n"/>
      <c r="P7" s="8" t="n"/>
      <c r="Q7" s="8" t="n"/>
      <c r="R7" s="8" t="n"/>
      <c r="S7" s="8" t="n"/>
      <c r="T7" s="8" t="n"/>
      <c r="U7" s="8" t="n"/>
      <c r="V7" s="8" t="n"/>
      <c r="W7" s="8" t="n"/>
      <c r="X7" s="8" t="n"/>
      <c r="Y7" s="8" t="n"/>
      <c r="Z7" s="8" t="n"/>
      <c r="AA7" s="8" t="n"/>
      <c r="AB7" s="8" t="n"/>
      <c r="AC7" s="8" t="n"/>
      <c r="AD7" s="8" t="n"/>
      <c r="AE7" s="8" t="n"/>
      <c r="AF7" s="8" t="n"/>
      <c r="AG7" s="8" t="n"/>
      <c r="AH7" s="8" t="n"/>
      <c r="AI7" s="8" t="n"/>
      <c r="AJ7" s="8" t="n"/>
      <c r="AK7" s="8" t="n"/>
      <c r="AL7" s="8" t="n"/>
      <c r="AM7" s="8" t="n"/>
      <c r="AN7" s="8" t="n"/>
      <c r="AO7" s="8" t="n"/>
      <c r="AP7" s="8" t="n"/>
      <c r="AQ7" s="8" t="n"/>
      <c r="AR7" s="8" t="n"/>
      <c r="AS7" s="8" t="n"/>
      <c r="AT7" s="8" t="n"/>
      <c r="AU7" s="8" t="n"/>
      <c r="AV7" s="8" t="n"/>
      <c r="AW7" s="8" t="n"/>
      <c r="AX7" s="8" t="n"/>
      <c r="AY7" s="8" t="n"/>
      <c r="AZ7" s="8" t="n"/>
      <c r="BA7" s="8" t="n"/>
      <c r="BB7" s="8" t="n"/>
    </row>
    <row r="8" ht="15" customHeight="1">
      <c r="I8" s="16" t="n"/>
      <c r="J8" s="16" t="n"/>
      <c r="K8" s="16" t="n"/>
      <c r="L8" s="16" t="n"/>
      <c r="M8" s="16" t="n"/>
      <c r="N8" s="16" t="n"/>
      <c r="O8" s="16" t="n"/>
      <c r="P8" s="16" t="n"/>
      <c r="Q8" s="16" t="n"/>
      <c r="R8" s="16" t="n"/>
      <c r="S8" s="16" t="n"/>
      <c r="T8" s="16" t="n"/>
      <c r="U8" s="16" t="n"/>
      <c r="V8" s="16" t="n"/>
      <c r="W8" s="16" t="n"/>
      <c r="X8" s="16" t="n"/>
      <c r="Y8" s="16" t="n"/>
      <c r="Z8" s="16" t="n"/>
      <c r="AA8" s="16" t="n"/>
      <c r="AB8" s="16" t="n"/>
      <c r="AC8" s="16" t="n"/>
      <c r="AD8" s="16" t="n"/>
      <c r="AE8" s="16" t="n"/>
      <c r="AF8" s="16" t="n"/>
      <c r="AG8" s="16" t="n"/>
      <c r="AH8" s="16" t="n"/>
      <c r="AI8" s="16" t="n"/>
      <c r="AJ8" s="16" t="n"/>
      <c r="AK8" s="16" t="n"/>
      <c r="AL8" s="16" t="n"/>
      <c r="AM8" s="16" t="n"/>
      <c r="AN8" s="16" t="n"/>
      <c r="AO8" s="16" t="n"/>
      <c r="AP8" s="16" t="n"/>
      <c r="AQ8" s="16" t="n"/>
      <c r="AR8" s="16" t="n"/>
      <c r="AS8" s="16" t="n"/>
      <c r="AT8" s="16" t="n"/>
      <c r="AU8" s="16" t="n"/>
      <c r="AV8" s="16" t="n"/>
      <c r="AW8" s="16" t="n"/>
      <c r="AX8" s="16" t="n"/>
      <c r="AY8" s="16" t="n"/>
      <c r="AZ8" s="16" t="n"/>
      <c r="BA8" s="16" t="n"/>
      <c r="BB8" s="16" t="n"/>
    </row>
    <row r="9" ht="15" customFormat="1" customHeight="1" s="63">
      <c r="C9" s="40" t="inlineStr">
        <is>
          <t>Cap and Floor levels</t>
        </is>
      </c>
      <c r="D9" s="40" t="n"/>
      <c r="E9" s="40" t="n"/>
      <c r="F9" s="40" t="n"/>
      <c r="G9" s="40" t="n"/>
      <c r="H9" s="40" t="n"/>
      <c r="I9" s="40" t="n"/>
      <c r="J9" s="40" t="n"/>
      <c r="K9" s="40" t="n"/>
      <c r="L9" s="40" t="n"/>
      <c r="M9" s="40" t="n"/>
      <c r="N9" s="40" t="n"/>
      <c r="O9" s="40" t="n"/>
      <c r="P9" s="40" t="n"/>
      <c r="Q9" s="40" t="n"/>
      <c r="R9" s="40" t="n"/>
      <c r="S9" s="40" t="n"/>
      <c r="T9" s="40" t="n"/>
      <c r="U9" s="40" t="n"/>
      <c r="V9" s="40" t="n"/>
      <c r="W9" s="40" t="n"/>
      <c r="X9" s="40" t="n"/>
      <c r="Y9" s="40" t="n"/>
      <c r="Z9" s="40" t="n"/>
      <c r="AA9" s="40" t="n"/>
      <c r="AB9" s="40" t="n"/>
      <c r="AC9" s="40" t="n"/>
      <c r="AD9" s="40" t="n"/>
      <c r="AE9" s="40" t="n"/>
      <c r="AF9" s="40" t="n"/>
      <c r="AG9" s="40" t="n"/>
      <c r="AH9" s="40" t="n"/>
      <c r="AI9" s="40" t="n"/>
      <c r="AJ9" s="40" t="n"/>
      <c r="AK9" s="40" t="n"/>
      <c r="AL9" s="40" t="n"/>
      <c r="AM9" s="40" t="n"/>
      <c r="AN9" s="40" t="n"/>
      <c r="AO9" s="40" t="n"/>
      <c r="AP9" s="40" t="n"/>
      <c r="AQ9" s="40" t="n"/>
      <c r="AR9" s="40" t="n"/>
      <c r="AS9" s="40" t="n"/>
      <c r="AT9" s="40" t="n"/>
      <c r="AU9" s="40" t="n"/>
      <c r="AV9" s="40" t="n"/>
      <c r="AW9" s="40" t="n"/>
      <c r="AX9" s="40" t="n"/>
      <c r="AY9" s="40" t="n"/>
      <c r="AZ9" s="40" t="n"/>
      <c r="BA9" s="40" t="n"/>
      <c r="BB9" s="40" t="n"/>
    </row>
    <row r="10" ht="15" customHeight="1">
      <c r="I10" s="16" t="n"/>
      <c r="J10" s="16" t="n"/>
      <c r="K10" s="16" t="n"/>
      <c r="L10" s="16" t="n"/>
      <c r="M10" s="16" t="n"/>
      <c r="N10" s="16" t="n"/>
      <c r="O10" s="16" t="n"/>
      <c r="P10" s="16" t="n"/>
      <c r="Q10" s="16" t="n"/>
      <c r="R10" s="16" t="n"/>
      <c r="S10" s="16" t="n"/>
      <c r="T10" s="16" t="n"/>
      <c r="U10" s="16" t="n"/>
      <c r="V10" s="16" t="n"/>
      <c r="W10" s="16" t="n"/>
      <c r="X10" s="16" t="n"/>
      <c r="Y10" s="16" t="n"/>
      <c r="Z10" s="16" t="n"/>
      <c r="AA10" s="16" t="n"/>
      <c r="AB10" s="16" t="n"/>
      <c r="AC10" s="16" t="n"/>
      <c r="AD10" s="16" t="n"/>
      <c r="AE10" s="16" t="n"/>
      <c r="AF10" s="16" t="n"/>
      <c r="AG10" s="16" t="n"/>
      <c r="AH10" s="16" t="n"/>
      <c r="AI10" s="16" t="n"/>
      <c r="AJ10" s="16" t="n"/>
      <c r="AK10" s="16" t="n"/>
      <c r="AL10" s="16" t="n"/>
      <c r="AM10" s="16" t="n"/>
      <c r="AN10" s="16" t="n"/>
      <c r="AO10" s="16" t="n"/>
      <c r="AP10" s="16" t="n"/>
      <c r="AQ10" s="16" t="n"/>
      <c r="AR10" s="16" t="n"/>
      <c r="AS10" s="16" t="n"/>
      <c r="AT10" s="16" t="n"/>
      <c r="AU10" s="16" t="n"/>
      <c r="AV10" s="16" t="n"/>
      <c r="AW10" s="16" t="n"/>
      <c r="AX10" s="16" t="n"/>
      <c r="AY10" s="16" t="n"/>
      <c r="AZ10" s="16" t="n"/>
      <c r="BA10" s="16" t="n"/>
      <c r="BB10" s="16" t="n"/>
    </row>
    <row r="11" ht="15" customHeight="1">
      <c r="A11" s="5" t="n"/>
      <c r="B11" s="5" t="n"/>
      <c r="C11" s="5" t="n"/>
      <c r="D11" s="5" t="n"/>
      <c r="E11" s="5">
        <f>Availability!E52</f>
        <v/>
      </c>
      <c r="G11" s="5" t="inlineStr">
        <is>
          <t>£m nominal prices</t>
        </is>
      </c>
      <c r="H11" s="21" t="inlineStr">
        <is>
          <t>CLt</t>
        </is>
      </c>
      <c r="I11" s="19" t="n"/>
      <c r="J11" s="16" t="n"/>
      <c r="K11" s="16" t="n"/>
      <c r="L11" s="16" t="n"/>
      <c r="M11" s="16" t="n"/>
      <c r="N11" s="16" t="n"/>
      <c r="O11" s="33" t="n"/>
      <c r="P11" s="84">
        <f>Availability!P52</f>
        <v/>
      </c>
      <c r="Q11" s="84">
        <f>Availability!Q52</f>
        <v/>
      </c>
      <c r="R11" s="84">
        <f>Availability!R52</f>
        <v/>
      </c>
      <c r="S11" s="84">
        <f>Availability!S52</f>
        <v/>
      </c>
      <c r="T11" s="84">
        <f>Availability!T52</f>
        <v/>
      </c>
      <c r="U11" s="84">
        <f>Availability!U52</f>
        <v/>
      </c>
      <c r="V11" s="84">
        <f>Availability!V52</f>
        <v/>
      </c>
      <c r="W11" s="84">
        <f>Availability!W52</f>
        <v/>
      </c>
      <c r="X11" s="84">
        <f>Availability!X52</f>
        <v/>
      </c>
      <c r="Y11" s="84">
        <f>Availability!Y52</f>
        <v/>
      </c>
      <c r="Z11" s="84">
        <f>Availability!Z52</f>
        <v/>
      </c>
      <c r="AA11" s="84">
        <f>Availability!AA52</f>
        <v/>
      </c>
      <c r="AB11" s="84">
        <f>Availability!AB52</f>
        <v/>
      </c>
      <c r="AC11" s="84">
        <f>Availability!AC52</f>
        <v/>
      </c>
      <c r="AD11" s="84">
        <f>Availability!AD52</f>
        <v/>
      </c>
      <c r="AE11" s="84">
        <f>Availability!AE52</f>
        <v/>
      </c>
      <c r="AF11" s="84">
        <f>Availability!AF52</f>
        <v/>
      </c>
      <c r="AG11" s="84">
        <f>Availability!AG52</f>
        <v/>
      </c>
      <c r="AH11" s="84">
        <f>Availability!AH52</f>
        <v/>
      </c>
      <c r="AI11" s="84">
        <f>Availability!AI52</f>
        <v/>
      </c>
      <c r="AJ11" s="84">
        <f>Availability!AJ52</f>
        <v/>
      </c>
      <c r="AK11" s="84">
        <f>Availability!AK52</f>
        <v/>
      </c>
      <c r="AL11" s="84">
        <f>Availability!AL52</f>
        <v/>
      </c>
      <c r="AM11" s="84">
        <f>Availability!AM52</f>
        <v/>
      </c>
      <c r="AN11" s="84">
        <f>Availability!AN52</f>
        <v/>
      </c>
      <c r="AO11" s="84">
        <f>Availability!AO52</f>
        <v/>
      </c>
      <c r="AP11" s="84">
        <f>Availability!AP52</f>
        <v/>
      </c>
      <c r="AQ11" s="84">
        <f>Availability!AQ52</f>
        <v/>
      </c>
      <c r="AR11" s="84">
        <f>Availability!AR52</f>
        <v/>
      </c>
      <c r="AS11" s="84">
        <f>Availability!AS52</f>
        <v/>
      </c>
      <c r="AT11" s="84">
        <f>Availability!AT52</f>
        <v/>
      </c>
      <c r="AU11" s="84">
        <f>Availability!AU52</f>
        <v/>
      </c>
      <c r="AV11" s="84">
        <f>Availability!AV52</f>
        <v/>
      </c>
      <c r="AW11" s="84">
        <f>Availability!AW52</f>
        <v/>
      </c>
      <c r="AX11" s="84">
        <f>Availability!AX52</f>
        <v/>
      </c>
      <c r="AY11" s="84">
        <f>Availability!AY52</f>
        <v/>
      </c>
      <c r="AZ11" s="84">
        <f>Availability!AZ52</f>
        <v/>
      </c>
      <c r="BA11" s="84">
        <f>Availability!BA52</f>
        <v/>
      </c>
      <c r="BB11" s="84">
        <f>Availability!BB52</f>
        <v/>
      </c>
    </row>
    <row r="12" ht="15" customHeight="1">
      <c r="A12" s="5" t="n"/>
      <c r="B12" s="5" t="n"/>
      <c r="C12" s="5" t="n"/>
      <c r="D12" s="5" t="n"/>
      <c r="E12" s="5">
        <f>Availability!E53</f>
        <v/>
      </c>
      <c r="G12" s="5" t="inlineStr">
        <is>
          <t>£m nominal prices</t>
        </is>
      </c>
      <c r="H12" s="21" t="inlineStr">
        <is>
          <t>FLt</t>
        </is>
      </c>
      <c r="I12" s="19" t="n"/>
      <c r="J12" s="16" t="n"/>
      <c r="K12" s="16" t="n"/>
      <c r="L12" s="16" t="n"/>
      <c r="M12" s="16" t="n"/>
      <c r="N12" s="16" t="n"/>
      <c r="O12" s="33" t="n"/>
      <c r="P12" s="84">
        <f>Availability!P53</f>
        <v/>
      </c>
      <c r="Q12" s="84">
        <f>Availability!Q53</f>
        <v/>
      </c>
      <c r="R12" s="84">
        <f>Availability!R53</f>
        <v/>
      </c>
      <c r="S12" s="84">
        <f>Availability!S53</f>
        <v/>
      </c>
      <c r="T12" s="84">
        <f>Availability!T53</f>
        <v/>
      </c>
      <c r="U12" s="84">
        <f>Availability!U53</f>
        <v/>
      </c>
      <c r="V12" s="84">
        <f>Availability!V53</f>
        <v/>
      </c>
      <c r="W12" s="84">
        <f>Availability!W53</f>
        <v/>
      </c>
      <c r="X12" s="84">
        <f>Availability!X53</f>
        <v/>
      </c>
      <c r="Y12" s="84">
        <f>Availability!Y53</f>
        <v/>
      </c>
      <c r="Z12" s="84">
        <f>Availability!Z53</f>
        <v/>
      </c>
      <c r="AA12" s="84">
        <f>Availability!AA53</f>
        <v/>
      </c>
      <c r="AB12" s="84">
        <f>Availability!AB53</f>
        <v/>
      </c>
      <c r="AC12" s="84">
        <f>Availability!AC53</f>
        <v/>
      </c>
      <c r="AD12" s="84">
        <f>Availability!AD53</f>
        <v/>
      </c>
      <c r="AE12" s="84">
        <f>Availability!AE53</f>
        <v/>
      </c>
      <c r="AF12" s="84">
        <f>Availability!AF53</f>
        <v/>
      </c>
      <c r="AG12" s="84">
        <f>Availability!AG53</f>
        <v/>
      </c>
      <c r="AH12" s="84">
        <f>Availability!AH53</f>
        <v/>
      </c>
      <c r="AI12" s="84">
        <f>Availability!AI53</f>
        <v/>
      </c>
      <c r="AJ12" s="84">
        <f>Availability!AJ53</f>
        <v/>
      </c>
      <c r="AK12" s="84">
        <f>Availability!AK53</f>
        <v/>
      </c>
      <c r="AL12" s="84">
        <f>Availability!AL53</f>
        <v/>
      </c>
      <c r="AM12" s="84">
        <f>Availability!AM53</f>
        <v/>
      </c>
      <c r="AN12" s="84">
        <f>Availability!AN53</f>
        <v/>
      </c>
      <c r="AO12" s="84">
        <f>Availability!AO53</f>
        <v/>
      </c>
      <c r="AP12" s="84">
        <f>Availability!AP53</f>
        <v/>
      </c>
      <c r="AQ12" s="84">
        <f>Availability!AQ53</f>
        <v/>
      </c>
      <c r="AR12" s="84">
        <f>Availability!AR53</f>
        <v/>
      </c>
      <c r="AS12" s="84">
        <f>Availability!AS53</f>
        <v/>
      </c>
      <c r="AT12" s="84">
        <f>Availability!AT53</f>
        <v/>
      </c>
      <c r="AU12" s="84">
        <f>Availability!AU53</f>
        <v/>
      </c>
      <c r="AV12" s="84">
        <f>Availability!AV53</f>
        <v/>
      </c>
      <c r="AW12" s="84">
        <f>Availability!AW53</f>
        <v/>
      </c>
      <c r="AX12" s="84">
        <f>Availability!AX53</f>
        <v/>
      </c>
      <c r="AY12" s="84">
        <f>Availability!AY53</f>
        <v/>
      </c>
      <c r="AZ12" s="84">
        <f>Availability!AZ53</f>
        <v/>
      </c>
      <c r="BA12" s="84">
        <f>Availability!BA53</f>
        <v/>
      </c>
      <c r="BB12" s="84">
        <f>Availability!BB53</f>
        <v/>
      </c>
    </row>
    <row r="13" ht="15" customHeight="1">
      <c r="A13" s="5" t="n"/>
      <c r="B13" s="5" t="n"/>
      <c r="C13" s="5" t="n"/>
      <c r="D13" s="5" t="n"/>
      <c r="E13" s="16" t="n"/>
      <c r="G13" s="16" t="n"/>
      <c r="J13" s="16" t="n"/>
      <c r="K13" s="16" t="n"/>
      <c r="L13" s="16" t="n"/>
      <c r="M13" s="16" t="n"/>
      <c r="N13" s="16" t="n"/>
      <c r="O13" s="16" t="n"/>
      <c r="P13" s="16" t="n"/>
      <c r="Q13" s="16" t="n"/>
      <c r="R13" s="16" t="n"/>
      <c r="S13" s="16" t="n"/>
      <c r="T13" s="16" t="n"/>
      <c r="U13" s="16" t="n"/>
      <c r="V13" s="16" t="n"/>
      <c r="W13" s="16" t="n"/>
      <c r="X13" s="16" t="n"/>
      <c r="Y13" s="16" t="n"/>
      <c r="Z13" s="38" t="n"/>
      <c r="AA13" s="38" t="n"/>
      <c r="AB13" s="16" t="n"/>
      <c r="AC13" s="16" t="n"/>
      <c r="AD13" s="16" t="n"/>
      <c r="AE13" s="16" t="n"/>
      <c r="AF13" s="16" t="n"/>
      <c r="AG13" s="16" t="n"/>
      <c r="AH13" s="16" t="n"/>
      <c r="AI13" s="16" t="n"/>
      <c r="AJ13" s="16" t="n"/>
      <c r="AK13" s="16" t="n"/>
      <c r="AL13" s="16" t="n"/>
      <c r="AM13" s="16" t="n"/>
      <c r="AN13" s="16" t="n"/>
      <c r="AO13" s="16" t="n"/>
      <c r="AP13" s="16" t="n"/>
      <c r="AQ13" s="16" t="n"/>
      <c r="AR13" s="16" t="n"/>
      <c r="AS13" s="16" t="n"/>
      <c r="AT13" s="16" t="n"/>
      <c r="AU13" s="16" t="n"/>
      <c r="AV13" s="16" t="n"/>
      <c r="AW13" s="16" t="n"/>
      <c r="AX13" s="16" t="n"/>
      <c r="AY13" s="16" t="n"/>
      <c r="AZ13" s="16" t="n"/>
      <c r="BA13" s="16" t="n"/>
      <c r="BB13" s="16" t="n"/>
    </row>
    <row r="14" ht="15" customFormat="1" customHeight="1" s="63">
      <c r="C14" s="40" t="inlineStr">
        <is>
          <t>Amounts due to or from GB consumers</t>
        </is>
      </c>
      <c r="D14" s="40" t="n"/>
      <c r="E14" s="40" t="n"/>
      <c r="F14" s="40" t="n"/>
      <c r="G14" s="40" t="n"/>
      <c r="H14" s="40" t="n"/>
      <c r="I14" s="40" t="n"/>
      <c r="J14" s="40" t="n"/>
      <c r="K14" s="40" t="n"/>
      <c r="L14" s="40" t="n"/>
      <c r="M14" s="40" t="n"/>
      <c r="N14" s="40" t="n"/>
      <c r="O14" s="40" t="n"/>
      <c r="P14" s="40" t="n"/>
      <c r="Q14" s="40" t="n"/>
      <c r="R14" s="40" t="n"/>
      <c r="S14" s="40" t="n"/>
      <c r="T14" s="40" t="n"/>
      <c r="U14" s="40" t="n"/>
      <c r="V14" s="40" t="n"/>
      <c r="W14" s="40" t="n"/>
      <c r="X14" s="40" t="n"/>
      <c r="Y14" s="40" t="n"/>
      <c r="Z14" s="40" t="n"/>
      <c r="AA14" s="40" t="n"/>
      <c r="AB14" s="40" t="n"/>
      <c r="AC14" s="40" t="n"/>
      <c r="AD14" s="40" t="n"/>
      <c r="AE14" s="40" t="n"/>
      <c r="AF14" s="40" t="n"/>
      <c r="AG14" s="40" t="n"/>
      <c r="AH14" s="40" t="n"/>
      <c r="AI14" s="40" t="n"/>
      <c r="AJ14" s="40" t="n"/>
      <c r="AK14" s="40" t="n"/>
      <c r="AL14" s="40" t="n"/>
      <c r="AM14" s="40" t="n"/>
      <c r="AN14" s="40" t="n"/>
      <c r="AO14" s="40" t="n"/>
      <c r="AP14" s="40" t="n"/>
      <c r="AQ14" s="40" t="n"/>
      <c r="AR14" s="40" t="n"/>
      <c r="AS14" s="40" t="n"/>
      <c r="AT14" s="40" t="n"/>
      <c r="AU14" s="40" t="n"/>
      <c r="AV14" s="40" t="n"/>
      <c r="AW14" s="40" t="n"/>
      <c r="AX14" s="40" t="n"/>
      <c r="AY14" s="40" t="n"/>
      <c r="AZ14" s="40" t="n"/>
      <c r="BA14" s="40" t="n"/>
      <c r="BB14" s="40" t="n"/>
    </row>
    <row r="15" ht="15" customHeight="1">
      <c r="A15" s="5" t="n"/>
      <c r="B15" s="5" t="n"/>
      <c r="C15" s="5" t="n"/>
      <c r="D15" s="5" t="n"/>
      <c r="E15" s="16" t="n"/>
      <c r="G15" s="16" t="n"/>
      <c r="J15" s="16" t="n"/>
      <c r="K15" s="16" t="n"/>
      <c r="L15" s="16" t="n"/>
      <c r="M15" s="16" t="n"/>
      <c r="N15" s="16" t="n"/>
      <c r="O15" s="16" t="n"/>
      <c r="P15" s="16" t="n"/>
      <c r="Q15" s="16" t="n"/>
      <c r="R15" s="16" t="n"/>
      <c r="S15" s="16" t="n"/>
      <c r="T15" s="16" t="n"/>
      <c r="U15" s="16" t="n"/>
      <c r="V15" s="16" t="n"/>
      <c r="W15" s="16" t="n"/>
      <c r="X15" s="16" t="n"/>
      <c r="Y15" s="16" t="n"/>
      <c r="Z15" s="38" t="n"/>
      <c r="AA15" s="38" t="n"/>
      <c r="AB15" s="16" t="n"/>
      <c r="AC15" s="16" t="n"/>
      <c r="AD15" s="16" t="n"/>
      <c r="AE15" s="16" t="n"/>
      <c r="AF15" s="16" t="n"/>
      <c r="AG15" s="16" t="n"/>
      <c r="AH15" s="16" t="n"/>
      <c r="AI15" s="16" t="n"/>
      <c r="AJ15" s="16" t="n"/>
      <c r="AK15" s="16" t="n"/>
      <c r="AL15" s="16" t="n"/>
      <c r="AM15" s="16" t="n"/>
      <c r="AN15" s="16" t="n"/>
      <c r="AO15" s="16" t="n"/>
      <c r="AP15" s="16" t="n"/>
      <c r="AQ15" s="16" t="n"/>
      <c r="AR15" s="16" t="n"/>
      <c r="AS15" s="16" t="n"/>
      <c r="AT15" s="16" t="n"/>
      <c r="AU15" s="16" t="n"/>
      <c r="AV15" s="16" t="n"/>
      <c r="AW15" s="16" t="n"/>
      <c r="AX15" s="16" t="n"/>
      <c r="AY15" s="16" t="n"/>
      <c r="AZ15" s="16" t="n"/>
      <c r="BA15" s="16" t="n"/>
      <c r="BB15" s="16" t="n"/>
    </row>
    <row r="16" ht="15" customHeight="1">
      <c r="A16" s="5" t="n"/>
      <c r="B16" s="5" t="n"/>
      <c r="C16" s="5" t="n"/>
      <c r="D16" s="5" t="n"/>
      <c r="E16" s="16" t="inlineStr">
        <is>
          <t>GB consumer share</t>
        </is>
      </c>
      <c r="G16" s="16" t="n"/>
      <c r="I16" s="87">
        <f>Inputs!$I$78</f>
        <v/>
      </c>
      <c r="J16" s="16" t="n"/>
      <c r="K16" s="16" t="n"/>
      <c r="L16" s="16" t="n"/>
      <c r="M16" s="16" t="n"/>
      <c r="N16" s="16" t="n"/>
      <c r="O16" s="16" t="n"/>
      <c r="P16" s="16" t="n"/>
      <c r="Q16" s="16" t="n"/>
      <c r="R16" s="16" t="n"/>
      <c r="S16" s="16" t="n"/>
      <c r="T16" s="16" t="n"/>
      <c r="U16" s="16" t="n"/>
      <c r="V16" s="16" t="n"/>
      <c r="W16" s="16" t="n"/>
      <c r="X16" s="16" t="n"/>
      <c r="Y16" s="16" t="n"/>
      <c r="Z16" s="38" t="n"/>
      <c r="AA16" s="38" t="n"/>
      <c r="AB16" s="16" t="n"/>
      <c r="AC16" s="16" t="n"/>
      <c r="AD16" s="16" t="n"/>
      <c r="AE16" s="16" t="n"/>
      <c r="AF16" s="16" t="n"/>
      <c r="AG16" s="16" t="n"/>
      <c r="AH16" s="16" t="n"/>
      <c r="AI16" s="16" t="n"/>
      <c r="AJ16" s="16" t="n"/>
      <c r="AK16" s="16" t="n"/>
      <c r="AL16" s="16" t="n"/>
      <c r="AM16" s="16" t="n"/>
      <c r="AN16" s="16" t="n"/>
      <c r="AO16" s="16" t="n"/>
      <c r="AP16" s="16" t="n"/>
      <c r="AQ16" s="16" t="n"/>
      <c r="AR16" s="16" t="n"/>
      <c r="AS16" s="16" t="n"/>
      <c r="AT16" s="16" t="n"/>
      <c r="AU16" s="16" t="n"/>
      <c r="AV16" s="16" t="n"/>
      <c r="AW16" s="16" t="n"/>
      <c r="AX16" s="16" t="n"/>
      <c r="AY16" s="16" t="n"/>
      <c r="AZ16" s="16" t="n"/>
      <c r="BA16" s="16" t="n"/>
      <c r="BB16" s="16" t="n"/>
    </row>
    <row r="17" ht="15" customHeight="1">
      <c r="A17" s="5" t="n"/>
      <c r="B17" s="5" t="n"/>
      <c r="C17" s="5" t="n"/>
      <c r="D17" s="5" t="n"/>
      <c r="E17" s="16" t="n"/>
      <c r="G17" s="16" t="n"/>
      <c r="J17" s="16" t="n"/>
      <c r="K17" s="16" t="n"/>
      <c r="L17" s="16" t="n"/>
      <c r="M17" s="16" t="n"/>
      <c r="N17" s="16" t="n"/>
      <c r="O17" s="16" t="n"/>
      <c r="P17" s="16" t="n"/>
      <c r="Q17" s="16" t="n"/>
      <c r="R17" s="16" t="n"/>
      <c r="S17" s="16" t="n"/>
      <c r="T17" s="16" t="n"/>
      <c r="U17" s="16" t="n"/>
      <c r="V17" s="16" t="n"/>
      <c r="W17" s="16" t="n"/>
      <c r="X17" s="16" t="n"/>
      <c r="Y17" s="16" t="n"/>
      <c r="Z17" s="38" t="n"/>
      <c r="AA17" s="38" t="n"/>
      <c r="AB17" s="16" t="n"/>
      <c r="AC17" s="16" t="n"/>
      <c r="AD17" s="16" t="n"/>
      <c r="AE17" s="16" t="n"/>
      <c r="AF17" s="16" t="n"/>
      <c r="AG17" s="16" t="n"/>
      <c r="AH17" s="16" t="n"/>
      <c r="AI17" s="16" t="n"/>
      <c r="AJ17" s="16" t="n"/>
      <c r="AK17" s="16" t="n"/>
      <c r="AL17" s="16" t="n"/>
      <c r="AM17" s="16" t="n"/>
      <c r="AN17" s="16" t="n"/>
      <c r="AO17" s="16" t="n"/>
      <c r="AP17" s="16" t="n"/>
      <c r="AQ17" s="16" t="n"/>
      <c r="AR17" s="16" t="n"/>
      <c r="AS17" s="16" t="n"/>
      <c r="AT17" s="16" t="n"/>
      <c r="AU17" s="16" t="n"/>
      <c r="AV17" s="16" t="n"/>
      <c r="AW17" s="16" t="n"/>
      <c r="AX17" s="16" t="n"/>
      <c r="AY17" s="16" t="n"/>
      <c r="AZ17" s="16" t="n"/>
      <c r="BA17" s="16" t="n"/>
      <c r="BB17" s="16" t="n"/>
    </row>
    <row r="18" ht="39" customHeight="1">
      <c r="A18" s="5" t="n"/>
      <c r="B18" s="5" t="n"/>
      <c r="C18" s="5" t="n"/>
      <c r="D18" s="5" t="n"/>
      <c r="E18" s="46" t="inlineStr">
        <is>
          <t>GB share of end of period revenue adjustment (negative value: payment to consumers; positive value: payment from consumers)</t>
        </is>
      </c>
      <c r="G18" s="5" t="inlineStr">
        <is>
          <t>£m nominal prices</t>
        </is>
      </c>
      <c r="H18" s="21" t="inlineStr">
        <is>
          <t>ICFap</t>
        </is>
      </c>
      <c r="J18" s="16" t="n"/>
      <c r="K18" s="16" t="n"/>
      <c r="L18" s="16" t="n"/>
      <c r="M18" s="16" t="n"/>
      <c r="N18" s="16" t="n"/>
      <c r="O18" s="33" t="n"/>
      <c r="P18" s="5">
        <f>$I$16*(Assessment!P60+Assessment!P76)</f>
        <v/>
      </c>
      <c r="Q18" s="5">
        <f>$I$16*(Assessment!Q60+Assessment!Q76)</f>
        <v/>
      </c>
      <c r="R18" s="5">
        <f>$I$16*(Assessment!R60+Assessment!R76)</f>
        <v/>
      </c>
      <c r="S18" s="5">
        <f>$I$16*(Assessment!S60+Assessment!S76)</f>
        <v/>
      </c>
      <c r="T18" s="5">
        <f>$I$16*(Assessment!T60+Assessment!T76)</f>
        <v/>
      </c>
      <c r="U18" s="5">
        <f>$I$16*(Assessment!U60+Assessment!U76)</f>
        <v/>
      </c>
      <c r="V18" s="5">
        <f>$I$16*(Assessment!V60+Assessment!V76)</f>
        <v/>
      </c>
      <c r="W18" s="5">
        <f>$I$16*(Assessment!W60+Assessment!W76)</f>
        <v/>
      </c>
      <c r="X18" s="5">
        <f>$I$16*(Assessment!X60+Assessment!X76)</f>
        <v/>
      </c>
      <c r="Y18" s="5">
        <f>$I$16*(Assessment!Y60+Assessment!Y76)</f>
        <v/>
      </c>
      <c r="Z18" s="5">
        <f>$I$16*(Assessment!Z60+Assessment!Z76)</f>
        <v/>
      </c>
      <c r="AA18" s="5">
        <f>$I$16*(Assessment!AA60+Assessment!AA76)</f>
        <v/>
      </c>
      <c r="AB18" s="5">
        <f>$I$16*(Assessment!AB60+Assessment!AB76)</f>
        <v/>
      </c>
      <c r="AC18" s="5">
        <f>$I$16*(Assessment!AC60+Assessment!AC76)</f>
        <v/>
      </c>
      <c r="AD18" s="5">
        <f>$I$16*(Assessment!AD60+Assessment!AD76)</f>
        <v/>
      </c>
      <c r="AE18" s="5">
        <f>$I$16*(Assessment!AE60+Assessment!AE76)</f>
        <v/>
      </c>
      <c r="AF18" s="5">
        <f>$I$16*(Assessment!AF60+Assessment!AF76)</f>
        <v/>
      </c>
      <c r="AG18" s="5">
        <f>$I$16*(Assessment!AG60+Assessment!AG76)</f>
        <v/>
      </c>
      <c r="AH18" s="5">
        <f>$I$16*(Assessment!AH60+Assessment!AH76)</f>
        <v/>
      </c>
      <c r="AI18" s="5">
        <f>$I$16*(Assessment!AI60+Assessment!AI76)</f>
        <v/>
      </c>
      <c r="AJ18" s="5">
        <f>$I$16*(Assessment!AJ60+Assessment!AJ76)</f>
        <v/>
      </c>
      <c r="AK18" s="5">
        <f>$I$16*(Assessment!AK60+Assessment!AK76)</f>
        <v/>
      </c>
      <c r="AL18" s="5">
        <f>$I$16*(Assessment!AL60+Assessment!AL76)</f>
        <v/>
      </c>
      <c r="AM18" s="5">
        <f>$I$16*(Assessment!AM60+Assessment!AM76)</f>
        <v/>
      </c>
      <c r="AN18" s="5">
        <f>$I$16*(Assessment!AN60+Assessment!AN76)</f>
        <v/>
      </c>
      <c r="AO18" s="5">
        <f>$I$16*(Assessment!AO60+Assessment!AO76)</f>
        <v/>
      </c>
      <c r="AP18" s="5">
        <f>$I$16*(Assessment!AP60+Assessment!AP76)</f>
        <v/>
      </c>
      <c r="AQ18" s="5">
        <f>$I$16*(Assessment!AQ60+Assessment!AQ76)</f>
        <v/>
      </c>
      <c r="AR18" s="5">
        <f>$I$16*(Assessment!AR60+Assessment!AR76)</f>
        <v/>
      </c>
      <c r="AS18" s="5">
        <f>$I$16*(Assessment!AS60+Assessment!AS76)</f>
        <v/>
      </c>
      <c r="AT18" s="5">
        <f>$I$16*(Assessment!AT60+Assessment!AT76)</f>
        <v/>
      </c>
      <c r="AU18" s="5">
        <f>$I$16*(Assessment!AU60+Assessment!AU76)</f>
        <v/>
      </c>
      <c r="AV18" s="5">
        <f>$I$16*(Assessment!AV60+Assessment!AV76)</f>
        <v/>
      </c>
      <c r="AW18" s="5">
        <f>$I$16*(Assessment!AW60+Assessment!AW76)</f>
        <v/>
      </c>
      <c r="AX18" s="5">
        <f>$I$16*(Assessment!AX60+Assessment!AX76)</f>
        <v/>
      </c>
      <c r="AY18" s="5">
        <f>$I$16*(Assessment!AY60+Assessment!AY76)</f>
        <v/>
      </c>
      <c r="AZ18" s="5">
        <f>$I$16*(Assessment!AZ60+Assessment!AZ76)</f>
        <v/>
      </c>
      <c r="BA18" s="5">
        <f>$I$16*(Assessment!BA60+Assessment!BA76)</f>
        <v/>
      </c>
      <c r="BB18" s="5">
        <f>$I$16*(Assessment!BB60+Assessment!BB76)</f>
        <v/>
      </c>
    </row>
    <row r="19" ht="15" customHeight="1">
      <c r="A19" s="5" t="n"/>
      <c r="B19" s="5" t="n"/>
      <c r="C19" s="5" t="n"/>
      <c r="D19" s="5" t="n"/>
      <c r="E19" s="16" t="n"/>
      <c r="G19" s="16" t="n"/>
      <c r="J19" s="16" t="n"/>
      <c r="K19" s="16" t="n"/>
      <c r="L19" s="16" t="n"/>
      <c r="M19" s="16" t="n"/>
      <c r="N19" s="16" t="n"/>
      <c r="O19" s="16" t="n"/>
      <c r="P19" s="38" t="n"/>
      <c r="Q19" s="38" t="n"/>
      <c r="R19" s="38" t="n"/>
      <c r="S19" s="38" t="n"/>
      <c r="T19" s="38" t="n"/>
      <c r="U19" s="38" t="n"/>
      <c r="V19" s="38" t="n"/>
      <c r="W19" s="38" t="n"/>
      <c r="X19" s="38" t="n"/>
      <c r="Y19" s="38" t="n"/>
      <c r="Z19" s="38" t="n"/>
      <c r="AA19" s="38" t="n"/>
      <c r="AB19" s="16" t="n"/>
      <c r="AC19" s="16" t="n"/>
      <c r="AD19" s="16" t="n"/>
      <c r="AE19" s="16" t="n"/>
      <c r="AF19" s="16" t="n"/>
      <c r="AG19" s="16" t="n"/>
      <c r="AH19" s="16" t="n"/>
      <c r="AI19" s="16" t="n"/>
      <c r="AJ19" s="16" t="n"/>
      <c r="AK19" s="16" t="n"/>
      <c r="AL19" s="16" t="n"/>
      <c r="AM19" s="16" t="n"/>
      <c r="AN19" s="16" t="n"/>
      <c r="AO19" s="16" t="n"/>
      <c r="AP19" s="16" t="n"/>
      <c r="AQ19" s="16" t="n"/>
      <c r="AR19" s="16" t="n"/>
      <c r="AS19" s="16" t="n"/>
      <c r="AT19" s="16" t="n"/>
      <c r="AU19" s="16" t="n"/>
      <c r="AV19" s="16" t="n"/>
      <c r="AW19" s="16" t="n"/>
      <c r="AX19" s="16" t="n"/>
      <c r="AY19" s="16" t="n"/>
      <c r="AZ19" s="16" t="n"/>
      <c r="BA19" s="16" t="n"/>
      <c r="BB19" s="16" t="n"/>
    </row>
    <row r="20" ht="39" customHeight="1">
      <c r="A20" s="5" t="n"/>
      <c r="B20" s="5" t="n"/>
      <c r="C20" s="5" t="n"/>
      <c r="D20" s="5" t="n"/>
      <c r="E20" s="46" t="inlineStr">
        <is>
          <t>GB share of within-period revenue adjustment (negative value: payment to consumers; positive value: payment from consumers)</t>
        </is>
      </c>
      <c r="G20" s="5" t="inlineStr">
        <is>
          <t>£m nominal prices</t>
        </is>
      </c>
      <c r="H20" s="21" t="inlineStr">
        <is>
          <t>ICFpap</t>
        </is>
      </c>
      <c r="J20" s="16" t="n"/>
      <c r="K20" s="16" t="n"/>
      <c r="L20" s="16" t="n"/>
      <c r="M20" s="16" t="n"/>
      <c r="N20" s="16" t="n"/>
      <c r="O20" s="33" t="n"/>
      <c r="P20" s="5">
        <f>$I$16*Assessment!P35</f>
        <v/>
      </c>
      <c r="Q20" s="5">
        <f>$I$16*Assessment!Q35</f>
        <v/>
      </c>
      <c r="R20" s="5">
        <f>$I$16*Assessment!R35</f>
        <v/>
      </c>
      <c r="S20" s="5">
        <f>$I$16*Assessment!S35</f>
        <v/>
      </c>
      <c r="T20" s="5">
        <f>$I$16*Assessment!T35</f>
        <v/>
      </c>
      <c r="U20" s="5">
        <f>$I$16*Assessment!U35</f>
        <v/>
      </c>
      <c r="V20" s="5">
        <f>$I$16*Assessment!V35</f>
        <v/>
      </c>
      <c r="W20" s="5">
        <f>$I$16*Assessment!W35</f>
        <v/>
      </c>
      <c r="X20" s="5">
        <f>$I$16*Assessment!X35</f>
        <v/>
      </c>
      <c r="Y20" s="5">
        <f>$I$16*Assessment!Y35</f>
        <v/>
      </c>
      <c r="Z20" s="5">
        <f>$I$16*Assessment!Z35</f>
        <v/>
      </c>
      <c r="AA20" s="5">
        <f>$I$16*Assessment!AA35</f>
        <v/>
      </c>
      <c r="AB20" s="5">
        <f>$I$16*Assessment!AB35</f>
        <v/>
      </c>
      <c r="AC20" s="5">
        <f>$I$16*Assessment!AC35</f>
        <v/>
      </c>
      <c r="AD20" s="5">
        <f>$I$16*Assessment!AD35</f>
        <v/>
      </c>
      <c r="AE20" s="5">
        <f>$I$16*Assessment!AE35</f>
        <v/>
      </c>
      <c r="AF20" s="5">
        <f>$I$16*Assessment!AF35</f>
        <v/>
      </c>
      <c r="AG20" s="5">
        <f>$I$16*Assessment!AG35</f>
        <v/>
      </c>
      <c r="AH20" s="5">
        <f>$I$16*Assessment!AH35</f>
        <v/>
      </c>
      <c r="AI20" s="5">
        <f>$I$16*Assessment!AI35</f>
        <v/>
      </c>
      <c r="AJ20" s="5">
        <f>$I$16*Assessment!AJ35</f>
        <v/>
      </c>
      <c r="AK20" s="5">
        <f>$I$16*Assessment!AK35</f>
        <v/>
      </c>
      <c r="AL20" s="5">
        <f>$I$16*Assessment!AL35</f>
        <v/>
      </c>
      <c r="AM20" s="5">
        <f>$I$16*Assessment!AM35</f>
        <v/>
      </c>
      <c r="AN20" s="5">
        <f>$I$16*Assessment!AN35</f>
        <v/>
      </c>
      <c r="AO20" s="5">
        <f>$I$16*Assessment!AO35</f>
        <v/>
      </c>
      <c r="AP20" s="5">
        <f>$I$16*Assessment!AP35</f>
        <v/>
      </c>
      <c r="AQ20" s="5">
        <f>$I$16*Assessment!AQ35</f>
        <v/>
      </c>
      <c r="AR20" s="5">
        <f>$I$16*Assessment!AR35</f>
        <v/>
      </c>
      <c r="AS20" s="5">
        <f>$I$16*Assessment!AS35</f>
        <v/>
      </c>
      <c r="AT20" s="5">
        <f>$I$16*Assessment!AT35</f>
        <v/>
      </c>
      <c r="AU20" s="5">
        <f>$I$16*Assessment!AU35</f>
        <v/>
      </c>
      <c r="AV20" s="5">
        <f>$I$16*Assessment!AV35</f>
        <v/>
      </c>
      <c r="AW20" s="5">
        <f>$I$16*Assessment!AW35</f>
        <v/>
      </c>
      <c r="AX20" s="5">
        <f>$I$16*Assessment!AX35</f>
        <v/>
      </c>
      <c r="AY20" s="5">
        <f>$I$16*Assessment!AY35</f>
        <v/>
      </c>
      <c r="AZ20" s="5">
        <f>$I$16*Assessment!AZ35</f>
        <v/>
      </c>
      <c r="BA20" s="5">
        <f>$I$16*Assessment!BA35</f>
        <v/>
      </c>
      <c r="BB20" s="5">
        <f>$I$16*Assessment!BB35</f>
        <v/>
      </c>
    </row>
    <row r="21" ht="15" customHeight="1">
      <c r="A21" s="5" t="n"/>
      <c r="B21" s="5" t="n"/>
      <c r="C21" s="5" t="n"/>
      <c r="D21" s="5" t="n"/>
      <c r="E21" s="16" t="n"/>
      <c r="G21" s="16" t="n"/>
      <c r="J21" s="16" t="n"/>
      <c r="K21" s="16" t="n"/>
      <c r="L21" s="16" t="n"/>
      <c r="M21" s="16" t="n"/>
      <c r="N21" s="16" t="n"/>
      <c r="O21" s="16" t="n"/>
      <c r="P21" s="16" t="n"/>
      <c r="Q21" s="16" t="n"/>
      <c r="R21" s="16" t="n"/>
      <c r="S21" s="16" t="n"/>
      <c r="T21" s="16" t="n"/>
      <c r="U21" s="16" t="n"/>
      <c r="V21" s="16" t="n"/>
      <c r="W21" s="16" t="n"/>
      <c r="X21" s="16" t="n"/>
      <c r="Y21" s="16" t="n"/>
      <c r="Z21" s="38" t="n"/>
      <c r="AA21" s="38" t="n"/>
      <c r="AB21" s="16" t="n"/>
      <c r="AC21" s="16" t="n"/>
      <c r="AD21" s="16" t="n"/>
      <c r="AE21" s="16" t="n"/>
      <c r="AF21" s="16" t="n"/>
      <c r="AG21" s="16" t="n"/>
      <c r="AH21" s="16" t="n"/>
      <c r="AI21" s="16" t="n"/>
      <c r="AJ21" s="16" t="n"/>
      <c r="AK21" s="16" t="n"/>
      <c r="AL21" s="16" t="n"/>
      <c r="AM21" s="16" t="n"/>
      <c r="AN21" s="16" t="n"/>
      <c r="AO21" s="16" t="n"/>
      <c r="AP21" s="16" t="n"/>
      <c r="AQ21" s="16" t="n"/>
      <c r="AR21" s="16" t="n"/>
      <c r="AS21" s="16" t="n"/>
      <c r="AT21" s="16" t="n"/>
      <c r="AU21" s="16" t="n"/>
      <c r="AV21" s="16" t="n"/>
      <c r="AW21" s="16" t="n"/>
      <c r="AX21" s="16" t="n"/>
      <c r="AY21" s="16" t="n"/>
      <c r="AZ21" s="16" t="n"/>
      <c r="BA21" s="16" t="n"/>
      <c r="BB21" s="16" t="n"/>
    </row>
    <row r="22" ht="15" customFormat="1" customHeight="1" s="4">
      <c r="B22" s="8" t="inlineStr">
        <is>
          <t>End of sheet</t>
        </is>
      </c>
      <c r="C22" s="8" t="n"/>
      <c r="D22" s="8" t="n"/>
      <c r="E22" s="8" t="n"/>
      <c r="F22" s="8" t="n"/>
      <c r="G22" s="8" t="n"/>
      <c r="H22" s="8" t="n"/>
      <c r="I22" s="8" t="n"/>
      <c r="J22" s="8" t="n"/>
      <c r="K22" s="8" t="n"/>
      <c r="L22" s="8" t="n"/>
      <c r="M22" s="8" t="n"/>
      <c r="N22" s="8" t="n"/>
      <c r="O22" s="8" t="n"/>
      <c r="P22" s="8" t="n"/>
      <c r="Q22" s="8" t="n"/>
      <c r="R22" s="8" t="n"/>
      <c r="S22" s="8" t="n"/>
      <c r="T22" s="8" t="n"/>
      <c r="U22" s="8" t="n"/>
      <c r="V22" s="8" t="n"/>
      <c r="W22" s="8" t="n"/>
      <c r="X22" s="8" t="n"/>
      <c r="Y22" s="8" t="n"/>
      <c r="Z22" s="8" t="n"/>
      <c r="AA22" s="8" t="n"/>
      <c r="AB22" s="8" t="n"/>
      <c r="AC22" s="8" t="n"/>
      <c r="AD22" s="8" t="n"/>
      <c r="AE22" s="8" t="n"/>
      <c r="AF22" s="8" t="n"/>
      <c r="AG22" s="8" t="n"/>
      <c r="AH22" s="8" t="n"/>
      <c r="AI22" s="8" t="n"/>
      <c r="AJ22" s="8" t="n"/>
      <c r="AK22" s="8" t="n"/>
      <c r="AL22" s="8" t="n"/>
      <c r="AM22" s="8" t="n"/>
      <c r="AN22" s="8" t="n"/>
      <c r="AO22" s="8" t="n"/>
      <c r="AP22" s="8" t="n"/>
      <c r="AQ22" s="8" t="n"/>
      <c r="AR22" s="8" t="n"/>
      <c r="AS22" s="8" t="n"/>
      <c r="AT22" s="8" t="n"/>
      <c r="AU22" s="8" t="n"/>
      <c r="AV22" s="8" t="n"/>
      <c r="AW22" s="8" t="n"/>
      <c r="AX22" s="8" t="n"/>
      <c r="AY22" s="8" t="n"/>
      <c r="AZ22" s="8" t="n"/>
      <c r="BA22" s="8" t="n"/>
      <c r="BB22" s="8" t="n"/>
    </row>
    <row r="23" ht="15" customHeight="1"/>
    <row r="25" hidden="1" ht="15" customHeight="1">
      <c r="T25" s="74" t="n"/>
    </row>
    <row r="37" hidden="1" ht="13.5" customHeight="1"/>
  </sheetData>
  <pageMargins left="0.2362204724409449" right="0.2362204724409449" top="0.7480314960629921" bottom="0.7480314960629921" header="0.3149606299212598" footer="0.3149606299212598"/>
  <pageSetup orientation="landscape" paperSize="8" scale="43"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itle>IFA2 CFFM2 PCR Decision</dc:title>
  <dcterms:created xsi:type="dcterms:W3CDTF">2014-03-17T11:35:35Z</dcterms:created>
  <dcterms:modified xsi:type="dcterms:W3CDTF">2026-07-08T13:40:05Z</dcterms:modified>
  <cp:lastModifiedBy>Aadesh Samdadiya</cp:lastModifiedBy>
  <cp:contentStatus>Draft</cp:contentStatus>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0x010100E44F2248E69F134788167C8D3942F8C7008BF39060F902F942881C23A6CD1F1233</vt:lpwstr>
  </property>
  <property name="Select Content Type Above" fmtid="{D5CDD505-2E9C-101B-9397-08002B2CF9AE}" pid="3">
    <vt:lpwstr/>
  </property>
  <property name="Order" fmtid="{D5CDD505-2E9C-101B-9397-08002B2CF9AE}" pid="4">
    <vt:r8>2893600</vt:r8>
  </property>
  <property name="Applicable Start Date" fmtid="{D5CDD505-2E9C-101B-9397-08002B2CF9AE}" pid="5">
    <vt:filetime>2014-03-17T00:00:00Z</vt:filetime>
  </property>
  <property name="URL" fmtid="{D5CDD505-2E9C-101B-9397-08002B2CF9AE}" pid="6">
    <vt:lpwstr/>
  </property>
  <property name="From" fmtid="{D5CDD505-2E9C-101B-9397-08002B2CF9AE}" pid="7">
    <vt:lpwstr/>
  </property>
  <property name="Project Sponsor" fmtid="{D5CDD505-2E9C-101B-9397-08002B2CF9AE}" pid="8">
    <vt:lpwstr/>
  </property>
  <property name="BCC" fmtid="{D5CDD505-2E9C-101B-9397-08002B2CF9AE}" pid="9">
    <vt:lpwstr/>
  </property>
  <property name="xd_ProgID" fmtid="{D5CDD505-2E9C-101B-9397-08002B2CF9AE}" pid="10">
    <vt:lpwstr/>
  </property>
  <property name="_Version" fmtid="{D5CDD505-2E9C-101B-9397-08002B2CF9AE}" pid="11">
    <vt:lpwstr/>
  </property>
  <property name="Project Manager" fmtid="{D5CDD505-2E9C-101B-9397-08002B2CF9AE}" pid="12">
    <vt:lpwstr/>
  </property>
  <property name="Ref No" fmtid="{D5CDD505-2E9C-101B-9397-08002B2CF9AE}" pid="13">
    <vt:lpwstr/>
  </property>
  <property name="Applicable Duration" fmtid="{D5CDD505-2E9C-101B-9397-08002B2CF9AE}" pid="14">
    <vt:lpwstr>-</vt:lpwstr>
  </property>
  <property name="Project Name" fmtid="{D5CDD505-2E9C-101B-9397-08002B2CF9AE}" pid="15">
    <vt:lpwstr/>
  </property>
  <property name="Project Owner" fmtid="{D5CDD505-2E9C-101B-9397-08002B2CF9AE}" pid="16">
    <vt:lpwstr/>
  </property>
  <property name="TemplateUrl" fmtid="{D5CDD505-2E9C-101B-9397-08002B2CF9AE}" pid="17">
    <vt:lpwstr/>
  </property>
  <property name="CC" fmtid="{D5CDD505-2E9C-101B-9397-08002B2CF9AE}" pid="18">
    <vt:lpwstr/>
  </property>
  <property name="DLCPolicyLabelLock" fmtid="{D5CDD505-2E9C-101B-9397-08002B2CF9AE}" pid="19">
    <vt:lpwstr/>
  </property>
  <property name="To" fmtid="{D5CDD505-2E9C-101B-9397-08002B2CF9AE}" pid="20">
    <vt:lpwstr/>
  </property>
  <property name="Attach Count" fmtid="{D5CDD505-2E9C-101B-9397-08002B2CF9AE}" pid="21">
    <vt:lpwstr/>
  </property>
  <property name="Importance" fmtid="{D5CDD505-2E9C-101B-9397-08002B2CF9AE}" pid="22">
    <vt:lpwstr/>
  </property>
  <property name="DLCPolicyLabelClientValue" fmtid="{D5CDD505-2E9C-101B-9397-08002B2CF9AE}" pid="23">
    <vt:lpwstr>Version : {_UIVersionString}</vt:lpwstr>
  </property>
  <property name="docIndexRef" fmtid="{D5CDD505-2E9C-101B-9397-08002B2CF9AE}" pid="24">
    <vt:lpwstr>42851806-6890-44f2-8607-e9d4388277d8</vt:lpwstr>
  </property>
  <property name="bjSaver" fmtid="{D5CDD505-2E9C-101B-9397-08002B2CF9AE}" pid="25">
    <vt:lpwstr>F4pwnGwIynODlByWBfXh7WvHa6LyLkXu</vt:lpwstr>
  </property>
  <property name="bjDocumentSecurityLabel" fmtid="{D5CDD505-2E9C-101B-9397-08002B2CF9AE}" pid="26">
    <vt:lpwstr>This item has no classification</vt:lpwstr>
  </property>
  <property name="BJSCc5a055b0-1bed-4579_x" fmtid="{D5CDD505-2E9C-101B-9397-08002B2CF9AE}" pid="27">
    <vt:lpwstr/>
  </property>
  <property name="BJSCSummaryMarking" fmtid="{D5CDD505-2E9C-101B-9397-08002B2CF9AE}" pid="28">
    <vt:lpwstr>This item has no classification</vt:lpwstr>
  </property>
  <property name="BJSCInternalLabel" fmtid="{D5CDD505-2E9C-101B-9397-08002B2CF9AE}" pid="29">
    <vt:lpwstr>&lt;?xml version="1.0" encoding="us-ascii"?&gt;&lt;sisl xmlns:xsi="http://www.w3.org/2001/XMLSchema-instance" xmlns:xsd="http://www.w3.org/2001/XMLSchema" sislVersion="0" policy="973096ae-7329-4b3b-9368-47aeba6959e1" xmlns="http://www.boldonjames.com/2008/01/sie/internal/label" /&gt;</vt:lpwstr>
  </property>
  <property name="BJSCdd9eba61-d6b9-469b_x" fmtid="{D5CDD505-2E9C-101B-9397-08002B2CF9AE}" pid="30">
    <vt:lpwstr/>
  </property>
  <property name="bjClsUserRVM" fmtid="{D5CDD505-2E9C-101B-9397-08002B2CF9AE}" pid="31">
    <vt:lpwstr>[]</vt:lpwstr>
  </property>
  <property name="Organisation" fmtid="{D5CDD505-2E9C-101B-9397-08002B2CF9AE}" pid="32">
    <vt:lpwstr>Choose an Organisation</vt:lpwstr>
  </property>
</Properties>
</file>