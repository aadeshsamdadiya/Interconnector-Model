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adesh/Documents/IC/"/>
    </mc:Choice>
  </mc:AlternateContent>
  <xr:revisionPtr revIDLastSave="0" documentId="13_ncr:1_{5BC82C57-B2C7-144B-89BD-60BDA69F0883}" xr6:coauthVersionLast="47" xr6:coauthVersionMax="47" xr10:uidLastSave="{00000000-0000-0000-0000-000000000000}"/>
  <bookViews>
    <workbookView xWindow="0" yWindow="780" windowWidth="34200" windowHeight="21460" tabRatio="849" activeTab="12" xr2:uid="{00000000-000D-0000-FFFF-FFFF00000000}"/>
  </bookViews>
  <sheets>
    <sheet name="Cover" sheetId="1" r:id="rId1"/>
    <sheet name="Version Control" sheetId="2" r:id="rId2"/>
    <sheet name="Inputs" sheetId="3" r:id="rId3"/>
    <sheet name="Data Sources" sheetId="4" r:id="rId4"/>
    <sheet name="Pre Op RAV" sheetId="5" r:id="rId5"/>
    <sheet name="Finance" sheetId="6" r:id="rId6"/>
    <sheet name="Op Rav" sheetId="7" r:id="rId7"/>
    <sheet name="Allowances Cap" sheetId="8" r:id="rId8"/>
    <sheet name="Allowances Floor" sheetId="9" r:id="rId9"/>
    <sheet name="Tax Deductions" sheetId="10" r:id="rId10"/>
    <sheet name="Tax Cap" sheetId="11" r:id="rId11"/>
    <sheet name="Tax Floor" sheetId="12" r:id="rId12"/>
    <sheet name="Cap Floor Levels" sheetId="13" r:id="rId13"/>
  </sheets>
  <externalReferences>
    <externalReference r:id="rId14"/>
    <externalReference r:id="rId15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omputed" localSheetId="3">#REF!</definedName>
    <definedName name="computed" localSheetId="6">#REF!</definedName>
    <definedName name="computed">#REF!</definedName>
    <definedName name="diff" localSheetId="3">#REF!</definedName>
    <definedName name="diff" localSheetId="6">#REF!</definedName>
    <definedName name="diff">#REF!</definedName>
    <definedName name="End_Point" localSheetId="3">#REF!</definedName>
    <definedName name="End_Point" localSheetId="6">#REF!</definedName>
    <definedName name="End_Point">#REF!</definedName>
    <definedName name="fixed" localSheetId="3">#REF!</definedName>
    <definedName name="fixed" localSheetId="6">#REF!</definedName>
    <definedName name="fixed">#REF!</definedName>
    <definedName name="_xlnm.Print_Area" localSheetId="7">'Allowances Cap'!$A$1:$AX$36</definedName>
    <definedName name="_xlnm.Print_Area" localSheetId="8">'Allowances Floor'!$A$1:$AX$36</definedName>
    <definedName name="_xlnm.Print_Area" localSheetId="12">'Cap Floor Levels'!$A$1:$AT$26</definedName>
    <definedName name="_xlnm.Print_Area" localSheetId="0">Cover!$A$2:$G$42</definedName>
    <definedName name="_xlnm.Print_Area" localSheetId="3">'Data Sources'!$A$1:$AX$72</definedName>
    <definedName name="_xlnm.Print_Area" localSheetId="5">Finance!$A$1:$AX$48</definedName>
    <definedName name="_xlnm.Print_Area" localSheetId="2">Inputs!$A$1:$AX$125</definedName>
    <definedName name="_xlnm.Print_Area" localSheetId="6">'Op Rav'!$A$1:$AX$43</definedName>
    <definedName name="_xlnm.Print_Area" localSheetId="4">'Pre Op RAV'!$A$1:$AX$26</definedName>
    <definedName name="_xlnm.Print_Area" localSheetId="10">'Tax Cap'!$A$1:$AX$46</definedName>
    <definedName name="_xlnm.Print_Area" localSheetId="9">'Tax Deductions'!$A$1:$AX$65</definedName>
    <definedName name="_xlnm.Print_Area" localSheetId="11">'Tax Floor'!$A$1:$AX$42</definedName>
    <definedName name="_xlnm.Print_Titles" localSheetId="7">'Allowances Cap'!$1:$4</definedName>
    <definedName name="_xlnm.Print_Titles" localSheetId="8">'Allowances Floor'!$1:$4</definedName>
    <definedName name="_xlnm.Print_Titles" localSheetId="12">'Cap Floor Levels'!$1:$2</definedName>
    <definedName name="_xlnm.Print_Titles" localSheetId="0">Cover!$2:$5</definedName>
    <definedName name="_xlnm.Print_Titles" localSheetId="3">'Data Sources'!$1:$2</definedName>
    <definedName name="_xlnm.Print_Titles" localSheetId="5">Finance!$1:$4</definedName>
    <definedName name="_xlnm.Print_Titles" localSheetId="2">Inputs!$1:$2</definedName>
    <definedName name="_xlnm.Print_Titles" localSheetId="6">'Op Rav'!$1:$3</definedName>
    <definedName name="_xlnm.Print_Titles" localSheetId="4">'Pre Op RAV'!$1:$4</definedName>
    <definedName name="_xlnm.Print_Titles" localSheetId="10">'Tax Cap'!$1:$3</definedName>
    <definedName name="_xlnm.Print_Titles" localSheetId="9">'Tax Deductions'!$1:$3</definedName>
    <definedName name="_xlnm.Print_Titles" localSheetId="11">'Tax Floor'!$1:$3</definedName>
    <definedName name="Repayment" localSheetId="3">#REF!</definedName>
    <definedName name="Repayment" localSheetId="6">#REF!</definedName>
    <definedName name="Repayment">#REF!</definedName>
    <definedName name="RiskAfterRecalcMacro" hidden="1">"Simulation"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TRUE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WDA_Dis" localSheetId="1">'[2]fis-Standard Data'!$B$41</definedName>
    <definedName name="WDA_Dis">'[1]fis-Standard Data'!$B$41</definedName>
    <definedName name="WDA_FYA" localSheetId="1">'[2]fis-Standard Data'!$B$40</definedName>
    <definedName name="WDA_FYA">'[1]fis-Standard Data'!$B$40</definedName>
    <definedName name="WDA_LLA" localSheetId="1">'[2]fis-Standard Data'!$B$39</definedName>
    <definedName name="WDA_LLA">'[1]fis-Standard Data'!$B$39</definedName>
    <definedName name="WDA_Plant" localSheetId="1">'[2]fis-Standard Data'!$B$38</definedName>
    <definedName name="WDA_Plant">'[1]fis-Standard Data'!$B$38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13" l="1"/>
  <c r="G23" i="13"/>
  <c r="G21" i="13"/>
  <c r="G20" i="13"/>
  <c r="G18" i="13"/>
  <c r="G17" i="13"/>
  <c r="G15" i="13"/>
  <c r="G14" i="13"/>
  <c r="G12" i="13"/>
  <c r="G11" i="13"/>
  <c r="G9" i="13"/>
  <c r="G8" i="13"/>
  <c r="G40" i="12"/>
  <c r="G36" i="12"/>
  <c r="G35" i="12"/>
  <c r="G33" i="12"/>
  <c r="G32" i="12"/>
  <c r="AI23" i="12"/>
  <c r="AI26" i="12" s="1"/>
  <c r="AH23" i="12"/>
  <c r="AH26" i="12" s="1"/>
  <c r="AG23" i="12"/>
  <c r="AG26" i="12" s="1"/>
  <c r="AF23" i="12"/>
  <c r="AF26" i="12" s="1"/>
  <c r="AE23" i="12"/>
  <c r="AE26" i="12" s="1"/>
  <c r="AD23" i="12"/>
  <c r="AD26" i="12" s="1"/>
  <c r="AC23" i="12"/>
  <c r="AC26" i="12" s="1"/>
  <c r="AB23" i="12"/>
  <c r="AB26" i="12" s="1"/>
  <c r="AA23" i="12"/>
  <c r="AA26" i="12" s="1"/>
  <c r="Z23" i="12"/>
  <c r="Z26" i="12" s="1"/>
  <c r="Y23" i="12"/>
  <c r="Y26" i="12" s="1"/>
  <c r="X23" i="12"/>
  <c r="X26" i="12" s="1"/>
  <c r="W23" i="12"/>
  <c r="W26" i="12" s="1"/>
  <c r="V23" i="12"/>
  <c r="V26" i="12" s="1"/>
  <c r="U23" i="12"/>
  <c r="U26" i="12" s="1"/>
  <c r="T23" i="12"/>
  <c r="T26" i="12" s="1"/>
  <c r="S23" i="12"/>
  <c r="S26" i="12" s="1"/>
  <c r="R23" i="12"/>
  <c r="R26" i="12" s="1"/>
  <c r="Q23" i="12"/>
  <c r="Q26" i="12" s="1"/>
  <c r="P23" i="12"/>
  <c r="P26" i="12" s="1"/>
  <c r="O23" i="12"/>
  <c r="O26" i="12" s="1"/>
  <c r="N23" i="12"/>
  <c r="N26" i="12" s="1"/>
  <c r="M23" i="12"/>
  <c r="M26" i="12" s="1"/>
  <c r="L23" i="12"/>
  <c r="L26" i="12" s="1"/>
  <c r="K23" i="12"/>
  <c r="K26" i="12" s="1"/>
  <c r="G23" i="12"/>
  <c r="K15" i="12"/>
  <c r="G40" i="11"/>
  <c r="G36" i="11"/>
  <c r="G35" i="11"/>
  <c r="G33" i="11"/>
  <c r="G32" i="11"/>
  <c r="AI26" i="11"/>
  <c r="AG26" i="11"/>
  <c r="AF26" i="11"/>
  <c r="W26" i="11"/>
  <c r="O26" i="11"/>
  <c r="M26" i="11"/>
  <c r="L26" i="11"/>
  <c r="AI23" i="11"/>
  <c r="AH23" i="11"/>
  <c r="AH26" i="11" s="1"/>
  <c r="AG23" i="11"/>
  <c r="AF23" i="11"/>
  <c r="AE23" i="11"/>
  <c r="AE26" i="11" s="1"/>
  <c r="AD23" i="11"/>
  <c r="AD26" i="11" s="1"/>
  <c r="AC23" i="11"/>
  <c r="AC26" i="11" s="1"/>
  <c r="AB23" i="11"/>
  <c r="AB26" i="11" s="1"/>
  <c r="AA23" i="11"/>
  <c r="AA26" i="11" s="1"/>
  <c r="Z23" i="11"/>
  <c r="Z26" i="11" s="1"/>
  <c r="Y23" i="11"/>
  <c r="Y26" i="11" s="1"/>
  <c r="X23" i="11"/>
  <c r="X26" i="11" s="1"/>
  <c r="W23" i="11"/>
  <c r="V23" i="11"/>
  <c r="V26" i="11" s="1"/>
  <c r="U23" i="11"/>
  <c r="U26" i="11" s="1"/>
  <c r="T23" i="11"/>
  <c r="T26" i="11" s="1"/>
  <c r="S23" i="11"/>
  <c r="S26" i="11" s="1"/>
  <c r="R23" i="11"/>
  <c r="R26" i="11" s="1"/>
  <c r="Q23" i="11"/>
  <c r="Q26" i="11" s="1"/>
  <c r="P23" i="11"/>
  <c r="P26" i="11" s="1"/>
  <c r="O23" i="11"/>
  <c r="N23" i="11"/>
  <c r="N26" i="11" s="1"/>
  <c r="M23" i="11"/>
  <c r="L23" i="11"/>
  <c r="K23" i="11"/>
  <c r="K26" i="11" s="1"/>
  <c r="G23" i="11"/>
  <c r="K15" i="11"/>
  <c r="I55" i="10"/>
  <c r="G55" i="10"/>
  <c r="I54" i="10"/>
  <c r="G54" i="10"/>
  <c r="G49" i="10"/>
  <c r="G48" i="10"/>
  <c r="K34" i="10"/>
  <c r="I32" i="10"/>
  <c r="G32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W31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G31" i="10"/>
  <c r="E10" i="10"/>
  <c r="E9" i="10"/>
  <c r="G34" i="9"/>
  <c r="G33" i="9"/>
  <c r="G31" i="9"/>
  <c r="G38" i="12" s="1"/>
  <c r="G29" i="9"/>
  <c r="G28" i="9"/>
  <c r="L24" i="9"/>
  <c r="L33" i="12" s="1"/>
  <c r="L23" i="9"/>
  <c r="I20" i="9"/>
  <c r="K23" i="9" s="1"/>
  <c r="G20" i="9"/>
  <c r="I19" i="9"/>
  <c r="G19" i="9"/>
  <c r="G13" i="9"/>
  <c r="G12" i="9"/>
  <c r="G11" i="9"/>
  <c r="G10" i="9"/>
  <c r="G9" i="9"/>
  <c r="G8" i="9"/>
  <c r="M4" i="9"/>
  <c r="M23" i="9" s="1"/>
  <c r="L4" i="9"/>
  <c r="G34" i="8"/>
  <c r="G33" i="8"/>
  <c r="G31" i="8"/>
  <c r="G38" i="11" s="1"/>
  <c r="G29" i="8"/>
  <c r="G28" i="8"/>
  <c r="K24" i="8"/>
  <c r="K33" i="11" s="1"/>
  <c r="I20" i="8"/>
  <c r="K23" i="8" s="1"/>
  <c r="G20" i="8"/>
  <c r="I19" i="8"/>
  <c r="G19" i="8"/>
  <c r="G13" i="8"/>
  <c r="G12" i="8"/>
  <c r="G11" i="8"/>
  <c r="G10" i="8"/>
  <c r="G9" i="8"/>
  <c r="G8" i="8"/>
  <c r="N4" i="8"/>
  <c r="O4" i="8" s="1"/>
  <c r="M4" i="8"/>
  <c r="L4" i="8"/>
  <c r="G41" i="7"/>
  <c r="G40" i="7"/>
  <c r="G38" i="7"/>
  <c r="G37" i="7"/>
  <c r="G35" i="7"/>
  <c r="G34" i="7"/>
  <c r="I32" i="7"/>
  <c r="G32" i="7"/>
  <c r="I31" i="7"/>
  <c r="G31" i="7"/>
  <c r="G25" i="7"/>
  <c r="I21" i="7"/>
  <c r="K22" i="7" s="1"/>
  <c r="G17" i="7"/>
  <c r="G15" i="7"/>
  <c r="G14" i="7"/>
  <c r="G13" i="7"/>
  <c r="G12" i="7"/>
  <c r="G11" i="7"/>
  <c r="G10" i="7"/>
  <c r="K9" i="7"/>
  <c r="G9" i="7"/>
  <c r="G46" i="6"/>
  <c r="G45" i="6"/>
  <c r="G44" i="6"/>
  <c r="G43" i="6"/>
  <c r="G42" i="6"/>
  <c r="G41" i="6"/>
  <c r="G40" i="6"/>
  <c r="G39" i="6"/>
  <c r="K38" i="6"/>
  <c r="G38" i="6"/>
  <c r="I34" i="6"/>
  <c r="G34" i="6"/>
  <c r="I33" i="6"/>
  <c r="G33" i="6"/>
  <c r="I31" i="6"/>
  <c r="G31" i="6"/>
  <c r="I30" i="6"/>
  <c r="G30" i="6"/>
  <c r="G24" i="6"/>
  <c r="R23" i="6"/>
  <c r="G23" i="6"/>
  <c r="G22" i="6"/>
  <c r="G21" i="6"/>
  <c r="K20" i="6"/>
  <c r="G20" i="6"/>
  <c r="I18" i="6"/>
  <c r="G18" i="6"/>
  <c r="G24" i="5"/>
  <c r="G23" i="5"/>
  <c r="G22" i="5"/>
  <c r="G21" i="5"/>
  <c r="E21" i="5"/>
  <c r="R20" i="5"/>
  <c r="G20" i="5"/>
  <c r="V19" i="5"/>
  <c r="T19" i="5"/>
  <c r="G19" i="5"/>
  <c r="G18" i="5"/>
  <c r="G17" i="5"/>
  <c r="I70" i="4"/>
  <c r="G70" i="4"/>
  <c r="E70" i="4"/>
  <c r="I66" i="4"/>
  <c r="G66" i="4"/>
  <c r="E66" i="4"/>
  <c r="I65" i="4"/>
  <c r="G65" i="4"/>
  <c r="E65" i="4"/>
  <c r="I64" i="4"/>
  <c r="G64" i="4"/>
  <c r="E64" i="4"/>
  <c r="I60" i="4"/>
  <c r="G60" i="4"/>
  <c r="E60" i="4"/>
  <c r="I56" i="4"/>
  <c r="G56" i="4"/>
  <c r="E56" i="4"/>
  <c r="I55" i="4"/>
  <c r="G55" i="4"/>
  <c r="E55" i="4"/>
  <c r="I54" i="4"/>
  <c r="G54" i="4"/>
  <c r="E54" i="4"/>
  <c r="I53" i="4"/>
  <c r="G53" i="4"/>
  <c r="E53" i="4"/>
  <c r="I49" i="4"/>
  <c r="G49" i="4"/>
  <c r="E49" i="4"/>
  <c r="I48" i="4"/>
  <c r="G48" i="4"/>
  <c r="E48" i="4"/>
  <c r="I46" i="4"/>
  <c r="G46" i="4"/>
  <c r="E46" i="4"/>
  <c r="I45" i="4"/>
  <c r="G45" i="4"/>
  <c r="E45" i="4"/>
  <c r="I43" i="4"/>
  <c r="G43" i="4"/>
  <c r="E43" i="4"/>
  <c r="I42" i="4"/>
  <c r="G42" i="4"/>
  <c r="E42" i="4"/>
  <c r="I41" i="4"/>
  <c r="G41" i="4"/>
  <c r="E41" i="4"/>
  <c r="I35" i="4"/>
  <c r="H35" i="4"/>
  <c r="I33" i="4"/>
  <c r="G33" i="4"/>
  <c r="E33" i="4"/>
  <c r="I32" i="4"/>
  <c r="G32" i="4"/>
  <c r="E32" i="4"/>
  <c r="I31" i="4"/>
  <c r="G31" i="4"/>
  <c r="E31" i="4"/>
  <c r="I29" i="4"/>
  <c r="G29" i="4"/>
  <c r="E29" i="4"/>
  <c r="I28" i="4"/>
  <c r="G28" i="4"/>
  <c r="E28" i="4"/>
  <c r="I27" i="4"/>
  <c r="G27" i="4"/>
  <c r="E27" i="4"/>
  <c r="I26" i="4"/>
  <c r="G26" i="4"/>
  <c r="E26" i="4"/>
  <c r="I22" i="4"/>
  <c r="H22" i="4"/>
  <c r="G22" i="4"/>
  <c r="E22" i="4"/>
  <c r="I18" i="4"/>
  <c r="H18" i="4"/>
  <c r="G18" i="4"/>
  <c r="E18" i="4"/>
  <c r="I16" i="4"/>
  <c r="E16" i="4"/>
  <c r="I15" i="4"/>
  <c r="E15" i="4"/>
  <c r="I14" i="4"/>
  <c r="E14" i="4"/>
  <c r="I8" i="4"/>
  <c r="G8" i="4"/>
  <c r="E8" i="4"/>
  <c r="I7" i="4"/>
  <c r="G7" i="4"/>
  <c r="E7" i="4"/>
  <c r="I6" i="4"/>
  <c r="G6" i="4"/>
  <c r="E6" i="4"/>
  <c r="I118" i="3"/>
  <c r="I119" i="3" s="1"/>
  <c r="I9" i="10" s="1"/>
  <c r="I116" i="3"/>
  <c r="X107" i="3"/>
  <c r="M107" i="3"/>
  <c r="L107" i="3"/>
  <c r="X106" i="3"/>
  <c r="W106" i="3"/>
  <c r="W107" i="3" s="1"/>
  <c r="V106" i="3"/>
  <c r="V107" i="3" s="1"/>
  <c r="U106" i="3"/>
  <c r="U107" i="3" s="1"/>
  <c r="T106" i="3"/>
  <c r="T107" i="3" s="1"/>
  <c r="S106" i="3"/>
  <c r="S107" i="3" s="1"/>
  <c r="R106" i="3"/>
  <c r="R107" i="3" s="1"/>
  <c r="Q106" i="3"/>
  <c r="Q107" i="3" s="1"/>
  <c r="P106" i="3"/>
  <c r="P107" i="3" s="1"/>
  <c r="O106" i="3"/>
  <c r="O107" i="3" s="1"/>
  <c r="N106" i="3"/>
  <c r="N107" i="3" s="1"/>
  <c r="M106" i="3"/>
  <c r="L106" i="3"/>
  <c r="K106" i="3"/>
  <c r="K107" i="3" s="1"/>
  <c r="I104" i="3"/>
  <c r="K100" i="3"/>
  <c r="K91" i="3"/>
  <c r="I88" i="3"/>
  <c r="K81" i="3"/>
  <c r="K82" i="3" s="1"/>
  <c r="K92" i="3" s="1"/>
  <c r="I71" i="3"/>
  <c r="I48" i="10" s="1"/>
  <c r="AE62" i="3"/>
  <c r="AB62" i="3"/>
  <c r="Z62" i="3"/>
  <c r="P62" i="3"/>
  <c r="O62" i="3"/>
  <c r="N62" i="3"/>
  <c r="L62" i="3"/>
  <c r="K62" i="3"/>
  <c r="G62" i="3"/>
  <c r="E62" i="3"/>
  <c r="AC61" i="3"/>
  <c r="AB61" i="3"/>
  <c r="AA61" i="3"/>
  <c r="V61" i="3"/>
  <c r="S61" i="3"/>
  <c r="Q61" i="3"/>
  <c r="G61" i="3"/>
  <c r="E61" i="3"/>
  <c r="AI60" i="3"/>
  <c r="AH60" i="3"/>
  <c r="AF60" i="3"/>
  <c r="AE60" i="3"/>
  <c r="Y60" i="3"/>
  <c r="S60" i="3"/>
  <c r="R60" i="3"/>
  <c r="L60" i="3"/>
  <c r="G60" i="3"/>
  <c r="E60" i="3"/>
  <c r="AG59" i="3"/>
  <c r="AG13" i="7" s="1"/>
  <c r="W59" i="3"/>
  <c r="W13" i="7" s="1"/>
  <c r="V59" i="3"/>
  <c r="V13" i="7" s="1"/>
  <c r="U59" i="3"/>
  <c r="U13" i="7" s="1"/>
  <c r="S59" i="3"/>
  <c r="S13" i="7" s="1"/>
  <c r="O59" i="3"/>
  <c r="O13" i="7" s="1"/>
  <c r="K59" i="3"/>
  <c r="K13" i="7" s="1"/>
  <c r="G59" i="3"/>
  <c r="E59" i="3"/>
  <c r="I57" i="3"/>
  <c r="AA62" i="3" s="1"/>
  <c r="H55" i="3"/>
  <c r="G55" i="3"/>
  <c r="G35" i="4" s="1"/>
  <c r="E55" i="3"/>
  <c r="E35" i="4" s="1"/>
  <c r="G53" i="3"/>
  <c r="G52" i="3"/>
  <c r="I49" i="3"/>
  <c r="H49" i="3"/>
  <c r="G49" i="3"/>
  <c r="E49" i="3"/>
  <c r="I48" i="3"/>
  <c r="H48" i="3"/>
  <c r="G48" i="3"/>
  <c r="E48" i="3"/>
  <c r="I47" i="3"/>
  <c r="G47" i="3"/>
  <c r="W36" i="3"/>
  <c r="U36" i="3"/>
  <c r="T36" i="3"/>
  <c r="R36" i="3"/>
  <c r="P36" i="3"/>
  <c r="N36" i="3"/>
  <c r="K36" i="3"/>
  <c r="G36" i="3"/>
  <c r="E36" i="3"/>
  <c r="E20" i="5" s="1"/>
  <c r="V35" i="3"/>
  <c r="V22" i="6" s="1"/>
  <c r="U35" i="3"/>
  <c r="R35" i="3"/>
  <c r="R19" i="5" s="1"/>
  <c r="Q35" i="3"/>
  <c r="G35" i="3"/>
  <c r="E35" i="3"/>
  <c r="E19" i="5" s="1"/>
  <c r="X34" i="3"/>
  <c r="X21" i="6" s="1"/>
  <c r="W34" i="3"/>
  <c r="U34" i="3"/>
  <c r="T34" i="3"/>
  <c r="S34" i="3"/>
  <c r="R34" i="3"/>
  <c r="N34" i="3"/>
  <c r="K34" i="3"/>
  <c r="G34" i="3"/>
  <c r="E34" i="3"/>
  <c r="E18" i="5" s="1"/>
  <c r="Y32" i="3"/>
  <c r="W32" i="3"/>
  <c r="W35" i="3" s="1"/>
  <c r="V32" i="3"/>
  <c r="U32" i="3"/>
  <c r="T32" i="3"/>
  <c r="T35" i="3" s="1"/>
  <c r="T22" i="6" s="1"/>
  <c r="S32" i="3"/>
  <c r="R32" i="3"/>
  <c r="Q32" i="3"/>
  <c r="P32" i="3"/>
  <c r="P34" i="3" s="1"/>
  <c r="O32" i="3"/>
  <c r="O35" i="3" s="1"/>
  <c r="N32" i="3"/>
  <c r="N35" i="3" s="1"/>
  <c r="M32" i="3"/>
  <c r="M34" i="3" s="1"/>
  <c r="L32" i="3"/>
  <c r="K32" i="3"/>
  <c r="K35" i="3" s="1"/>
  <c r="Y28" i="3"/>
  <c r="Y106" i="3" s="1"/>
  <c r="Y107" i="3" s="1"/>
  <c r="X28" i="3"/>
  <c r="X32" i="3" s="1"/>
  <c r="X35" i="3" s="1"/>
  <c r="G22" i="3"/>
  <c r="G16" i="4" s="1"/>
  <c r="G21" i="3"/>
  <c r="G15" i="4" s="1"/>
  <c r="G20" i="3"/>
  <c r="G14" i="4" s="1"/>
  <c r="K18" i="3"/>
  <c r="K4" i="6" s="1"/>
  <c r="K17" i="3"/>
  <c r="I7" i="3"/>
  <c r="C4" i="1"/>
  <c r="O22" i="6" l="1"/>
  <c r="O19" i="5"/>
  <c r="AA9" i="9"/>
  <c r="AA9" i="8"/>
  <c r="L4" i="6"/>
  <c r="L3" i="6"/>
  <c r="Y35" i="3"/>
  <c r="Y34" i="3"/>
  <c r="N23" i="6"/>
  <c r="N20" i="5"/>
  <c r="S8" i="9"/>
  <c r="S8" i="8"/>
  <c r="R10" i="9"/>
  <c r="R10" i="8"/>
  <c r="AI10" i="9"/>
  <c r="AI10" i="8"/>
  <c r="AB8" i="9"/>
  <c r="AB8" i="8"/>
  <c r="S10" i="9"/>
  <c r="S10" i="8"/>
  <c r="P9" i="9"/>
  <c r="P9" i="8"/>
  <c r="L81" i="3"/>
  <c r="Y10" i="8"/>
  <c r="Y10" i="9"/>
  <c r="Z9" i="9"/>
  <c r="Z9" i="8"/>
  <c r="K94" i="3"/>
  <c r="X18" i="5"/>
  <c r="R22" i="6"/>
  <c r="L9" i="9"/>
  <c r="L9" i="8"/>
  <c r="L10" i="9"/>
  <c r="L10" i="8"/>
  <c r="AA8" i="9"/>
  <c r="AA8" i="8"/>
  <c r="N9" i="9"/>
  <c r="N9" i="8"/>
  <c r="O9" i="8"/>
  <c r="O9" i="9"/>
  <c r="U23" i="6"/>
  <c r="U20" i="5"/>
  <c r="AC8" i="8"/>
  <c r="AC8" i="9"/>
  <c r="S21" i="6"/>
  <c r="S18" i="5"/>
  <c r="K23" i="6"/>
  <c r="K20" i="5"/>
  <c r="Q8" i="9"/>
  <c r="Q8" i="8"/>
  <c r="M18" i="5"/>
  <c r="M21" i="6"/>
  <c r="W22" i="6"/>
  <c r="W19" i="5"/>
  <c r="T21" i="6"/>
  <c r="T18" i="5"/>
  <c r="P35" i="3"/>
  <c r="M36" i="3"/>
  <c r="L59" i="3"/>
  <c r="L13" i="7" s="1"/>
  <c r="AI59" i="3"/>
  <c r="AI13" i="7" s="1"/>
  <c r="AD60" i="3"/>
  <c r="R61" i="3"/>
  <c r="AF10" i="9"/>
  <c r="AF10" i="8"/>
  <c r="P20" i="5"/>
  <c r="P23" i="6"/>
  <c r="V8" i="9"/>
  <c r="V8" i="8"/>
  <c r="P21" i="6"/>
  <c r="P18" i="5"/>
  <c r="X22" i="6"/>
  <c r="X19" i="5"/>
  <c r="Q34" i="3"/>
  <c r="Q36" i="3"/>
  <c r="K4" i="5"/>
  <c r="K101" i="3"/>
  <c r="N22" i="6"/>
  <c r="N19" i="5"/>
  <c r="U18" i="5"/>
  <c r="U21" i="6"/>
  <c r="Q19" i="5"/>
  <c r="Q22" i="6"/>
  <c r="AE10" i="8"/>
  <c r="AE10" i="9"/>
  <c r="AB9" i="9"/>
  <c r="AB9" i="8"/>
  <c r="U22" i="6"/>
  <c r="U19" i="5"/>
  <c r="AH10" i="8"/>
  <c r="AH10" i="9"/>
  <c r="S36" i="3"/>
  <c r="S35" i="3"/>
  <c r="K18" i="5"/>
  <c r="K21" i="6"/>
  <c r="W23" i="6"/>
  <c r="W20" i="5"/>
  <c r="AG62" i="3"/>
  <c r="W62" i="3"/>
  <c r="M62" i="3"/>
  <c r="AD61" i="3"/>
  <c r="T61" i="3"/>
  <c r="AA60" i="3"/>
  <c r="Q60" i="3"/>
  <c r="AH59" i="3"/>
  <c r="AH13" i="7" s="1"/>
  <c r="X59" i="3"/>
  <c r="X13" i="7" s="1"/>
  <c r="N59" i="3"/>
  <c r="N13" i="7" s="1"/>
  <c r="AC62" i="3"/>
  <c r="S62" i="3"/>
  <c r="Z61" i="3"/>
  <c r="P61" i="3"/>
  <c r="AG60" i="3"/>
  <c r="W60" i="3"/>
  <c r="M60" i="3"/>
  <c r="AD59" i="3"/>
  <c r="AD13" i="7" s="1"/>
  <c r="T59" i="3"/>
  <c r="T13" i="7" s="1"/>
  <c r="AI62" i="3"/>
  <c r="V62" i="3"/>
  <c r="Y61" i="3"/>
  <c r="M61" i="3"/>
  <c r="AC60" i="3"/>
  <c r="P60" i="3"/>
  <c r="AE59" i="3"/>
  <c r="AE13" i="7" s="1"/>
  <c r="R59" i="3"/>
  <c r="R13" i="7" s="1"/>
  <c r="R36" i="10" s="1"/>
  <c r="AH62" i="3"/>
  <c r="U62" i="3"/>
  <c r="X61" i="3"/>
  <c r="L61" i="3"/>
  <c r="AB60" i="3"/>
  <c r="O60" i="3"/>
  <c r="AC59" i="3"/>
  <c r="AC13" i="7" s="1"/>
  <c r="Q59" i="3"/>
  <c r="Q13" i="7" s="1"/>
  <c r="AF62" i="3"/>
  <c r="T62" i="3"/>
  <c r="AI61" i="3"/>
  <c r="W61" i="3"/>
  <c r="K61" i="3"/>
  <c r="Z60" i="3"/>
  <c r="N60" i="3"/>
  <c r="AB59" i="3"/>
  <c r="AB13" i="7" s="1"/>
  <c r="P59" i="3"/>
  <c r="P13" i="7" s="1"/>
  <c r="AD62" i="3"/>
  <c r="Q62" i="3"/>
  <c r="AG61" i="3"/>
  <c r="U61" i="3"/>
  <c r="X60" i="3"/>
  <c r="K60" i="3"/>
  <c r="Z59" i="3"/>
  <c r="Z13" i="7" s="1"/>
  <c r="M59" i="3"/>
  <c r="M13" i="7" s="1"/>
  <c r="Y59" i="3"/>
  <c r="Y13" i="7" s="1"/>
  <c r="T60" i="3"/>
  <c r="AE61" i="3"/>
  <c r="R62" i="3"/>
  <c r="K11" i="10"/>
  <c r="L11" i="10" s="1"/>
  <c r="M11" i="10" s="1"/>
  <c r="N11" i="10" s="1"/>
  <c r="O11" i="10" s="1"/>
  <c r="P11" i="10" s="1"/>
  <c r="Q11" i="10" s="1"/>
  <c r="R11" i="10" s="1"/>
  <c r="S11" i="10" s="1"/>
  <c r="T11" i="10" s="1"/>
  <c r="U11" i="10" s="1"/>
  <c r="V11" i="10" s="1"/>
  <c r="W11" i="10" s="1"/>
  <c r="X11" i="10" s="1"/>
  <c r="Y11" i="10" s="1"/>
  <c r="Z11" i="10" s="1"/>
  <c r="AA11" i="10" s="1"/>
  <c r="AB11" i="10" s="1"/>
  <c r="AC11" i="10" s="1"/>
  <c r="AD11" i="10" s="1"/>
  <c r="AE11" i="10" s="1"/>
  <c r="AF11" i="10" s="1"/>
  <c r="AG11" i="10" s="1"/>
  <c r="AH11" i="10" s="1"/>
  <c r="AI11" i="10" s="1"/>
  <c r="L17" i="3"/>
  <c r="L18" i="3"/>
  <c r="T23" i="6"/>
  <c r="T20" i="5"/>
  <c r="K8" i="5"/>
  <c r="K8" i="6"/>
  <c r="L82" i="3"/>
  <c r="K9" i="9"/>
  <c r="K9" i="8"/>
  <c r="O34" i="3"/>
  <c r="O36" i="3"/>
  <c r="W18" i="5"/>
  <c r="W21" i="6"/>
  <c r="AE9" i="9"/>
  <c r="AE9" i="8"/>
  <c r="N21" i="6"/>
  <c r="N18" i="5"/>
  <c r="X36" i="3"/>
  <c r="AA59" i="3"/>
  <c r="AA13" i="7" s="1"/>
  <c r="AA36" i="10" s="1"/>
  <c r="U60" i="3"/>
  <c r="N61" i="3"/>
  <c r="AF61" i="3"/>
  <c r="X62" i="3"/>
  <c r="K19" i="5"/>
  <c r="K22" i="6"/>
  <c r="M35" i="3"/>
  <c r="Y36" i="3"/>
  <c r="AF59" i="3"/>
  <c r="AF13" i="7" s="1"/>
  <c r="V60" i="3"/>
  <c r="O61" i="3"/>
  <c r="AH61" i="3"/>
  <c r="Y62" i="3"/>
  <c r="Z28" i="3"/>
  <c r="K3" i="5"/>
  <c r="K3" i="6"/>
  <c r="L36" i="3"/>
  <c r="L34" i="3"/>
  <c r="V36" i="3"/>
  <c r="V34" i="3"/>
  <c r="R21" i="6"/>
  <c r="R18" i="5"/>
  <c r="L35" i="3"/>
  <c r="V96" i="3" s="1"/>
  <c r="V12" i="6" s="1"/>
  <c r="K24" i="6"/>
  <c r="K21" i="5" s="1"/>
  <c r="I10" i="10"/>
  <c r="I49" i="10"/>
  <c r="I50" i="10" s="1"/>
  <c r="O23" i="8"/>
  <c r="P4" i="8"/>
  <c r="N24" i="8"/>
  <c r="N33" i="11" s="1"/>
  <c r="L24" i="8"/>
  <c r="L33" i="11" s="1"/>
  <c r="I21" i="8"/>
  <c r="I31" i="8" s="1"/>
  <c r="I38" i="11" s="1"/>
  <c r="O24" i="8"/>
  <c r="O33" i="11" s="1"/>
  <c r="M24" i="8"/>
  <c r="M33" i="11" s="1"/>
  <c r="N23" i="8"/>
  <c r="L22" i="7"/>
  <c r="K23" i="7"/>
  <c r="L23" i="8"/>
  <c r="M23" i="8"/>
  <c r="N4" i="9"/>
  <c r="K24" i="9"/>
  <c r="K33" i="12" s="1"/>
  <c r="I21" i="9"/>
  <c r="I31" i="9" s="1"/>
  <c r="I38" i="12" s="1"/>
  <c r="M24" i="9"/>
  <c r="M33" i="12" s="1"/>
  <c r="N24" i="9"/>
  <c r="N33" i="12" s="1"/>
  <c r="V23" i="6" l="1"/>
  <c r="V20" i="5"/>
  <c r="V10" i="8"/>
  <c r="V10" i="9"/>
  <c r="N25" i="10"/>
  <c r="N8" i="9"/>
  <c r="N8" i="8"/>
  <c r="M36" i="10"/>
  <c r="N10" i="9"/>
  <c r="N10" i="8"/>
  <c r="AB10" i="9"/>
  <c r="AB10" i="8"/>
  <c r="Y25" i="10"/>
  <c r="Y8" i="9"/>
  <c r="Y8" i="8"/>
  <c r="S26" i="10"/>
  <c r="S9" i="9"/>
  <c r="S9" i="8"/>
  <c r="W9" i="9"/>
  <c r="W26" i="10"/>
  <c r="W9" i="8"/>
  <c r="T96" i="3"/>
  <c r="T12" i="6" s="1"/>
  <c r="W96" i="3"/>
  <c r="W12" i="6" s="1"/>
  <c r="L36" i="10"/>
  <c r="N26" i="10"/>
  <c r="Q4" i="8"/>
  <c r="P23" i="8"/>
  <c r="L21" i="6"/>
  <c r="L18" i="5"/>
  <c r="AF36" i="10"/>
  <c r="U10" i="9"/>
  <c r="U10" i="8"/>
  <c r="Z36" i="10"/>
  <c r="Z10" i="9"/>
  <c r="Z10" i="8"/>
  <c r="L25" i="10"/>
  <c r="L8" i="9"/>
  <c r="L8" i="8"/>
  <c r="V9" i="8"/>
  <c r="V26" i="10"/>
  <c r="V9" i="9"/>
  <c r="AC26" i="10"/>
  <c r="AC9" i="9"/>
  <c r="AC9" i="8"/>
  <c r="AG26" i="10"/>
  <c r="AG9" i="9"/>
  <c r="AG9" i="8"/>
  <c r="S36" i="10"/>
  <c r="M23" i="6"/>
  <c r="M20" i="5"/>
  <c r="Q25" i="10"/>
  <c r="AC25" i="10"/>
  <c r="AC27" i="10" s="1"/>
  <c r="AC15" i="10" s="1"/>
  <c r="M3" i="6"/>
  <c r="M4" i="6"/>
  <c r="Y23" i="6"/>
  <c r="Y20" i="5"/>
  <c r="O20" i="5"/>
  <c r="O23" i="6"/>
  <c r="K10" i="9"/>
  <c r="K10" i="8"/>
  <c r="K8" i="8"/>
  <c r="K25" i="10"/>
  <c r="K8" i="9"/>
  <c r="X25" i="10"/>
  <c r="X8" i="8"/>
  <c r="X8" i="9"/>
  <c r="AI9" i="9"/>
  <c r="AI9" i="8"/>
  <c r="AI26" i="10"/>
  <c r="N36" i="10"/>
  <c r="P22" i="6"/>
  <c r="P19" i="5"/>
  <c r="O96" i="3"/>
  <c r="O12" i="6" s="1"/>
  <c r="K10" i="6"/>
  <c r="K10" i="5"/>
  <c r="K93" i="3"/>
  <c r="P26" i="10"/>
  <c r="L23" i="6"/>
  <c r="L20" i="5"/>
  <c r="M22" i="6"/>
  <c r="L96" i="3"/>
  <c r="L12" i="6" s="1"/>
  <c r="M19" i="5"/>
  <c r="X23" i="6"/>
  <c r="X20" i="5"/>
  <c r="O21" i="6"/>
  <c r="O18" i="5"/>
  <c r="M17" i="3"/>
  <c r="M18" i="3"/>
  <c r="X10" i="9"/>
  <c r="X10" i="8"/>
  <c r="W25" i="10"/>
  <c r="W27" i="10" s="1"/>
  <c r="W15" i="10" s="1"/>
  <c r="W8" i="8"/>
  <c r="W8" i="9"/>
  <c r="U26" i="10"/>
  <c r="U9" i="9"/>
  <c r="U9" i="8"/>
  <c r="T36" i="10"/>
  <c r="X36" i="10"/>
  <c r="M96" i="3"/>
  <c r="M12" i="6" s="1"/>
  <c r="AA25" i="10"/>
  <c r="AA27" i="10" s="1"/>
  <c r="AA15" i="10" s="1"/>
  <c r="U8" i="8"/>
  <c r="U25" i="10"/>
  <c r="U27" i="10" s="1"/>
  <c r="U15" i="10" s="1"/>
  <c r="U8" i="9"/>
  <c r="AI25" i="10"/>
  <c r="AI27" i="10" s="1"/>
  <c r="AI15" i="10" s="1"/>
  <c r="AI8" i="8"/>
  <c r="AI8" i="9"/>
  <c r="AH26" i="10"/>
  <c r="AH9" i="9"/>
  <c r="AH9" i="8"/>
  <c r="AD36" i="10"/>
  <c r="AH36" i="10"/>
  <c r="AG36" i="10"/>
  <c r="Z26" i="10"/>
  <c r="S25" i="10"/>
  <c r="S27" i="10" s="1"/>
  <c r="S15" i="10" s="1"/>
  <c r="M10" i="9"/>
  <c r="M10" i="8"/>
  <c r="Q10" i="9"/>
  <c r="Q10" i="8"/>
  <c r="K22" i="5"/>
  <c r="AB26" i="10"/>
  <c r="W36" i="10"/>
  <c r="AA26" i="10"/>
  <c r="T26" i="10"/>
  <c r="T9" i="8"/>
  <c r="T9" i="9"/>
  <c r="L22" i="6"/>
  <c r="L19" i="5"/>
  <c r="S96" i="3"/>
  <c r="S12" i="6" s="1"/>
  <c r="K96" i="3"/>
  <c r="K12" i="6" s="1"/>
  <c r="U96" i="3"/>
  <c r="U12" i="6" s="1"/>
  <c r="AE36" i="10"/>
  <c r="W10" i="9"/>
  <c r="W10" i="8"/>
  <c r="AA10" i="8"/>
  <c r="AA10" i="9"/>
  <c r="S19" i="5"/>
  <c r="S22" i="6"/>
  <c r="R96" i="3"/>
  <c r="R12" i="6" s="1"/>
  <c r="O26" i="10"/>
  <c r="U36" i="10"/>
  <c r="AA28" i="3"/>
  <c r="Z106" i="3"/>
  <c r="Z107" i="3" s="1"/>
  <c r="Z32" i="3"/>
  <c r="AG25" i="10"/>
  <c r="AG27" i="10" s="1"/>
  <c r="AG15" i="10" s="1"/>
  <c r="AG8" i="8"/>
  <c r="AG8" i="9"/>
  <c r="K26" i="10"/>
  <c r="R26" i="10"/>
  <c r="R9" i="9"/>
  <c r="R9" i="8"/>
  <c r="Q26" i="10"/>
  <c r="Q9" i="8"/>
  <c r="Q9" i="9"/>
  <c r="AF26" i="10"/>
  <c r="AF9" i="9"/>
  <c r="AF9" i="8"/>
  <c r="L101" i="3"/>
  <c r="L100" i="3"/>
  <c r="N23" i="9"/>
  <c r="O4" i="9"/>
  <c r="Y9" i="8"/>
  <c r="Y9" i="9"/>
  <c r="Y26" i="10"/>
  <c r="O36" i="10"/>
  <c r="AE8" i="8"/>
  <c r="AE25" i="10"/>
  <c r="AE27" i="10" s="1"/>
  <c r="AE15" i="10" s="1"/>
  <c r="AE8" i="9"/>
  <c r="AD26" i="10"/>
  <c r="AD9" i="9"/>
  <c r="AD9" i="8"/>
  <c r="Q36" i="10"/>
  <c r="P10" i="9"/>
  <c r="P10" i="8"/>
  <c r="AG10" i="9"/>
  <c r="AG10" i="8"/>
  <c r="T25" i="10"/>
  <c r="T27" i="10" s="1"/>
  <c r="T15" i="10" s="1"/>
  <c r="T8" i="9"/>
  <c r="T8" i="8"/>
  <c r="S20" i="5"/>
  <c r="S23" i="6"/>
  <c r="L4" i="5"/>
  <c r="L3" i="5"/>
  <c r="Q96" i="3"/>
  <c r="Q12" i="6" s="1"/>
  <c r="R8" i="9"/>
  <c r="R8" i="8"/>
  <c r="R25" i="10"/>
  <c r="R27" i="10" s="1"/>
  <c r="R15" i="10" s="1"/>
  <c r="V36" i="10"/>
  <c r="N96" i="3"/>
  <c r="N12" i="6" s="1"/>
  <c r="AH25" i="10"/>
  <c r="AH27" i="10" s="1"/>
  <c r="AH15" i="10" s="1"/>
  <c r="AH8" i="9"/>
  <c r="AH8" i="8"/>
  <c r="AE26" i="10"/>
  <c r="AC36" i="10"/>
  <c r="AC10" i="9"/>
  <c r="AC10" i="8"/>
  <c r="P25" i="10"/>
  <c r="P27" i="10" s="1"/>
  <c r="P15" i="10" s="1"/>
  <c r="P8" i="9"/>
  <c r="P8" i="8"/>
  <c r="AD8" i="9"/>
  <c r="AD25" i="10"/>
  <c r="AD27" i="10" s="1"/>
  <c r="AD15" i="10" s="1"/>
  <c r="AD8" i="8"/>
  <c r="K36" i="10"/>
  <c r="AB25" i="10"/>
  <c r="AB27" i="10" s="1"/>
  <c r="AB15" i="10" s="1"/>
  <c r="Y21" i="6"/>
  <c r="Y18" i="5"/>
  <c r="L23" i="7"/>
  <c r="M22" i="7"/>
  <c r="P24" i="8"/>
  <c r="P33" i="11" s="1"/>
  <c r="X9" i="9"/>
  <c r="X26" i="10"/>
  <c r="X9" i="8"/>
  <c r="L94" i="3"/>
  <c r="L92" i="3"/>
  <c r="L91" i="3"/>
  <c r="M82" i="3"/>
  <c r="M81" i="3"/>
  <c r="T10" i="9"/>
  <c r="T10" i="8"/>
  <c r="P36" i="10"/>
  <c r="Q20" i="5"/>
  <c r="Q23" i="6"/>
  <c r="AD10" i="9"/>
  <c r="AD10" i="8"/>
  <c r="V21" i="6"/>
  <c r="V18" i="5"/>
  <c r="O25" i="10"/>
  <c r="O27" i="10" s="1"/>
  <c r="O15" i="10" s="1"/>
  <c r="O8" i="9"/>
  <c r="O8" i="8"/>
  <c r="AF8" i="9"/>
  <c r="AF25" i="10"/>
  <c r="AF27" i="10" s="1"/>
  <c r="AF15" i="10" s="1"/>
  <c r="AF8" i="8"/>
  <c r="Y36" i="10"/>
  <c r="AB36" i="10"/>
  <c r="O10" i="9"/>
  <c r="O10" i="8"/>
  <c r="M25" i="10"/>
  <c r="M27" i="10" s="1"/>
  <c r="M15" i="10" s="1"/>
  <c r="M8" i="8"/>
  <c r="M8" i="9"/>
  <c r="Z25" i="10"/>
  <c r="Z8" i="9"/>
  <c r="Z8" i="8"/>
  <c r="M9" i="9"/>
  <c r="M26" i="10"/>
  <c r="M9" i="8"/>
  <c r="P96" i="3"/>
  <c r="P12" i="6" s="1"/>
  <c r="Q21" i="6"/>
  <c r="Q18" i="5"/>
  <c r="V25" i="10"/>
  <c r="V27" i="10" s="1"/>
  <c r="V15" i="10" s="1"/>
  <c r="AI36" i="10"/>
  <c r="L26" i="10"/>
  <c r="Y22" i="6"/>
  <c r="Y19" i="5"/>
  <c r="X96" i="3"/>
  <c r="X12" i="6" s="1"/>
  <c r="O23" i="9" l="1"/>
  <c r="O24" i="9"/>
  <c r="O33" i="12" s="1"/>
  <c r="P4" i="9"/>
  <c r="AB28" i="3"/>
  <c r="AA106" i="3"/>
  <c r="AA107" i="3" s="1"/>
  <c r="AA32" i="3"/>
  <c r="L27" i="10"/>
  <c r="L15" i="10" s="1"/>
  <c r="N18" i="3"/>
  <c r="N17" i="3"/>
  <c r="X27" i="10"/>
  <c r="X15" i="10" s="1"/>
  <c r="N3" i="6"/>
  <c r="N4" i="6"/>
  <c r="L8" i="5"/>
  <c r="L93" i="3"/>
  <c r="L8" i="6"/>
  <c r="Q23" i="8"/>
  <c r="R4" i="8"/>
  <c r="Q24" i="8"/>
  <c r="Q33" i="11" s="1"/>
  <c r="M92" i="3"/>
  <c r="M91" i="3"/>
  <c r="N82" i="3"/>
  <c r="M94" i="3"/>
  <c r="N81" i="3"/>
  <c r="M100" i="3"/>
  <c r="M101" i="3"/>
  <c r="K27" i="10"/>
  <c r="K15" i="10" s="1"/>
  <c r="L10" i="6"/>
  <c r="L10" i="5"/>
  <c r="Z27" i="10"/>
  <c r="Z15" i="10" s="1"/>
  <c r="Q27" i="10"/>
  <c r="Q15" i="10" s="1"/>
  <c r="N27" i="10"/>
  <c r="N15" i="10" s="1"/>
  <c r="K9" i="6"/>
  <c r="K9" i="5"/>
  <c r="Y27" i="10"/>
  <c r="Y15" i="10" s="1"/>
  <c r="N22" i="7"/>
  <c r="M23" i="7"/>
  <c r="M4" i="5"/>
  <c r="M3" i="5"/>
  <c r="Z34" i="3"/>
  <c r="Z36" i="3"/>
  <c r="Z35" i="3"/>
  <c r="M10" i="6" l="1"/>
  <c r="M10" i="5"/>
  <c r="Z20" i="5"/>
  <c r="Z23" i="6"/>
  <c r="N91" i="3"/>
  <c r="N92" i="3"/>
  <c r="O81" i="3"/>
  <c r="O82" i="3"/>
  <c r="N94" i="3"/>
  <c r="Z22" i="6"/>
  <c r="Z19" i="5"/>
  <c r="Y96" i="3"/>
  <c r="Y12" i="6" s="1"/>
  <c r="Z21" i="6"/>
  <c r="Z18" i="5"/>
  <c r="L9" i="5"/>
  <c r="L9" i="6"/>
  <c r="N3" i="5"/>
  <c r="N4" i="5"/>
  <c r="N100" i="3"/>
  <c r="N101" i="3"/>
  <c r="AA34" i="3"/>
  <c r="AA35" i="3"/>
  <c r="AA36" i="3"/>
  <c r="AB32" i="3"/>
  <c r="AB106" i="3"/>
  <c r="AB107" i="3" s="1"/>
  <c r="AC28" i="3"/>
  <c r="S4" i="8"/>
  <c r="R23" i="8"/>
  <c r="R24" i="8"/>
  <c r="R33" i="11" s="1"/>
  <c r="N23" i="7"/>
  <c r="O22" i="7"/>
  <c r="P23" i="9"/>
  <c r="Q4" i="9"/>
  <c r="P24" i="9"/>
  <c r="P33" i="12" s="1"/>
  <c r="M8" i="6"/>
  <c r="M8" i="5"/>
  <c r="M93" i="3"/>
  <c r="O18" i="3"/>
  <c r="O17" i="3"/>
  <c r="O3" i="6"/>
  <c r="O4" i="6"/>
  <c r="AA21" i="6" l="1"/>
  <c r="AA18" i="5"/>
  <c r="P18" i="3"/>
  <c r="P17" i="3"/>
  <c r="AA20" i="5"/>
  <c r="AA23" i="6"/>
  <c r="N8" i="6"/>
  <c r="N8" i="5"/>
  <c r="N93" i="3"/>
  <c r="O23" i="7"/>
  <c r="P22" i="7"/>
  <c r="O101" i="3"/>
  <c r="O100" i="3"/>
  <c r="S23" i="8"/>
  <c r="T4" i="8"/>
  <c r="S24" i="8"/>
  <c r="S33" i="11" s="1"/>
  <c r="AA19" i="5"/>
  <c r="Z96" i="3"/>
  <c r="Z12" i="6" s="1"/>
  <c r="AA22" i="6"/>
  <c r="M9" i="5"/>
  <c r="M9" i="6"/>
  <c r="AC106" i="3"/>
  <c r="AC107" i="3" s="1"/>
  <c r="AD28" i="3"/>
  <c r="AC32" i="3"/>
  <c r="N10" i="6"/>
  <c r="N10" i="5"/>
  <c r="P4" i="6"/>
  <c r="P3" i="6"/>
  <c r="R4" i="9"/>
  <c r="Q23" i="9"/>
  <c r="Q24" i="9"/>
  <c r="Q33" i="12" s="1"/>
  <c r="AB36" i="3"/>
  <c r="AB34" i="3"/>
  <c r="AB35" i="3"/>
  <c r="O4" i="5"/>
  <c r="O3" i="5"/>
  <c r="O91" i="3"/>
  <c r="P82" i="3"/>
  <c r="O94" i="3"/>
  <c r="P81" i="3"/>
  <c r="O92" i="3"/>
  <c r="P101" i="3" l="1"/>
  <c r="P100" i="3"/>
  <c r="AC34" i="3"/>
  <c r="AC36" i="3"/>
  <c r="AC35" i="3"/>
  <c r="AB21" i="6"/>
  <c r="AB18" i="5"/>
  <c r="P23" i="7"/>
  <c r="Q22" i="7"/>
  <c r="P3" i="5"/>
  <c r="P4" i="5"/>
  <c r="N9" i="5"/>
  <c r="N9" i="6"/>
  <c r="Q17" i="3"/>
  <c r="Q18" i="3"/>
  <c r="U4" i="8"/>
  <c r="T23" i="8"/>
  <c r="T24" i="8"/>
  <c r="T33" i="11" s="1"/>
  <c r="AB19" i="5"/>
  <c r="AB22" i="6"/>
  <c r="AA96" i="3"/>
  <c r="AA12" i="6" s="1"/>
  <c r="O8" i="5"/>
  <c r="O8" i="6"/>
  <c r="O93" i="3"/>
  <c r="AD106" i="3"/>
  <c r="AD107" i="3" s="1"/>
  <c r="AD32" i="3"/>
  <c r="AE28" i="3"/>
  <c r="AB23" i="6"/>
  <c r="AB20" i="5"/>
  <c r="O10" i="6"/>
  <c r="O10" i="5"/>
  <c r="P94" i="3"/>
  <c r="P92" i="3"/>
  <c r="P91" i="3"/>
  <c r="Q82" i="3"/>
  <c r="Q81" i="3"/>
  <c r="R24" i="9"/>
  <c r="R33" i="12" s="1"/>
  <c r="R23" i="9"/>
  <c r="S4" i="9"/>
  <c r="Q4" i="6"/>
  <c r="Q3" i="6"/>
  <c r="AE106" i="3" l="1"/>
  <c r="AE107" i="3" s="1"/>
  <c r="AE32" i="3"/>
  <c r="AF28" i="3"/>
  <c r="AD35" i="3"/>
  <c r="AD34" i="3"/>
  <c r="AD36" i="3"/>
  <c r="R4" i="6"/>
  <c r="R3" i="6"/>
  <c r="T4" i="9"/>
  <c r="S23" i="9"/>
  <c r="S24" i="9"/>
  <c r="S33" i="12" s="1"/>
  <c r="O9" i="5"/>
  <c r="O9" i="6"/>
  <c r="V4" i="8"/>
  <c r="U23" i="8"/>
  <c r="U24" i="8"/>
  <c r="U33" i="11" s="1"/>
  <c r="Q4" i="5"/>
  <c r="Q3" i="5"/>
  <c r="R22" i="7"/>
  <c r="Q23" i="7"/>
  <c r="AC19" i="5"/>
  <c r="AC22" i="6"/>
  <c r="AB96" i="3"/>
  <c r="AB12" i="6" s="1"/>
  <c r="P93" i="3"/>
  <c r="P8" i="5"/>
  <c r="P8" i="6"/>
  <c r="AC20" i="5"/>
  <c r="AC23" i="6"/>
  <c r="AC18" i="5"/>
  <c r="AC21" i="6"/>
  <c r="R82" i="3"/>
  <c r="R81" i="3"/>
  <c r="Q94" i="3"/>
  <c r="Q91" i="3"/>
  <c r="Q92" i="3"/>
  <c r="R18" i="3"/>
  <c r="R17" i="3"/>
  <c r="P10" i="5"/>
  <c r="P10" i="6"/>
  <c r="Q101" i="3"/>
  <c r="Q100" i="3"/>
  <c r="R4" i="5" l="1"/>
  <c r="R3" i="5"/>
  <c r="U4" i="9"/>
  <c r="T24" i="9"/>
  <c r="T33" i="12" s="1"/>
  <c r="T23" i="9"/>
  <c r="P9" i="6"/>
  <c r="P9" i="5"/>
  <c r="S4" i="6"/>
  <c r="S3" i="6"/>
  <c r="AD23" i="6"/>
  <c r="AD20" i="5"/>
  <c r="Q8" i="6"/>
  <c r="Q8" i="5"/>
  <c r="Q93" i="3"/>
  <c r="AD18" i="5"/>
  <c r="AD21" i="6"/>
  <c r="S18" i="3"/>
  <c r="S17" i="3"/>
  <c r="AD19" i="5"/>
  <c r="AC96" i="3"/>
  <c r="AC12" i="6" s="1"/>
  <c r="AD22" i="6"/>
  <c r="V23" i="8"/>
  <c r="W4" i="8"/>
  <c r="V24" i="8"/>
  <c r="V33" i="11" s="1"/>
  <c r="R100" i="3"/>
  <c r="R101" i="3"/>
  <c r="AF32" i="3"/>
  <c r="AF106" i="3"/>
  <c r="AF107" i="3" s="1"/>
  <c r="AG28" i="3"/>
  <c r="Q10" i="5"/>
  <c r="Q10" i="6"/>
  <c r="S22" i="7"/>
  <c r="R23" i="7"/>
  <c r="S82" i="3"/>
  <c r="R94" i="3"/>
  <c r="S81" i="3"/>
  <c r="R92" i="3"/>
  <c r="R91" i="3"/>
  <c r="AE36" i="3"/>
  <c r="AE34" i="3"/>
  <c r="AE35" i="3"/>
  <c r="S23" i="7" l="1"/>
  <c r="T22" i="7"/>
  <c r="AE19" i="5"/>
  <c r="AE22" i="6"/>
  <c r="AD96" i="3"/>
  <c r="AD12" i="6" s="1"/>
  <c r="S101" i="3"/>
  <c r="S100" i="3"/>
  <c r="R10" i="6"/>
  <c r="R10" i="5"/>
  <c r="T18" i="3"/>
  <c r="T17" i="3"/>
  <c r="S94" i="3"/>
  <c r="T81" i="3"/>
  <c r="T82" i="3"/>
  <c r="S92" i="3"/>
  <c r="S91" i="3"/>
  <c r="Q9" i="6"/>
  <c r="Q9" i="5"/>
  <c r="U23" i="9"/>
  <c r="V4" i="9"/>
  <c r="U24" i="9"/>
  <c r="U33" i="12" s="1"/>
  <c r="AE18" i="5"/>
  <c r="AE21" i="6"/>
  <c r="AE20" i="5"/>
  <c r="AE23" i="6"/>
  <c r="AH28" i="3"/>
  <c r="AG106" i="3"/>
  <c r="AG107" i="3" s="1"/>
  <c r="AG32" i="3"/>
  <c r="R8" i="6"/>
  <c r="R93" i="3"/>
  <c r="R8" i="5"/>
  <c r="AF36" i="3"/>
  <c r="AF34" i="3"/>
  <c r="AF35" i="3"/>
  <c r="T4" i="6"/>
  <c r="T3" i="6"/>
  <c r="W23" i="8"/>
  <c r="X4" i="8"/>
  <c r="W24" i="8"/>
  <c r="W33" i="11" s="1"/>
  <c r="S3" i="5"/>
  <c r="S4" i="5"/>
  <c r="T101" i="3" l="1"/>
  <c r="T100" i="3"/>
  <c r="U4" i="6"/>
  <c r="U3" i="6"/>
  <c r="AF22" i="6"/>
  <c r="AF19" i="5"/>
  <c r="AE96" i="3"/>
  <c r="AE12" i="6" s="1"/>
  <c r="AH32" i="3"/>
  <c r="AH106" i="3"/>
  <c r="AH107" i="3" s="1"/>
  <c r="AI28" i="3"/>
  <c r="S8" i="6"/>
  <c r="S8" i="5"/>
  <c r="S93" i="3"/>
  <c r="AF21" i="6"/>
  <c r="AF18" i="5"/>
  <c r="AF23" i="6"/>
  <c r="AF20" i="5"/>
  <c r="AG34" i="3"/>
  <c r="AG36" i="3"/>
  <c r="AG35" i="3"/>
  <c r="T4" i="5"/>
  <c r="T3" i="5"/>
  <c r="T94" i="3"/>
  <c r="U81" i="3"/>
  <c r="T92" i="3"/>
  <c r="T91" i="3"/>
  <c r="U82" i="3"/>
  <c r="S10" i="6"/>
  <c r="S10" i="5"/>
  <c r="R9" i="6"/>
  <c r="R9" i="5"/>
  <c r="W4" i="9"/>
  <c r="V24" i="9"/>
  <c r="V33" i="12" s="1"/>
  <c r="V23" i="9"/>
  <c r="T23" i="7"/>
  <c r="U22" i="7"/>
  <c r="X23" i="8"/>
  <c r="X24" i="8"/>
  <c r="X33" i="11" s="1"/>
  <c r="Y4" i="8"/>
  <c r="U18" i="3"/>
  <c r="U17" i="3"/>
  <c r="T8" i="6" l="1"/>
  <c r="T8" i="5"/>
  <c r="T93" i="3"/>
  <c r="AG23" i="6"/>
  <c r="AG20" i="5"/>
  <c r="AI106" i="3"/>
  <c r="AI107" i="3" s="1"/>
  <c r="AI32" i="3"/>
  <c r="AJ28" i="3"/>
  <c r="V82" i="3"/>
  <c r="U92" i="3"/>
  <c r="U91" i="3"/>
  <c r="U94" i="3"/>
  <c r="V81" i="3"/>
  <c r="AG21" i="6"/>
  <c r="AG18" i="5"/>
  <c r="V22" i="7"/>
  <c r="U23" i="7"/>
  <c r="U4" i="5"/>
  <c r="U3" i="5"/>
  <c r="S9" i="6"/>
  <c r="S9" i="5"/>
  <c r="V4" i="6"/>
  <c r="V3" i="6"/>
  <c r="AH35" i="3"/>
  <c r="AH34" i="3"/>
  <c r="AH36" i="3"/>
  <c r="W23" i="9"/>
  <c r="X4" i="9"/>
  <c r="W24" i="9"/>
  <c r="W33" i="12" s="1"/>
  <c r="Y23" i="8"/>
  <c r="Z4" i="8"/>
  <c r="Y24" i="8"/>
  <c r="Y33" i="11" s="1"/>
  <c r="T10" i="6"/>
  <c r="T10" i="5"/>
  <c r="V17" i="3"/>
  <c r="V18" i="3"/>
  <c r="AG22" i="6"/>
  <c r="AF96" i="3"/>
  <c r="AF12" i="6" s="1"/>
  <c r="AG19" i="5"/>
  <c r="U101" i="3"/>
  <c r="U100" i="3"/>
  <c r="AI35" i="3" l="1"/>
  <c r="AI34" i="3"/>
  <c r="AI36" i="3"/>
  <c r="AH21" i="6"/>
  <c r="AH18" i="5"/>
  <c r="V92" i="3"/>
  <c r="V91" i="3"/>
  <c r="V94" i="3" s="1"/>
  <c r="W82" i="3"/>
  <c r="W81" i="3"/>
  <c r="AK28" i="3"/>
  <c r="AJ32" i="3"/>
  <c r="AJ106" i="3"/>
  <c r="AJ107" i="3" s="1"/>
  <c r="W3" i="6"/>
  <c r="W4" i="6"/>
  <c r="V4" i="5"/>
  <c r="V3" i="5"/>
  <c r="U10" i="5"/>
  <c r="U10" i="6"/>
  <c r="T9" i="6"/>
  <c r="T9" i="5"/>
  <c r="AH22" i="6"/>
  <c r="AH19" i="5"/>
  <c r="AG96" i="3"/>
  <c r="AG12" i="6" s="1"/>
  <c r="V101" i="3"/>
  <c r="V100" i="3"/>
  <c r="X23" i="9"/>
  <c r="Y4" i="9"/>
  <c r="X24" i="9"/>
  <c r="X33" i="12" s="1"/>
  <c r="W17" i="3"/>
  <c r="W18" i="3"/>
  <c r="AA4" i="8"/>
  <c r="Z23" i="8"/>
  <c r="Z24" i="8"/>
  <c r="Z33" i="11" s="1"/>
  <c r="AH23" i="6"/>
  <c r="AH20" i="5"/>
  <c r="W22" i="7"/>
  <c r="V23" i="7"/>
  <c r="U8" i="6"/>
  <c r="U8" i="5"/>
  <c r="U93" i="3"/>
  <c r="V10" i="5" l="1"/>
  <c r="V10" i="6"/>
  <c r="AA23" i="8"/>
  <c r="AB4" i="8"/>
  <c r="AA24" i="8"/>
  <c r="AA33" i="11" s="1"/>
  <c r="X22" i="7"/>
  <c r="W23" i="7"/>
  <c r="X18" i="3"/>
  <c r="X17" i="3"/>
  <c r="AJ34" i="3"/>
  <c r="AJ35" i="3"/>
  <c r="AJ36" i="3"/>
  <c r="AL28" i="3"/>
  <c r="AK32" i="3"/>
  <c r="AK106" i="3"/>
  <c r="AK107" i="3" s="1"/>
  <c r="AI20" i="5"/>
  <c r="AI23" i="6"/>
  <c r="Z4" i="9"/>
  <c r="Y23" i="9"/>
  <c r="Y24" i="9"/>
  <c r="Y33" i="12" s="1"/>
  <c r="V8" i="6"/>
  <c r="V8" i="5"/>
  <c r="V93" i="3"/>
  <c r="U9" i="5"/>
  <c r="U9" i="6"/>
  <c r="W101" i="3"/>
  <c r="W100" i="3"/>
  <c r="AI21" i="6"/>
  <c r="AI18" i="5"/>
  <c r="W92" i="3"/>
  <c r="W91" i="3"/>
  <c r="X82" i="3"/>
  <c r="X81" i="3"/>
  <c r="W94" i="3"/>
  <c r="W3" i="5"/>
  <c r="W4" i="5"/>
  <c r="X3" i="6"/>
  <c r="X4" i="6"/>
  <c r="AI22" i="6"/>
  <c r="AI19" i="5"/>
  <c r="AH96" i="3"/>
  <c r="AH12" i="6" s="1"/>
  <c r="AK35" i="3" l="1"/>
  <c r="AK36" i="3"/>
  <c r="AK34" i="3"/>
  <c r="W10" i="5"/>
  <c r="W10" i="6"/>
  <c r="X101" i="3"/>
  <c r="X100" i="3"/>
  <c r="Y18" i="3"/>
  <c r="Y17" i="3"/>
  <c r="W8" i="5"/>
  <c r="W8" i="6"/>
  <c r="W93" i="3"/>
  <c r="AB23" i="8"/>
  <c r="AC4" i="8"/>
  <c r="AB24" i="8"/>
  <c r="AB33" i="11" s="1"/>
  <c r="X23" i="7"/>
  <c r="Y22" i="7"/>
  <c r="Y4" i="6"/>
  <c r="Y3" i="6"/>
  <c r="AL32" i="3"/>
  <c r="AM28" i="3"/>
  <c r="AL106" i="3"/>
  <c r="AL107" i="3" s="1"/>
  <c r="AJ20" i="5"/>
  <c r="AJ23" i="6"/>
  <c r="AJ22" i="6"/>
  <c r="AJ19" i="5"/>
  <c r="AI96" i="3"/>
  <c r="AI12" i="6" s="1"/>
  <c r="X92" i="3"/>
  <c r="X94" i="3"/>
  <c r="X91" i="3"/>
  <c r="Y81" i="3"/>
  <c r="Y82" i="3"/>
  <c r="V9" i="5"/>
  <c r="V9" i="6"/>
  <c r="X3" i="5"/>
  <c r="X4" i="5"/>
  <c r="Z23" i="9"/>
  <c r="AA4" i="9"/>
  <c r="Z24" i="9"/>
  <c r="Z33" i="12" s="1"/>
  <c r="AJ21" i="6"/>
  <c r="AJ18" i="5"/>
  <c r="Z18" i="3" l="1"/>
  <c r="Z17" i="3"/>
  <c r="Y101" i="3"/>
  <c r="Y100" i="3"/>
  <c r="Y92" i="3"/>
  <c r="Y91" i="3"/>
  <c r="Z82" i="3"/>
  <c r="Y94" i="3"/>
  <c r="Z81" i="3"/>
  <c r="AC23" i="8"/>
  <c r="AD4" i="8"/>
  <c r="AC24" i="8"/>
  <c r="AC33" i="11" s="1"/>
  <c r="AB4" i="9"/>
  <c r="AA23" i="9"/>
  <c r="AA24" i="9"/>
  <c r="AA33" i="12" s="1"/>
  <c r="AN28" i="3"/>
  <c r="AM106" i="3"/>
  <c r="AM107" i="3" s="1"/>
  <c r="AM32" i="3"/>
  <c r="X10" i="6"/>
  <c r="X10" i="5"/>
  <c r="AL36" i="3"/>
  <c r="AL34" i="3"/>
  <c r="AL35" i="3"/>
  <c r="W9" i="5"/>
  <c r="W9" i="6"/>
  <c r="Y4" i="5"/>
  <c r="Y3" i="5"/>
  <c r="X8" i="6"/>
  <c r="X93" i="3"/>
  <c r="X8" i="5"/>
  <c r="AK18" i="5"/>
  <c r="AK21" i="6"/>
  <c r="Z3" i="6"/>
  <c r="Z4" i="6"/>
  <c r="AK20" i="5"/>
  <c r="AK23" i="6"/>
  <c r="Y23" i="7"/>
  <c r="Z22" i="7"/>
  <c r="AK22" i="6"/>
  <c r="AK19" i="5"/>
  <c r="AJ96" i="3"/>
  <c r="AJ12" i="6" s="1"/>
  <c r="AM36" i="3" l="1"/>
  <c r="AM35" i="3"/>
  <c r="AM34" i="3"/>
  <c r="Z4" i="5"/>
  <c r="Z3" i="5"/>
  <c r="Y10" i="6"/>
  <c r="Y10" i="5"/>
  <c r="Z23" i="7"/>
  <c r="AA22" i="7"/>
  <c r="AN106" i="3"/>
  <c r="AN107" i="3" s="1"/>
  <c r="AO28" i="3"/>
  <c r="AN32" i="3"/>
  <c r="Z94" i="3"/>
  <c r="Z92" i="3"/>
  <c r="Z91" i="3"/>
  <c r="AA82" i="3"/>
  <c r="AA81" i="3"/>
  <c r="AL19" i="5"/>
  <c r="AL22" i="6"/>
  <c r="AK96" i="3"/>
  <c r="AK12" i="6" s="1"/>
  <c r="Y8" i="5"/>
  <c r="Y8" i="6"/>
  <c r="Y93" i="3"/>
  <c r="AL23" i="6"/>
  <c r="AL20" i="5"/>
  <c r="AL21" i="6"/>
  <c r="AL18" i="5"/>
  <c r="Z101" i="3"/>
  <c r="Z100" i="3"/>
  <c r="X9" i="6"/>
  <c r="X9" i="5"/>
  <c r="AD23" i="8"/>
  <c r="AE4" i="8"/>
  <c r="AD24" i="8"/>
  <c r="AD33" i="11" s="1"/>
  <c r="AA18" i="3"/>
  <c r="AA17" i="3"/>
  <c r="AA3" i="6"/>
  <c r="AA4" i="6"/>
  <c r="AB23" i="9"/>
  <c r="AC4" i="9"/>
  <c r="AB24" i="9"/>
  <c r="AB33" i="12" s="1"/>
  <c r="AA100" i="3" l="1"/>
  <c r="AA101" i="3"/>
  <c r="AB4" i="6"/>
  <c r="AB3" i="6"/>
  <c r="AA4" i="5"/>
  <c r="AA3" i="5"/>
  <c r="Z10" i="6"/>
  <c r="Z10" i="5"/>
  <c r="AC23" i="9"/>
  <c r="AD4" i="9"/>
  <c r="AC24" i="9"/>
  <c r="AC33" i="12" s="1"/>
  <c r="AA91" i="3"/>
  <c r="AA92" i="3"/>
  <c r="AB82" i="3"/>
  <c r="AB81" i="3"/>
  <c r="AA94" i="3"/>
  <c r="Y9" i="5"/>
  <c r="Y9" i="6"/>
  <c r="AN35" i="3"/>
  <c r="AN34" i="3"/>
  <c r="AN36" i="3"/>
  <c r="AO106" i="3"/>
  <c r="AO107" i="3" s="1"/>
  <c r="AP28" i="3"/>
  <c r="AO32" i="3"/>
  <c r="AM20" i="5"/>
  <c r="AM23" i="6"/>
  <c r="Z93" i="3"/>
  <c r="Z8" i="5"/>
  <c r="Z8" i="6"/>
  <c r="AM18" i="5"/>
  <c r="AM21" i="6"/>
  <c r="AB18" i="3"/>
  <c r="AB17" i="3"/>
  <c r="AE23" i="8"/>
  <c r="AF4" i="8"/>
  <c r="AE24" i="8"/>
  <c r="AE33" i="11" s="1"/>
  <c r="AM19" i="5"/>
  <c r="AM22" i="6"/>
  <c r="AL96" i="3"/>
  <c r="AL12" i="6" s="1"/>
  <c r="AA23" i="7"/>
  <c r="AB22" i="7"/>
  <c r="AP32" i="3" l="1"/>
  <c r="AQ28" i="3"/>
  <c r="AP106" i="3"/>
  <c r="AP107" i="3" s="1"/>
  <c r="AC4" i="6"/>
  <c r="AC3" i="6"/>
  <c r="AC18" i="3"/>
  <c r="AC17" i="3"/>
  <c r="AA8" i="6"/>
  <c r="AA8" i="5"/>
  <c r="AA93" i="3"/>
  <c r="AO34" i="3"/>
  <c r="AO36" i="3"/>
  <c r="AO35" i="3"/>
  <c r="AB91" i="3"/>
  <c r="AC82" i="3"/>
  <c r="AB94" i="3"/>
  <c r="AC81" i="3"/>
  <c r="AB92" i="3"/>
  <c r="AB3" i="5"/>
  <c r="AB4" i="5"/>
  <c r="AN23" i="6"/>
  <c r="AN20" i="5"/>
  <c r="AN18" i="5"/>
  <c r="AN21" i="6"/>
  <c r="AN19" i="5"/>
  <c r="AM96" i="3"/>
  <c r="AM12" i="6" s="1"/>
  <c r="AN22" i="6"/>
  <c r="AD23" i="9"/>
  <c r="AE4" i="9"/>
  <c r="AD24" i="9"/>
  <c r="AD33" i="12" s="1"/>
  <c r="AB100" i="3"/>
  <c r="AB101" i="3"/>
  <c r="Z9" i="6"/>
  <c r="Z9" i="5"/>
  <c r="AC22" i="7"/>
  <c r="AB23" i="7"/>
  <c r="AG4" i="8"/>
  <c r="AF23" i="8"/>
  <c r="AF24" i="8"/>
  <c r="AF33" i="11" s="1"/>
  <c r="AA10" i="6"/>
  <c r="AA10" i="5"/>
  <c r="AB10" i="6" l="1"/>
  <c r="AB10" i="5"/>
  <c r="AH4" i="8"/>
  <c r="AG23" i="8"/>
  <c r="AG24" i="8"/>
  <c r="AG33" i="11" s="1"/>
  <c r="AE23" i="9"/>
  <c r="AF4" i="9"/>
  <c r="AE24" i="9"/>
  <c r="AE33" i="12" s="1"/>
  <c r="AD82" i="3"/>
  <c r="AC91" i="3"/>
  <c r="AC92" i="3"/>
  <c r="AC94" i="3"/>
  <c r="AD81" i="3"/>
  <c r="AD17" i="3"/>
  <c r="AD18" i="3"/>
  <c r="AO19" i="5"/>
  <c r="AO22" i="6"/>
  <c r="AN96" i="3"/>
  <c r="AN12" i="6" s="1"/>
  <c r="AC23" i="7"/>
  <c r="AD22" i="7"/>
  <c r="AO23" i="6"/>
  <c r="AO20" i="5"/>
  <c r="AO18" i="5"/>
  <c r="AO21" i="6"/>
  <c r="AC3" i="5"/>
  <c r="AC4" i="5"/>
  <c r="AD4" i="6"/>
  <c r="AD3" i="6"/>
  <c r="AR28" i="3"/>
  <c r="AQ106" i="3"/>
  <c r="AQ107" i="3" s="1"/>
  <c r="AQ32" i="3"/>
  <c r="AC101" i="3"/>
  <c r="AC100" i="3"/>
  <c r="AB8" i="6"/>
  <c r="AB93" i="3"/>
  <c r="AB8" i="5"/>
  <c r="AA9" i="6"/>
  <c r="AA9" i="5"/>
  <c r="AP36" i="3"/>
  <c r="AP34" i="3"/>
  <c r="AP35" i="3"/>
  <c r="AE18" i="3" l="1"/>
  <c r="AE17" i="3"/>
  <c r="AB9" i="6"/>
  <c r="AB9" i="5"/>
  <c r="AQ34" i="3"/>
  <c r="AQ36" i="3"/>
  <c r="AQ35" i="3"/>
  <c r="AR32" i="3"/>
  <c r="AR106" i="3"/>
  <c r="AR107" i="3" s="1"/>
  <c r="AS28" i="3"/>
  <c r="AE3" i="6"/>
  <c r="AE4" i="6"/>
  <c r="AH23" i="8"/>
  <c r="AI4" i="8"/>
  <c r="AH24" i="8"/>
  <c r="AH33" i="11" s="1"/>
  <c r="AE82" i="3"/>
  <c r="AD94" i="3"/>
  <c r="AE81" i="3"/>
  <c r="AD92" i="3"/>
  <c r="AD91" i="3"/>
  <c r="AD23" i="7"/>
  <c r="AE22" i="7"/>
  <c r="AD4" i="5"/>
  <c r="AD3" i="5"/>
  <c r="AP22" i="6"/>
  <c r="AP19" i="5"/>
  <c r="AO96" i="3"/>
  <c r="AO12" i="6" s="1"/>
  <c r="AD101" i="3"/>
  <c r="AD100" i="3"/>
  <c r="AP21" i="6"/>
  <c r="AP18" i="5"/>
  <c r="AC10" i="6"/>
  <c r="AC10" i="5"/>
  <c r="AC8" i="6"/>
  <c r="AC8" i="5"/>
  <c r="AC93" i="3"/>
  <c r="AP23" i="6"/>
  <c r="AP20" i="5"/>
  <c r="AF23" i="9"/>
  <c r="AG4" i="9"/>
  <c r="AF24" i="9"/>
  <c r="AF33" i="12" s="1"/>
  <c r="AQ22" i="6" l="1"/>
  <c r="AP96" i="3"/>
  <c r="AP12" i="6" s="1"/>
  <c r="AQ19" i="5"/>
  <c r="AR35" i="3"/>
  <c r="AR36" i="3"/>
  <c r="AR34" i="3"/>
  <c r="AE4" i="5"/>
  <c r="AE3" i="5"/>
  <c r="AQ23" i="6"/>
  <c r="AQ20" i="5"/>
  <c r="AI23" i="8"/>
  <c r="AI24" i="8"/>
  <c r="AI33" i="11" s="1"/>
  <c r="AE101" i="3"/>
  <c r="AE100" i="3"/>
  <c r="AF4" i="6"/>
  <c r="AF3" i="6"/>
  <c r="AF22" i="7"/>
  <c r="AE23" i="7"/>
  <c r="AC9" i="6"/>
  <c r="AC9" i="5"/>
  <c r="AQ18" i="5"/>
  <c r="AQ21" i="6"/>
  <c r="AD8" i="6"/>
  <c r="AD8" i="5"/>
  <c r="AD93" i="3"/>
  <c r="AD10" i="6"/>
  <c r="AD10" i="5"/>
  <c r="AH4" i="9"/>
  <c r="AG24" i="9"/>
  <c r="AG33" i="12" s="1"/>
  <c r="AG23" i="9"/>
  <c r="AE94" i="3"/>
  <c r="AF81" i="3"/>
  <c r="AF82" i="3"/>
  <c r="AE91" i="3"/>
  <c r="AE92" i="3"/>
  <c r="AS106" i="3"/>
  <c r="AS107" i="3" s="1"/>
  <c r="AS32" i="3"/>
  <c r="AT28" i="3"/>
  <c r="AF18" i="3"/>
  <c r="AF17" i="3"/>
  <c r="AR22" i="6" l="1"/>
  <c r="AR19" i="5"/>
  <c r="AQ96" i="3"/>
  <c r="AQ12" i="6" s="1"/>
  <c r="AF101" i="3"/>
  <c r="AF100" i="3"/>
  <c r="AE8" i="5"/>
  <c r="AE8" i="6"/>
  <c r="AE93" i="3"/>
  <c r="AR21" i="6"/>
  <c r="AR18" i="5"/>
  <c r="AF94" i="3"/>
  <c r="AF92" i="3"/>
  <c r="AF91" i="3"/>
  <c r="AG82" i="3"/>
  <c r="AG81" i="3"/>
  <c r="AR23" i="6"/>
  <c r="AR20" i="5"/>
  <c r="AE10" i="5"/>
  <c r="AE10" i="6"/>
  <c r="AF23" i="7"/>
  <c r="AG22" i="7"/>
  <c r="AD9" i="6"/>
  <c r="AD9" i="5"/>
  <c r="AG18" i="3"/>
  <c r="AG17" i="3"/>
  <c r="AG4" i="6"/>
  <c r="AG3" i="6"/>
  <c r="AF4" i="5"/>
  <c r="AF3" i="5"/>
  <c r="AT32" i="3"/>
  <c r="AT106" i="3"/>
  <c r="AT107" i="3" s="1"/>
  <c r="AU28" i="3"/>
  <c r="AI4" i="9"/>
  <c r="AH23" i="9"/>
  <c r="AH24" i="9"/>
  <c r="AH33" i="12" s="1"/>
  <c r="AS35" i="3"/>
  <c r="AS34" i="3"/>
  <c r="AS36" i="3"/>
  <c r="AG4" i="5" l="1"/>
  <c r="AG3" i="5"/>
  <c r="AT34" i="3"/>
  <c r="AT36" i="3"/>
  <c r="AT35" i="3"/>
  <c r="AE9" i="5"/>
  <c r="AE9" i="6"/>
  <c r="AS20" i="5"/>
  <c r="AS23" i="6"/>
  <c r="AG94" i="3"/>
  <c r="AH81" i="3"/>
  <c r="AG92" i="3"/>
  <c r="AG91" i="3"/>
  <c r="AH82" i="3"/>
  <c r="AS21" i="6"/>
  <c r="AS18" i="5"/>
  <c r="AS22" i="6"/>
  <c r="AS19" i="5"/>
  <c r="AR96" i="3"/>
  <c r="AR12" i="6" s="1"/>
  <c r="AH4" i="6"/>
  <c r="AH3" i="6"/>
  <c r="AG100" i="3"/>
  <c r="AG101" i="3"/>
  <c r="AH22" i="7"/>
  <c r="AG23" i="7"/>
  <c r="AF8" i="5"/>
  <c r="AF8" i="6"/>
  <c r="AF93" i="3"/>
  <c r="AF10" i="5"/>
  <c r="AF10" i="6"/>
  <c r="AH18" i="3"/>
  <c r="AH17" i="3"/>
  <c r="AI23" i="9"/>
  <c r="AI24" i="9"/>
  <c r="AI33" i="12" s="1"/>
  <c r="AV28" i="3"/>
  <c r="AU32" i="3"/>
  <c r="AU106" i="3"/>
  <c r="AU107" i="3" s="1"/>
  <c r="AH23" i="7" l="1"/>
  <c r="AI22" i="7"/>
  <c r="AI23" i="7" s="1"/>
  <c r="AU35" i="3"/>
  <c r="AU36" i="3"/>
  <c r="AU34" i="3"/>
  <c r="AI17" i="3"/>
  <c r="AI18" i="3"/>
  <c r="AV32" i="3"/>
  <c r="AV106" i="3"/>
  <c r="AV107" i="3" s="1"/>
  <c r="AW28" i="3"/>
  <c r="AT22" i="6"/>
  <c r="AT19" i="5"/>
  <c r="AS96" i="3"/>
  <c r="AS12" i="6" s="1"/>
  <c r="AF9" i="5"/>
  <c r="AF9" i="6"/>
  <c r="AG8" i="5"/>
  <c r="AG8" i="6"/>
  <c r="AG93" i="3"/>
  <c r="AT20" i="5"/>
  <c r="AT23" i="6"/>
  <c r="AI4" i="6"/>
  <c r="AI3" i="6"/>
  <c r="AT21" i="6"/>
  <c r="AT18" i="5"/>
  <c r="AH100" i="3"/>
  <c r="AH101" i="3"/>
  <c r="AH94" i="3"/>
  <c r="AH92" i="3"/>
  <c r="AI82" i="3"/>
  <c r="AH91" i="3"/>
  <c r="AI81" i="3"/>
  <c r="AG10" i="5"/>
  <c r="AG10" i="6"/>
  <c r="AH3" i="5"/>
  <c r="AH4" i="5"/>
  <c r="AI100" i="3" l="1"/>
  <c r="AI101" i="3"/>
  <c r="AG9" i="5"/>
  <c r="AG9" i="6"/>
  <c r="AV36" i="3"/>
  <c r="AV35" i="3"/>
  <c r="AV34" i="3"/>
  <c r="AJ17" i="3"/>
  <c r="AJ18" i="3"/>
  <c r="AJ3" i="6"/>
  <c r="AJ4" i="6"/>
  <c r="AI92" i="3"/>
  <c r="AI91" i="3"/>
  <c r="AJ82" i="3"/>
  <c r="AI94" i="3"/>
  <c r="AJ81" i="3"/>
  <c r="AU19" i="5"/>
  <c r="AT96" i="3"/>
  <c r="AT12" i="6" s="1"/>
  <c r="AU22" i="6"/>
  <c r="AU21" i="6"/>
  <c r="AU18" i="5"/>
  <c r="AU20" i="5"/>
  <c r="AU23" i="6"/>
  <c r="AI4" i="5"/>
  <c r="AI3" i="5"/>
  <c r="AH8" i="6"/>
  <c r="AH93" i="3"/>
  <c r="AH8" i="5"/>
  <c r="AH10" i="6"/>
  <c r="AH10" i="5"/>
  <c r="AX28" i="3"/>
  <c r="AW106" i="3"/>
  <c r="AW107" i="3" s="1"/>
  <c r="AW32" i="3"/>
  <c r="AK18" i="3" l="1"/>
  <c r="AK17" i="3"/>
  <c r="AI10" i="5"/>
  <c r="AI10" i="6"/>
  <c r="AJ4" i="5"/>
  <c r="AJ3" i="5"/>
  <c r="AV19" i="5"/>
  <c r="AV22" i="6"/>
  <c r="AU96" i="3"/>
  <c r="AU12" i="6" s="1"/>
  <c r="AV20" i="5"/>
  <c r="AV23" i="6"/>
  <c r="AJ94" i="3"/>
  <c r="AJ92" i="3"/>
  <c r="AJ91" i="3"/>
  <c r="AK82" i="3"/>
  <c r="AK81" i="3"/>
  <c r="AI8" i="6"/>
  <c r="AI8" i="5"/>
  <c r="AI93" i="3"/>
  <c r="AJ101" i="3"/>
  <c r="AJ100" i="3"/>
  <c r="AH9" i="5"/>
  <c r="AH9" i="6"/>
  <c r="AV21" i="6"/>
  <c r="AV18" i="5"/>
  <c r="AW35" i="3"/>
  <c r="AW34" i="3"/>
  <c r="AW36" i="3"/>
  <c r="AX106" i="3"/>
  <c r="AX107" i="3" s="1"/>
  <c r="AX32" i="3"/>
  <c r="AK3" i="6"/>
  <c r="AK4" i="6"/>
  <c r="AK92" i="3" l="1"/>
  <c r="AL81" i="3"/>
  <c r="AL82" i="3"/>
  <c r="AK91" i="3"/>
  <c r="AK94" i="3"/>
  <c r="AK3" i="5"/>
  <c r="AK4" i="5"/>
  <c r="AX35" i="3"/>
  <c r="AX34" i="3"/>
  <c r="AX36" i="3"/>
  <c r="AW21" i="6"/>
  <c r="AW18" i="5"/>
  <c r="AK100" i="3"/>
  <c r="AK101" i="3"/>
  <c r="AW23" i="6"/>
  <c r="AW20" i="5"/>
  <c r="AI9" i="6"/>
  <c r="AI9" i="5"/>
  <c r="AL4" i="6"/>
  <c r="AL3" i="6"/>
  <c r="AJ8" i="6"/>
  <c r="AJ93" i="3"/>
  <c r="AJ8" i="5"/>
  <c r="AJ10" i="6"/>
  <c r="AJ10" i="5"/>
  <c r="AW19" i="5"/>
  <c r="AW22" i="6"/>
  <c r="AV96" i="3"/>
  <c r="AV12" i="6" s="1"/>
  <c r="AT95" i="3"/>
  <c r="AL18" i="3"/>
  <c r="AL17" i="3"/>
  <c r="AX23" i="6" l="1"/>
  <c r="AX20" i="5"/>
  <c r="U95" i="3"/>
  <c r="N95" i="3"/>
  <c r="X95" i="3"/>
  <c r="S95" i="3"/>
  <c r="M95" i="3"/>
  <c r="V95" i="3"/>
  <c r="L95" i="3"/>
  <c r="P95" i="3"/>
  <c r="Y95" i="3"/>
  <c r="W95" i="3"/>
  <c r="R95" i="3"/>
  <c r="K95" i="3"/>
  <c r="Z95" i="3"/>
  <c r="T95" i="3"/>
  <c r="O95" i="3"/>
  <c r="Q95" i="3"/>
  <c r="AA95" i="3"/>
  <c r="AB95" i="3"/>
  <c r="AC95" i="3"/>
  <c r="AD95" i="3"/>
  <c r="AE95" i="3"/>
  <c r="AF95" i="3"/>
  <c r="AG95" i="3"/>
  <c r="AI95" i="3"/>
  <c r="AH95" i="3"/>
  <c r="AM95" i="3"/>
  <c r="AL95" i="3"/>
  <c r="AK95" i="3"/>
  <c r="AN95" i="3"/>
  <c r="AJ95" i="3"/>
  <c r="AQ95" i="3"/>
  <c r="AO95" i="3"/>
  <c r="AP95" i="3"/>
  <c r="AX18" i="5"/>
  <c r="AX21" i="6"/>
  <c r="AX95" i="3"/>
  <c r="AS95" i="3"/>
  <c r="AL100" i="3"/>
  <c r="AL101" i="3"/>
  <c r="AJ9" i="6"/>
  <c r="AJ9" i="5"/>
  <c r="AX22" i="6"/>
  <c r="AX19" i="5"/>
  <c r="K35" i="10" s="1"/>
  <c r="K37" i="10" s="1"/>
  <c r="AW96" i="3"/>
  <c r="AW12" i="6" s="1"/>
  <c r="AX96" i="3"/>
  <c r="AX12" i="6" s="1"/>
  <c r="AM18" i="3"/>
  <c r="AM17" i="3"/>
  <c r="AV95" i="3"/>
  <c r="AM4" i="6"/>
  <c r="AM3" i="6"/>
  <c r="AK10" i="6"/>
  <c r="AK10" i="5"/>
  <c r="AR95" i="3"/>
  <c r="AT11" i="6"/>
  <c r="AT11" i="5"/>
  <c r="AW95" i="3"/>
  <c r="AL92" i="3"/>
  <c r="AL91" i="3"/>
  <c r="AM82" i="3"/>
  <c r="AL94" i="3"/>
  <c r="AM81" i="3"/>
  <c r="AU95" i="3"/>
  <c r="AL3" i="5"/>
  <c r="AL4" i="5"/>
  <c r="AK8" i="6"/>
  <c r="AK8" i="5"/>
  <c r="AK93" i="3"/>
  <c r="P11" i="6" l="1"/>
  <c r="P11" i="5"/>
  <c r="AK11" i="6"/>
  <c r="AK11" i="5"/>
  <c r="AB11" i="6"/>
  <c r="AB11" i="5"/>
  <c r="AS11" i="5"/>
  <c r="AS11" i="6"/>
  <c r="AL11" i="6"/>
  <c r="AL11" i="5"/>
  <c r="AA11" i="6"/>
  <c r="AA11" i="5"/>
  <c r="L11" i="5"/>
  <c r="L11" i="6"/>
  <c r="AM4" i="5"/>
  <c r="AM3" i="5"/>
  <c r="Q11" i="6"/>
  <c r="Q11" i="5"/>
  <c r="AU11" i="6"/>
  <c r="AU11" i="5"/>
  <c r="K38" i="10"/>
  <c r="K42" i="10" s="1"/>
  <c r="K16" i="10" s="1"/>
  <c r="K40" i="10"/>
  <c r="L34" i="10" s="1"/>
  <c r="L37" i="10" s="1"/>
  <c r="O11" i="6"/>
  <c r="O11" i="5"/>
  <c r="AL10" i="6"/>
  <c r="AL10" i="5"/>
  <c r="K11" i="5"/>
  <c r="K23" i="5" s="1"/>
  <c r="K11" i="6"/>
  <c r="AK9" i="6"/>
  <c r="AK9" i="5"/>
  <c r="AN4" i="6"/>
  <c r="AN3" i="6"/>
  <c r="AM101" i="3"/>
  <c r="AM100" i="3"/>
  <c r="AQ11" i="5"/>
  <c r="AQ11" i="6"/>
  <c r="AE11" i="6"/>
  <c r="AE11" i="5"/>
  <c r="R11" i="6"/>
  <c r="R11" i="5"/>
  <c r="U11" i="5"/>
  <c r="U11" i="6"/>
  <c r="AN18" i="3"/>
  <c r="AN17" i="3"/>
  <c r="AR11" i="6"/>
  <c r="AR11" i="5"/>
  <c r="M11" i="5"/>
  <c r="M11" i="6"/>
  <c r="AM91" i="3"/>
  <c r="AM92" i="3"/>
  <c r="AM94" i="3"/>
  <c r="AN81" i="3"/>
  <c r="AN82" i="3"/>
  <c r="AF11" i="5"/>
  <c r="AF11" i="6"/>
  <c r="AL8" i="6"/>
  <c r="AL8" i="5"/>
  <c r="AL93" i="3"/>
  <c r="AW11" i="6"/>
  <c r="AW11" i="5"/>
  <c r="AV11" i="6"/>
  <c r="AV11" i="5"/>
  <c r="AJ11" i="6"/>
  <c r="AJ11" i="5"/>
  <c r="AD11" i="6"/>
  <c r="AD11" i="5"/>
  <c r="W11" i="5"/>
  <c r="W11" i="6"/>
  <c r="AX11" i="6"/>
  <c r="AX11" i="5"/>
  <c r="AM11" i="6"/>
  <c r="AM11" i="5"/>
  <c r="V11" i="5"/>
  <c r="V11" i="6"/>
  <c r="AH11" i="5"/>
  <c r="AH11" i="6"/>
  <c r="AI11" i="5"/>
  <c r="AI11" i="6"/>
  <c r="T11" i="6"/>
  <c r="T11" i="5"/>
  <c r="S11" i="6"/>
  <c r="S11" i="5"/>
  <c r="AP11" i="5"/>
  <c r="AP11" i="6"/>
  <c r="AG11" i="5"/>
  <c r="AG11" i="6"/>
  <c r="Z11" i="6"/>
  <c r="Z11" i="5"/>
  <c r="X11" i="6"/>
  <c r="X11" i="5"/>
  <c r="AO11" i="5"/>
  <c r="AO11" i="6"/>
  <c r="N11" i="6"/>
  <c r="N11" i="5"/>
  <c r="AN11" i="6"/>
  <c r="AN11" i="5"/>
  <c r="AC11" i="6"/>
  <c r="AC11" i="5"/>
  <c r="Y11" i="5"/>
  <c r="Y11" i="6"/>
  <c r="K24" i="5" l="1"/>
  <c r="L17" i="5" s="1"/>
  <c r="AN91" i="3"/>
  <c r="AO82" i="3"/>
  <c r="AN94" i="3"/>
  <c r="AO81" i="3"/>
  <c r="AN92" i="3"/>
  <c r="AO18" i="3"/>
  <c r="AO17" i="3"/>
  <c r="AM8" i="6"/>
  <c r="AM8" i="5"/>
  <c r="AM93" i="3"/>
  <c r="AO4" i="6"/>
  <c r="AO3" i="6"/>
  <c r="AN4" i="5"/>
  <c r="AN3" i="5"/>
  <c r="AN100" i="3"/>
  <c r="AN101" i="3"/>
  <c r="AM10" i="6"/>
  <c r="AM10" i="5"/>
  <c r="L38" i="10"/>
  <c r="L42" i="10" s="1"/>
  <c r="L16" i="10" s="1"/>
  <c r="AL9" i="6"/>
  <c r="AL9" i="5"/>
  <c r="AP17" i="3" l="1"/>
  <c r="AP18" i="3"/>
  <c r="AN8" i="6"/>
  <c r="AN8" i="5"/>
  <c r="AN93" i="3"/>
  <c r="L20" i="6"/>
  <c r="L24" i="6" s="1"/>
  <c r="L21" i="5" s="1"/>
  <c r="L22" i="5" s="1"/>
  <c r="AN10" i="6"/>
  <c r="AN10" i="5"/>
  <c r="AM9" i="6"/>
  <c r="AM9" i="5"/>
  <c r="AO101" i="3"/>
  <c r="AO100" i="3"/>
  <c r="AP82" i="3"/>
  <c r="AO94" i="3"/>
  <c r="AO91" i="3"/>
  <c r="AP81" i="3"/>
  <c r="AO92" i="3"/>
  <c r="L40" i="10"/>
  <c r="M34" i="10" s="1"/>
  <c r="M37" i="10" s="1"/>
  <c r="AP3" i="6"/>
  <c r="AP4" i="6"/>
  <c r="AO4" i="5"/>
  <c r="AO3" i="5"/>
  <c r="L23" i="5" l="1"/>
  <c r="AP94" i="3"/>
  <c r="AP92" i="3"/>
  <c r="AP91" i="3"/>
  <c r="AQ82" i="3"/>
  <c r="AQ81" i="3"/>
  <c r="AP4" i="5"/>
  <c r="AP3" i="5"/>
  <c r="AQ3" i="6"/>
  <c r="AQ4" i="6"/>
  <c r="AO10" i="6"/>
  <c r="AO10" i="5"/>
  <c r="AN9" i="6"/>
  <c r="AN9" i="5"/>
  <c r="M38" i="10"/>
  <c r="M42" i="10" s="1"/>
  <c r="M16" i="10" s="1"/>
  <c r="M40" i="10"/>
  <c r="N34" i="10" s="1"/>
  <c r="N37" i="10" s="1"/>
  <c r="AP101" i="3"/>
  <c r="AP100" i="3"/>
  <c r="AQ18" i="3"/>
  <c r="AQ17" i="3"/>
  <c r="AO8" i="5"/>
  <c r="AO8" i="6"/>
  <c r="AO93" i="3"/>
  <c r="AQ3" i="5" l="1"/>
  <c r="AQ4" i="5"/>
  <c r="AO9" i="5"/>
  <c r="AO9" i="6"/>
  <c r="AQ100" i="3"/>
  <c r="AQ101" i="3"/>
  <c r="AP8" i="5"/>
  <c r="AP93" i="3"/>
  <c r="AP8" i="6"/>
  <c r="AP10" i="6"/>
  <c r="AP10" i="5"/>
  <c r="N38" i="10"/>
  <c r="N42" i="10" s="1"/>
  <c r="N16" i="10" s="1"/>
  <c r="N40" i="10"/>
  <c r="O34" i="10" s="1"/>
  <c r="O37" i="10" s="1"/>
  <c r="AR82" i="3"/>
  <c r="AQ94" i="3"/>
  <c r="AR81" i="3"/>
  <c r="AQ92" i="3"/>
  <c r="AQ91" i="3"/>
  <c r="AR18" i="3"/>
  <c r="AR17" i="3"/>
  <c r="AR3" i="6"/>
  <c r="AR4" i="6"/>
  <c r="L24" i="5"/>
  <c r="M17" i="5" s="1"/>
  <c r="M20" i="6" l="1"/>
  <c r="M24" i="6" s="1"/>
  <c r="M21" i="5" s="1"/>
  <c r="M22" i="5" s="1"/>
  <c r="AQ10" i="5"/>
  <c r="AQ10" i="6"/>
  <c r="AP9" i="5"/>
  <c r="AP9" i="6"/>
  <c r="AQ8" i="5"/>
  <c r="AQ8" i="6"/>
  <c r="AQ93" i="3"/>
  <c r="AR101" i="3"/>
  <c r="AR100" i="3"/>
  <c r="O38" i="10"/>
  <c r="O42" i="10" s="1"/>
  <c r="O16" i="10" s="1"/>
  <c r="O40" i="10"/>
  <c r="P34" i="10" s="1"/>
  <c r="P37" i="10" s="1"/>
  <c r="AS4" i="6"/>
  <c r="AS3" i="6"/>
  <c r="AR94" i="3"/>
  <c r="AS81" i="3"/>
  <c r="AR91" i="3"/>
  <c r="AS82" i="3"/>
  <c r="AR92" i="3"/>
  <c r="AS18" i="3"/>
  <c r="AS17" i="3"/>
  <c r="AR3" i="5"/>
  <c r="AR4" i="5"/>
  <c r="M23" i="5" l="1"/>
  <c r="M24" i="5"/>
  <c r="N17" i="5" s="1"/>
  <c r="AS4" i="5"/>
  <c r="AS3" i="5"/>
  <c r="AR10" i="6"/>
  <c r="AR10" i="5"/>
  <c r="AT4" i="6"/>
  <c r="AT3" i="6"/>
  <c r="AT18" i="3"/>
  <c r="AT17" i="3"/>
  <c r="AS94" i="3"/>
  <c r="AT81" i="3"/>
  <c r="AS92" i="3"/>
  <c r="AS91" i="3"/>
  <c r="AT82" i="3"/>
  <c r="P38" i="10"/>
  <c r="P42" i="10" s="1"/>
  <c r="P16" i="10" s="1"/>
  <c r="AR8" i="6"/>
  <c r="AR8" i="5"/>
  <c r="AR93" i="3"/>
  <c r="AS100" i="3"/>
  <c r="AS101" i="3"/>
  <c r="AQ9" i="5"/>
  <c r="AQ9" i="6"/>
  <c r="P40" i="10" l="1"/>
  <c r="Q34" i="10" s="1"/>
  <c r="Q37" i="10" s="1"/>
  <c r="AU4" i="6"/>
  <c r="AU3" i="6"/>
  <c r="AT101" i="3"/>
  <c r="AT100" i="3"/>
  <c r="AR9" i="5"/>
  <c r="AR9" i="6"/>
  <c r="AT4" i="5"/>
  <c r="AT3" i="5"/>
  <c r="AT94" i="3"/>
  <c r="AT92" i="3"/>
  <c r="AT91" i="3"/>
  <c r="AU82" i="3"/>
  <c r="AU81" i="3"/>
  <c r="AS10" i="5"/>
  <c r="AS10" i="6"/>
  <c r="AU17" i="3"/>
  <c r="AU18" i="3"/>
  <c r="N22" i="5"/>
  <c r="N20" i="6"/>
  <c r="N24" i="6" s="1"/>
  <c r="N21" i="5" s="1"/>
  <c r="AS8" i="5"/>
  <c r="AS8" i="6"/>
  <c r="AS93" i="3"/>
  <c r="AU4" i="5" l="1"/>
  <c r="AU3" i="5"/>
  <c r="N23" i="5"/>
  <c r="N24" i="5" s="1"/>
  <c r="O17" i="5" s="1"/>
  <c r="AS9" i="6"/>
  <c r="AS9" i="5"/>
  <c r="AV4" i="6"/>
  <c r="AV3" i="6"/>
  <c r="AU100" i="3"/>
  <c r="AU101" i="3"/>
  <c r="AT8" i="6"/>
  <c r="AT93" i="3"/>
  <c r="AT8" i="5"/>
  <c r="Q38" i="10"/>
  <c r="Q42" i="10" s="1"/>
  <c r="Q16" i="10" s="1"/>
  <c r="AV18" i="3"/>
  <c r="AV17" i="3"/>
  <c r="AV82" i="3"/>
  <c r="AU92" i="3"/>
  <c r="AU91" i="3"/>
  <c r="AU94" i="3" s="1"/>
  <c r="AV81" i="3"/>
  <c r="AT10" i="6"/>
  <c r="AT10" i="5"/>
  <c r="AU10" i="6" l="1"/>
  <c r="AU10" i="5"/>
  <c r="O20" i="6"/>
  <c r="O24" i="6" s="1"/>
  <c r="O21" i="5" s="1"/>
  <c r="O22" i="5" s="1"/>
  <c r="AV92" i="3"/>
  <c r="AV91" i="3"/>
  <c r="AW82" i="3"/>
  <c r="AW81" i="3"/>
  <c r="AV94" i="3"/>
  <c r="AW17" i="3"/>
  <c r="AW18" i="3"/>
  <c r="Q40" i="10"/>
  <c r="R34" i="10" s="1"/>
  <c r="R37" i="10" s="1"/>
  <c r="AV100" i="3"/>
  <c r="AV101" i="3"/>
  <c r="AW4" i="6"/>
  <c r="AW3" i="6"/>
  <c r="AT9" i="6"/>
  <c r="AT9" i="5"/>
  <c r="AU8" i="6"/>
  <c r="AU8" i="5"/>
  <c r="AU93" i="3"/>
  <c r="AV3" i="5"/>
  <c r="AV4" i="5"/>
  <c r="O23" i="5" l="1"/>
  <c r="O24" i="5"/>
  <c r="P17" i="5" s="1"/>
  <c r="AX4" i="6"/>
  <c r="AX3" i="6"/>
  <c r="AW100" i="3"/>
  <c r="AW101" i="3"/>
  <c r="AV8" i="6"/>
  <c r="AV8" i="5"/>
  <c r="AV93" i="3"/>
  <c r="AW92" i="3"/>
  <c r="AW94" i="3"/>
  <c r="AW91" i="3"/>
  <c r="AX81" i="3"/>
  <c r="AX82" i="3"/>
  <c r="AV10" i="6"/>
  <c r="AV10" i="5"/>
  <c r="AW4" i="5"/>
  <c r="AW3" i="5"/>
  <c r="AU9" i="6"/>
  <c r="AU9" i="5"/>
  <c r="R38" i="10"/>
  <c r="R42" i="10" s="1"/>
  <c r="R16" i="10" s="1"/>
  <c r="AX18" i="3"/>
  <c r="AX17" i="3"/>
  <c r="AX3" i="5" l="1"/>
  <c r="AX4" i="5"/>
  <c r="AW8" i="6"/>
  <c r="AW8" i="5"/>
  <c r="AW93" i="3"/>
  <c r="AV9" i="6"/>
  <c r="AV9" i="5"/>
  <c r="AX92" i="3"/>
  <c r="AX91" i="3"/>
  <c r="AX94" i="3"/>
  <c r="R40" i="10"/>
  <c r="S34" i="10" s="1"/>
  <c r="S37" i="10" s="1"/>
  <c r="P20" i="6"/>
  <c r="P24" i="6" s="1"/>
  <c r="P21" i="5" s="1"/>
  <c r="P22" i="5"/>
  <c r="AX100" i="3"/>
  <c r="AX101" i="3"/>
  <c r="AW10" i="6"/>
  <c r="AW10" i="5"/>
  <c r="AW9" i="6" l="1"/>
  <c r="AW9" i="5"/>
  <c r="AX10" i="6"/>
  <c r="AX10" i="5"/>
  <c r="P23" i="5"/>
  <c r="P24" i="5" s="1"/>
  <c r="Q17" i="5" s="1"/>
  <c r="S38" i="10"/>
  <c r="S42" i="10" s="1"/>
  <c r="S16" i="10" s="1"/>
  <c r="AX8" i="6"/>
  <c r="AX8" i="5"/>
  <c r="AX93" i="3"/>
  <c r="Q20" i="6" l="1"/>
  <c r="Q24" i="6" s="1"/>
  <c r="Q21" i="5" s="1"/>
  <c r="Q22" i="5" s="1"/>
  <c r="AX9" i="6"/>
  <c r="AX9" i="5"/>
  <c r="S40" i="10"/>
  <c r="T34" i="10" s="1"/>
  <c r="T37" i="10" s="1"/>
  <c r="Q23" i="5" l="1"/>
  <c r="Q24" i="5" s="1"/>
  <c r="R17" i="5" s="1"/>
  <c r="T40" i="10"/>
  <c r="U34" i="10" s="1"/>
  <c r="U37" i="10" s="1"/>
  <c r="T38" i="10"/>
  <c r="T42" i="10" s="1"/>
  <c r="T16" i="10" s="1"/>
  <c r="R20" i="6" l="1"/>
  <c r="R24" i="6" s="1"/>
  <c r="R21" i="5" s="1"/>
  <c r="R22" i="5" s="1"/>
  <c r="U38" i="10"/>
  <c r="U42" i="10" s="1"/>
  <c r="U16" i="10" s="1"/>
  <c r="R23" i="5" l="1"/>
  <c r="R24" i="5" s="1"/>
  <c r="S17" i="5" s="1"/>
  <c r="U40" i="10"/>
  <c r="V34" i="10" s="1"/>
  <c r="V37" i="10" s="1"/>
  <c r="S20" i="6" l="1"/>
  <c r="S24" i="6" s="1"/>
  <c r="S21" i="5" s="1"/>
  <c r="S22" i="5" s="1"/>
  <c r="V38" i="10"/>
  <c r="V42" i="10" s="1"/>
  <c r="V16" i="10" s="1"/>
  <c r="V40" i="10"/>
  <c r="W34" i="10" s="1"/>
  <c r="W37" i="10" s="1"/>
  <c r="S23" i="5" l="1"/>
  <c r="S24" i="5" s="1"/>
  <c r="T17" i="5" s="1"/>
  <c r="W38" i="10"/>
  <c r="W42" i="10" s="1"/>
  <c r="W16" i="10" s="1"/>
  <c r="T20" i="6" l="1"/>
  <c r="T24" i="6" s="1"/>
  <c r="T21" i="5" s="1"/>
  <c r="T22" i="5" s="1"/>
  <c r="W40" i="10"/>
  <c r="X34" i="10" s="1"/>
  <c r="X37" i="10" s="1"/>
  <c r="T23" i="5" l="1"/>
  <c r="T24" i="5" s="1"/>
  <c r="U17" i="5" s="1"/>
  <c r="X38" i="10"/>
  <c r="X42" i="10" s="1"/>
  <c r="X16" i="10" s="1"/>
  <c r="U20" i="6" l="1"/>
  <c r="U24" i="6" s="1"/>
  <c r="U21" i="5" s="1"/>
  <c r="U22" i="5" s="1"/>
  <c r="X40" i="10"/>
  <c r="Y34" i="10" s="1"/>
  <c r="Y37" i="10" s="1"/>
  <c r="U23" i="5" l="1"/>
  <c r="U24" i="5" s="1"/>
  <c r="V17" i="5" s="1"/>
  <c r="Y38" i="10"/>
  <c r="Y42" i="10" s="1"/>
  <c r="Y16" i="10" s="1"/>
  <c r="Y40" i="10"/>
  <c r="Z34" i="10" s="1"/>
  <c r="Z37" i="10" s="1"/>
  <c r="V20" i="6" l="1"/>
  <c r="V24" i="6" s="1"/>
  <c r="V21" i="5" s="1"/>
  <c r="V22" i="5" s="1"/>
  <c r="Z38" i="10"/>
  <c r="Z42" i="10" s="1"/>
  <c r="Z16" i="10" s="1"/>
  <c r="Z40" i="10"/>
  <c r="AA34" i="10" s="1"/>
  <c r="AA37" i="10" s="1"/>
  <c r="V23" i="5" l="1"/>
  <c r="V24" i="5" s="1"/>
  <c r="W17" i="5" s="1"/>
  <c r="AA38" i="10"/>
  <c r="AA42" i="10" s="1"/>
  <c r="AA16" i="10" s="1"/>
  <c r="W20" i="6" l="1"/>
  <c r="W24" i="6" s="1"/>
  <c r="W21" i="5" s="1"/>
  <c r="W22" i="5" s="1"/>
  <c r="AA40" i="10"/>
  <c r="AB34" i="10" s="1"/>
  <c r="AB37" i="10" s="1"/>
  <c r="W23" i="5" l="1"/>
  <c r="W24" i="5"/>
  <c r="X17" i="5" s="1"/>
  <c r="AB40" i="10"/>
  <c r="AC34" i="10" s="1"/>
  <c r="AC37" i="10" s="1"/>
  <c r="AB38" i="10"/>
  <c r="AB42" i="10" s="1"/>
  <c r="AB16" i="10" s="1"/>
  <c r="AC38" i="10" l="1"/>
  <c r="AC42" i="10" s="1"/>
  <c r="AC16" i="10" s="1"/>
  <c r="X20" i="6"/>
  <c r="X24" i="6" s="1"/>
  <c r="X21" i="5" s="1"/>
  <c r="X22" i="5" s="1"/>
  <c r="X23" i="5" l="1"/>
  <c r="X24" i="5" s="1"/>
  <c r="Y17" i="5" s="1"/>
  <c r="AC40" i="10"/>
  <c r="AD34" i="10" s="1"/>
  <c r="AD37" i="10" s="1"/>
  <c r="Y20" i="6" l="1"/>
  <c r="Y24" i="6" s="1"/>
  <c r="Y21" i="5" s="1"/>
  <c r="Y22" i="5" s="1"/>
  <c r="AD38" i="10"/>
  <c r="AD42" i="10" s="1"/>
  <c r="AD16" i="10" s="1"/>
  <c r="Y23" i="5" l="1"/>
  <c r="Y24" i="5"/>
  <c r="Z17" i="5" s="1"/>
  <c r="AD40" i="10"/>
  <c r="AE34" i="10" s="1"/>
  <c r="AE37" i="10" s="1"/>
  <c r="AE38" i="10" l="1"/>
  <c r="AE42" i="10" s="1"/>
  <c r="AE16" i="10" s="1"/>
  <c r="AE40" i="10"/>
  <c r="AF34" i="10" s="1"/>
  <c r="AF37" i="10" s="1"/>
  <c r="Z20" i="6"/>
  <c r="Z24" i="6" s="1"/>
  <c r="Z21" i="5" s="1"/>
  <c r="Z22" i="5" s="1"/>
  <c r="Z23" i="5" l="1"/>
  <c r="Z24" i="5"/>
  <c r="AA17" i="5" s="1"/>
  <c r="AF38" i="10"/>
  <c r="AF42" i="10" s="1"/>
  <c r="AF16" i="10" s="1"/>
  <c r="AF40" i="10"/>
  <c r="AG34" i="10" s="1"/>
  <c r="AG37" i="10" s="1"/>
  <c r="AG38" i="10" l="1"/>
  <c r="AG42" i="10" s="1"/>
  <c r="AG16" i="10" s="1"/>
  <c r="AA20" i="6"/>
  <c r="AA24" i="6" s="1"/>
  <c r="AA21" i="5" s="1"/>
  <c r="AA22" i="5" s="1"/>
  <c r="AA23" i="5" l="1"/>
  <c r="AA24" i="5" s="1"/>
  <c r="AB17" i="5" s="1"/>
  <c r="AG40" i="10"/>
  <c r="AH34" i="10" s="1"/>
  <c r="AH37" i="10" s="1"/>
  <c r="AB20" i="6" l="1"/>
  <c r="AB24" i="6" s="1"/>
  <c r="AB21" i="5" s="1"/>
  <c r="AB22" i="5" s="1"/>
  <c r="AH38" i="10"/>
  <c r="AH42" i="10" s="1"/>
  <c r="AH16" i="10" s="1"/>
  <c r="AH40" i="10"/>
  <c r="AI34" i="10" s="1"/>
  <c r="AI37" i="10" s="1"/>
  <c r="AB23" i="5" l="1"/>
  <c r="AB24" i="5"/>
  <c r="AC17" i="5" s="1"/>
  <c r="AI38" i="10"/>
  <c r="AI39" i="10" l="1"/>
  <c r="AI40" i="10" s="1"/>
  <c r="AC20" i="6"/>
  <c r="AC24" i="6" s="1"/>
  <c r="AC21" i="5" s="1"/>
  <c r="AC22" i="5" s="1"/>
  <c r="AC23" i="5" l="1"/>
  <c r="AC24" i="5"/>
  <c r="AD17" i="5" s="1"/>
  <c r="AI42" i="10"/>
  <c r="AI16" i="10" s="1"/>
  <c r="AD20" i="6" l="1"/>
  <c r="AD24" i="6" s="1"/>
  <c r="AD21" i="5" s="1"/>
  <c r="AD22" i="5" s="1"/>
  <c r="AD23" i="5" l="1"/>
  <c r="AD24" i="5" s="1"/>
  <c r="AE17" i="5" s="1"/>
  <c r="AE20" i="6" l="1"/>
  <c r="AE24" i="6" s="1"/>
  <c r="AE21" i="5" s="1"/>
  <c r="AE22" i="5" s="1"/>
  <c r="AE23" i="5" l="1"/>
  <c r="AE24" i="5" s="1"/>
  <c r="AF17" i="5" s="1"/>
  <c r="AF20" i="6" l="1"/>
  <c r="AF24" i="6" s="1"/>
  <c r="AF21" i="5" s="1"/>
  <c r="AF22" i="5" s="1"/>
  <c r="AF23" i="5" l="1"/>
  <c r="AF24" i="5" s="1"/>
  <c r="AG17" i="5" s="1"/>
  <c r="AG20" i="6" l="1"/>
  <c r="AG24" i="6" s="1"/>
  <c r="AG21" i="5" s="1"/>
  <c r="AG22" i="5" s="1"/>
  <c r="AG23" i="5" l="1"/>
  <c r="AG24" i="5"/>
  <c r="AH17" i="5" s="1"/>
  <c r="AH20" i="6" l="1"/>
  <c r="AH24" i="6" s="1"/>
  <c r="AH21" i="5" s="1"/>
  <c r="AH22" i="5" s="1"/>
  <c r="AH23" i="5" l="1"/>
  <c r="AH24" i="5" s="1"/>
  <c r="AI17" i="5" s="1"/>
  <c r="AI20" i="6" l="1"/>
  <c r="AI24" i="6" s="1"/>
  <c r="AI21" i="5" s="1"/>
  <c r="AI22" i="5" s="1"/>
  <c r="AI23" i="5" l="1"/>
  <c r="AI24" i="5"/>
  <c r="AJ17" i="5" s="1"/>
  <c r="AJ20" i="6" l="1"/>
  <c r="AJ24" i="6" s="1"/>
  <c r="AJ21" i="5" s="1"/>
  <c r="AJ22" i="5" s="1"/>
  <c r="AJ23" i="5" l="1"/>
  <c r="AJ24" i="5"/>
  <c r="AK17" i="5" s="1"/>
  <c r="AK20" i="6" l="1"/>
  <c r="AK24" i="6" s="1"/>
  <c r="AK21" i="5" s="1"/>
  <c r="AK22" i="5" s="1"/>
  <c r="AK23" i="5" l="1"/>
  <c r="AK24" i="5" s="1"/>
  <c r="AL17" i="5" s="1"/>
  <c r="AL20" i="6" l="1"/>
  <c r="AL24" i="6" s="1"/>
  <c r="AL21" i="5" s="1"/>
  <c r="AL22" i="5" s="1"/>
  <c r="AL23" i="5" l="1"/>
  <c r="AL24" i="5"/>
  <c r="AM17" i="5" s="1"/>
  <c r="AM20" i="6" l="1"/>
  <c r="AM24" i="6" s="1"/>
  <c r="AM21" i="5" s="1"/>
  <c r="AM22" i="5" s="1"/>
  <c r="AM23" i="5" l="1"/>
  <c r="AM24" i="5" s="1"/>
  <c r="AN17" i="5" s="1"/>
  <c r="AN20" i="6" l="1"/>
  <c r="AN24" i="6" s="1"/>
  <c r="AN21" i="5" s="1"/>
  <c r="AN22" i="5" s="1"/>
  <c r="AN23" i="5" l="1"/>
  <c r="AN24" i="5" s="1"/>
  <c r="AO17" i="5" s="1"/>
  <c r="AO20" i="6" l="1"/>
  <c r="AO24" i="6" s="1"/>
  <c r="AO21" i="5" s="1"/>
  <c r="AO22" i="5" s="1"/>
  <c r="AO23" i="5" l="1"/>
  <c r="AO24" i="5" s="1"/>
  <c r="AP17" i="5" s="1"/>
  <c r="AP20" i="6" l="1"/>
  <c r="AP24" i="6" s="1"/>
  <c r="AP21" i="5" s="1"/>
  <c r="AP22" i="5" s="1"/>
  <c r="AP23" i="5" l="1"/>
  <c r="AP24" i="5" s="1"/>
  <c r="AQ17" i="5" s="1"/>
  <c r="AQ20" i="6" l="1"/>
  <c r="AQ24" i="6" s="1"/>
  <c r="AQ21" i="5" s="1"/>
  <c r="AQ22" i="5" s="1"/>
  <c r="AQ23" i="5" l="1"/>
  <c r="AQ24" i="5"/>
  <c r="AR17" i="5" s="1"/>
  <c r="AR20" i="6" l="1"/>
  <c r="AR24" i="6" s="1"/>
  <c r="AR21" i="5" s="1"/>
  <c r="AR22" i="5" s="1"/>
  <c r="AR23" i="5" l="1"/>
  <c r="AR24" i="5" s="1"/>
  <c r="AS17" i="5" s="1"/>
  <c r="AS20" i="6" l="1"/>
  <c r="AS24" i="6" s="1"/>
  <c r="AS21" i="5" s="1"/>
  <c r="AS22" i="5" s="1"/>
  <c r="AS23" i="5" l="1"/>
  <c r="AS24" i="5"/>
  <c r="AT17" i="5" s="1"/>
  <c r="AT20" i="6" l="1"/>
  <c r="AT24" i="6" s="1"/>
  <c r="AT21" i="5" s="1"/>
  <c r="AT22" i="5" s="1"/>
  <c r="AT23" i="5" l="1"/>
  <c r="AT24" i="5"/>
  <c r="AU17" i="5" s="1"/>
  <c r="AU20" i="6" l="1"/>
  <c r="AU24" i="6" s="1"/>
  <c r="AU21" i="5" s="1"/>
  <c r="AU22" i="5" s="1"/>
  <c r="AU23" i="5" l="1"/>
  <c r="AU24" i="5" s="1"/>
  <c r="AV17" i="5" s="1"/>
  <c r="AV20" i="6" l="1"/>
  <c r="AV24" i="6" s="1"/>
  <c r="AV21" i="5" s="1"/>
  <c r="AV22" i="5" s="1"/>
  <c r="AV23" i="5" l="1"/>
  <c r="AV24" i="5" s="1"/>
  <c r="AW17" i="5" s="1"/>
  <c r="AW20" i="6" l="1"/>
  <c r="AW24" i="6" s="1"/>
  <c r="AW21" i="5" s="1"/>
  <c r="AW22" i="5" s="1"/>
  <c r="AW23" i="5" l="1"/>
  <c r="AW24" i="5" s="1"/>
  <c r="AX17" i="5" s="1"/>
  <c r="AX20" i="6" l="1"/>
  <c r="AX24" i="6" s="1"/>
  <c r="AX21" i="5" s="1"/>
  <c r="AX22" i="5" s="1"/>
  <c r="AX23" i="5" l="1"/>
  <c r="K11" i="7" s="1"/>
  <c r="AS42" i="6" l="1"/>
  <c r="AE42" i="6"/>
  <c r="M42" i="6"/>
  <c r="AL41" i="6"/>
  <c r="W41" i="6"/>
  <c r="AK42" i="6"/>
  <c r="V42" i="6"/>
  <c r="AT41" i="6"/>
  <c r="AF41" i="6"/>
  <c r="N41" i="6"/>
  <c r="AP42" i="6"/>
  <c r="P41" i="6"/>
  <c r="AO42" i="6"/>
  <c r="AV41" i="6"/>
  <c r="O41" i="6"/>
  <c r="AI42" i="6"/>
  <c r="AS41" i="6"/>
  <c r="M41" i="6"/>
  <c r="AF42" i="6"/>
  <c r="AP41" i="6"/>
  <c r="X42" i="6"/>
  <c r="AH41" i="6"/>
  <c r="U42" i="6"/>
  <c r="AB41" i="6"/>
  <c r="Q42" i="6"/>
  <c r="Z41" i="6"/>
  <c r="X41" i="6"/>
  <c r="L41" i="6"/>
  <c r="AU42" i="6"/>
  <c r="AH42" i="6"/>
  <c r="W42" i="6"/>
  <c r="N42" i="6"/>
  <c r="AG41" i="6"/>
  <c r="AR41" i="6"/>
  <c r="AE41" i="6"/>
  <c r="R42" i="6"/>
  <c r="AK41" i="6"/>
  <c r="R41" i="6"/>
  <c r="AA42" i="6"/>
  <c r="AW42" i="6"/>
  <c r="AD42" i="6"/>
  <c r="AI41" i="6"/>
  <c r="AQ41" i="6"/>
  <c r="AR42" i="6"/>
  <c r="AN42" i="6"/>
  <c r="AQ42" i="6"/>
  <c r="AC42" i="6"/>
  <c r="K41" i="6"/>
  <c r="AM41" i="6"/>
  <c r="Q41" i="6"/>
  <c r="K42" i="6"/>
  <c r="AN41" i="6"/>
  <c r="AX41" i="6"/>
  <c r="AC41" i="6"/>
  <c r="Y41" i="6"/>
  <c r="Y42" i="6"/>
  <c r="AX42" i="6"/>
  <c r="AD41" i="6"/>
  <c r="AT42" i="6"/>
  <c r="O42" i="6"/>
  <c r="S41" i="6"/>
  <c r="AJ41" i="6"/>
  <c r="T41" i="6"/>
  <c r="AJ42" i="6"/>
  <c r="AG42" i="6"/>
  <c r="AV42" i="6"/>
  <c r="Z42" i="6"/>
  <c r="S42" i="6"/>
  <c r="V41" i="6"/>
  <c r="AL42" i="6"/>
  <c r="P42" i="6"/>
  <c r="AO41" i="6"/>
  <c r="AB42" i="6"/>
  <c r="AU41" i="6"/>
  <c r="L42" i="6"/>
  <c r="AM42" i="6"/>
  <c r="T42" i="6"/>
  <c r="U41" i="6"/>
  <c r="AW41" i="6"/>
  <c r="AA41" i="6"/>
  <c r="V39" i="6"/>
  <c r="V40" i="6"/>
  <c r="L40" i="6"/>
  <c r="N40" i="6"/>
  <c r="L39" i="6"/>
  <c r="N39" i="6"/>
  <c r="N43" i="6" s="1"/>
  <c r="O40" i="6"/>
  <c r="T40" i="6"/>
  <c r="T39" i="6"/>
  <c r="T43" i="6" s="1"/>
  <c r="O39" i="6"/>
  <c r="P40" i="6"/>
  <c r="M40" i="6"/>
  <c r="K39" i="6"/>
  <c r="R40" i="6"/>
  <c r="K40" i="6"/>
  <c r="X39" i="6"/>
  <c r="U39" i="6"/>
  <c r="R39" i="6"/>
  <c r="R43" i="6" s="1"/>
  <c r="S40" i="6"/>
  <c r="Q39" i="6"/>
  <c r="W39" i="6"/>
  <c r="P39" i="6"/>
  <c r="P43" i="6" s="1"/>
  <c r="X40" i="6"/>
  <c r="U40" i="6"/>
  <c r="S39" i="6"/>
  <c r="Q40" i="6"/>
  <c r="W40" i="6"/>
  <c r="M39" i="6"/>
  <c r="M43" i="6" s="1"/>
  <c r="Y39" i="6"/>
  <c r="Y43" i="6" s="1"/>
  <c r="Y40" i="6"/>
  <c r="Z40" i="6"/>
  <c r="Z39" i="6"/>
  <c r="AA40" i="6"/>
  <c r="AA39" i="6"/>
  <c r="AB40" i="6"/>
  <c r="AB39" i="6"/>
  <c r="AB43" i="6" s="1"/>
  <c r="AC39" i="6"/>
  <c r="AC40" i="6"/>
  <c r="AD39" i="6"/>
  <c r="AD43" i="6" s="1"/>
  <c r="AD40" i="6"/>
  <c r="AE39" i="6"/>
  <c r="AE40" i="6"/>
  <c r="AF40" i="6"/>
  <c r="AF39" i="6"/>
  <c r="AG40" i="6"/>
  <c r="AG39" i="6"/>
  <c r="AG43" i="6" s="1"/>
  <c r="AH39" i="6"/>
  <c r="AH40" i="6"/>
  <c r="AI40" i="6"/>
  <c r="AI39" i="6"/>
  <c r="AJ39" i="6"/>
  <c r="AJ40" i="6"/>
  <c r="AK40" i="6"/>
  <c r="AK39" i="6"/>
  <c r="AL40" i="6"/>
  <c r="AL39" i="6"/>
  <c r="AL43" i="6" s="1"/>
  <c r="AM39" i="6"/>
  <c r="AM40" i="6"/>
  <c r="AN39" i="6"/>
  <c r="AN43" i="6" s="1"/>
  <c r="AN40" i="6"/>
  <c r="AO40" i="6"/>
  <c r="AO39" i="6"/>
  <c r="AO43" i="6" s="1"/>
  <c r="AP39" i="6"/>
  <c r="AP40" i="6"/>
  <c r="AQ39" i="6"/>
  <c r="AQ40" i="6"/>
  <c r="AR39" i="6"/>
  <c r="AR40" i="6"/>
  <c r="AS39" i="6"/>
  <c r="AS43" i="6" s="1"/>
  <c r="AS40" i="6"/>
  <c r="AT39" i="6"/>
  <c r="AT40" i="6"/>
  <c r="AU40" i="6"/>
  <c r="AU39" i="6"/>
  <c r="AV39" i="6"/>
  <c r="AV40" i="6"/>
  <c r="AW39" i="6"/>
  <c r="AW40" i="6"/>
  <c r="AX39" i="6"/>
  <c r="AX43" i="6" s="1"/>
  <c r="AX40" i="6"/>
  <c r="AX24" i="5"/>
  <c r="AH43" i="6" l="1"/>
  <c r="AI43" i="6"/>
  <c r="Q43" i="6"/>
  <c r="O43" i="6"/>
  <c r="AM43" i="6"/>
  <c r="X43" i="6"/>
  <c r="AV43" i="6"/>
  <c r="S43" i="6"/>
  <c r="AK43" i="6"/>
  <c r="AA43" i="6"/>
  <c r="AP43" i="6"/>
  <c r="K18" i="10"/>
  <c r="K43" i="6"/>
  <c r="K44" i="6"/>
  <c r="AW43" i="6"/>
  <c r="AC43" i="6"/>
  <c r="AU43" i="6"/>
  <c r="AF43" i="6"/>
  <c r="Z43" i="6"/>
  <c r="AR43" i="6"/>
  <c r="U43" i="6"/>
  <c r="AQ43" i="6"/>
  <c r="L43" i="6"/>
  <c r="AT43" i="6"/>
  <c r="AJ43" i="6"/>
  <c r="AE43" i="6"/>
  <c r="W43" i="6"/>
  <c r="V43" i="6"/>
  <c r="K45" i="6" l="1"/>
  <c r="K46" i="6" l="1"/>
  <c r="L38" i="6" s="1"/>
  <c r="L44" i="6" l="1"/>
  <c r="L45" i="6" s="1"/>
  <c r="L46" i="6" l="1"/>
  <c r="M38" i="6" s="1"/>
  <c r="M44" i="6" l="1"/>
  <c r="M45" i="6"/>
  <c r="M46" i="6" l="1"/>
  <c r="N38" i="6" s="1"/>
  <c r="N44" i="6" l="1"/>
  <c r="N45" i="6"/>
  <c r="N46" i="6" l="1"/>
  <c r="O38" i="6" s="1"/>
  <c r="O44" i="6" l="1"/>
  <c r="O45" i="6"/>
  <c r="O46" i="6" l="1"/>
  <c r="P38" i="6" s="1"/>
  <c r="P44" i="6" l="1"/>
  <c r="P45" i="6" s="1"/>
  <c r="P46" i="6" s="1"/>
  <c r="Q38" i="6" s="1"/>
  <c r="Q44" i="6" l="1"/>
  <c r="Q45" i="6"/>
  <c r="Q46" i="6" s="1"/>
  <c r="R38" i="6" s="1"/>
  <c r="R44" i="6" l="1"/>
  <c r="R45" i="6"/>
  <c r="R46" i="6" s="1"/>
  <c r="S38" i="6" s="1"/>
  <c r="S44" i="6" l="1"/>
  <c r="S45" i="6"/>
  <c r="S46" i="6" s="1"/>
  <c r="T38" i="6" s="1"/>
  <c r="T44" i="6" l="1"/>
  <c r="T45" i="6"/>
  <c r="T46" i="6" s="1"/>
  <c r="U38" i="6" s="1"/>
  <c r="U44" i="6" l="1"/>
  <c r="U45" i="6"/>
  <c r="U46" i="6" s="1"/>
  <c r="V38" i="6" s="1"/>
  <c r="V44" i="6" l="1"/>
  <c r="V45" i="6"/>
  <c r="V46" i="6" s="1"/>
  <c r="W38" i="6" s="1"/>
  <c r="W44" i="6" l="1"/>
  <c r="W45" i="6"/>
  <c r="W46" i="6" s="1"/>
  <c r="X38" i="6" s="1"/>
  <c r="X44" i="6" l="1"/>
  <c r="X45" i="6"/>
  <c r="X46" i="6" s="1"/>
  <c r="Y38" i="6" s="1"/>
  <c r="Y44" i="6" l="1"/>
  <c r="Y45" i="6"/>
  <c r="Y46" i="6" s="1"/>
  <c r="Z38" i="6" s="1"/>
  <c r="Z44" i="6" l="1"/>
  <c r="Z45" i="6"/>
  <c r="Z46" i="6" s="1"/>
  <c r="AA38" i="6" s="1"/>
  <c r="AA44" i="6" l="1"/>
  <c r="AA45" i="6"/>
  <c r="AA46" i="6" s="1"/>
  <c r="AB38" i="6" s="1"/>
  <c r="AB44" i="6" l="1"/>
  <c r="AB45" i="6"/>
  <c r="AB46" i="6" s="1"/>
  <c r="AC38" i="6" s="1"/>
  <c r="AC44" i="6" l="1"/>
  <c r="AC45" i="6"/>
  <c r="AC46" i="6" s="1"/>
  <c r="AD38" i="6" s="1"/>
  <c r="AD44" i="6" l="1"/>
  <c r="AD45" i="6"/>
  <c r="AD46" i="6" s="1"/>
  <c r="AE38" i="6" s="1"/>
  <c r="AE44" i="6" l="1"/>
  <c r="AE45" i="6"/>
  <c r="AE46" i="6" s="1"/>
  <c r="AF38" i="6" s="1"/>
  <c r="AF44" i="6" l="1"/>
  <c r="AF45" i="6"/>
  <c r="AF46" i="6" s="1"/>
  <c r="AG38" i="6" s="1"/>
  <c r="AG44" i="6" l="1"/>
  <c r="AG45" i="6"/>
  <c r="AG46" i="6" s="1"/>
  <c r="AH38" i="6" s="1"/>
  <c r="AH44" i="6" l="1"/>
  <c r="AH45" i="6"/>
  <c r="AH46" i="6" s="1"/>
  <c r="AI38" i="6" s="1"/>
  <c r="AI44" i="6" l="1"/>
  <c r="AI45" i="6"/>
  <c r="AI46" i="6" s="1"/>
  <c r="AJ38" i="6" s="1"/>
  <c r="AJ44" i="6" l="1"/>
  <c r="AJ45" i="6"/>
  <c r="AJ46" i="6" s="1"/>
  <c r="AK38" i="6" s="1"/>
  <c r="AK44" i="6" l="1"/>
  <c r="AK45" i="6"/>
  <c r="AK46" i="6" s="1"/>
  <c r="AL38" i="6" s="1"/>
  <c r="AL44" i="6" l="1"/>
  <c r="AL45" i="6"/>
  <c r="AL46" i="6" s="1"/>
  <c r="AM38" i="6" s="1"/>
  <c r="AM44" i="6" l="1"/>
  <c r="AM45" i="6" s="1"/>
  <c r="AM46" i="6" s="1"/>
  <c r="AN38" i="6" s="1"/>
  <c r="AN44" i="6" l="1"/>
  <c r="AN45" i="6" s="1"/>
  <c r="AN46" i="6" s="1"/>
  <c r="AO38" i="6" s="1"/>
  <c r="AO44" i="6" l="1"/>
  <c r="AO45" i="6" s="1"/>
  <c r="AO46" i="6" s="1"/>
  <c r="AP38" i="6" s="1"/>
  <c r="AP44" i="6" l="1"/>
  <c r="AP45" i="6" s="1"/>
  <c r="AP46" i="6" s="1"/>
  <c r="AQ38" i="6" s="1"/>
  <c r="AQ44" i="6" l="1"/>
  <c r="AQ45" i="6" s="1"/>
  <c r="AQ46" i="6" s="1"/>
  <c r="AR38" i="6" s="1"/>
  <c r="AR44" i="6" l="1"/>
  <c r="AR45" i="6" s="1"/>
  <c r="AR46" i="6" s="1"/>
  <c r="AS38" i="6" s="1"/>
  <c r="AS44" i="6" l="1"/>
  <c r="AS45" i="6" s="1"/>
  <c r="AS46" i="6" s="1"/>
  <c r="AT38" i="6" s="1"/>
  <c r="AT44" i="6" l="1"/>
  <c r="AT45" i="6" s="1"/>
  <c r="AT46" i="6" s="1"/>
  <c r="AU38" i="6" s="1"/>
  <c r="AU44" i="6" l="1"/>
  <c r="AU45" i="6" s="1"/>
  <c r="AU46" i="6" s="1"/>
  <c r="AV38" i="6" s="1"/>
  <c r="AV44" i="6" l="1"/>
  <c r="AV45" i="6" s="1"/>
  <c r="AV46" i="6" s="1"/>
  <c r="AW38" i="6" s="1"/>
  <c r="AW44" i="6" l="1"/>
  <c r="AW45" i="6" s="1"/>
  <c r="AW46" i="6" s="1"/>
  <c r="AX38" i="6" s="1"/>
  <c r="AX44" i="6" l="1"/>
  <c r="AX45" i="6" l="1"/>
  <c r="AX46" i="6" l="1"/>
  <c r="K10" i="7"/>
  <c r="K12" i="7" s="1"/>
  <c r="K61" i="10" l="1"/>
  <c r="K34" i="7"/>
  <c r="K25" i="7"/>
  <c r="K11" i="8" l="1"/>
  <c r="K11" i="9"/>
  <c r="K14" i="7"/>
  <c r="K15" i="7" s="1"/>
  <c r="AF59" i="10"/>
  <c r="V59" i="10"/>
  <c r="L59" i="10"/>
  <c r="K63" i="10"/>
  <c r="L61" i="10" s="1"/>
  <c r="Y59" i="10"/>
  <c r="N59" i="10"/>
  <c r="AI59" i="10"/>
  <c r="X59" i="10"/>
  <c r="M59" i="10"/>
  <c r="AH59" i="10"/>
  <c r="W59" i="10"/>
  <c r="K59" i="10"/>
  <c r="K57" i="10" s="1"/>
  <c r="K62" i="10" s="1"/>
  <c r="AE59" i="10"/>
  <c r="Q59" i="10"/>
  <c r="AA59" i="10"/>
  <c r="R59" i="10"/>
  <c r="P59" i="10"/>
  <c r="AG59" i="10"/>
  <c r="O59" i="10"/>
  <c r="AD59" i="10"/>
  <c r="AC59" i="10"/>
  <c r="S59" i="10"/>
  <c r="AB59" i="10"/>
  <c r="Z59" i="10"/>
  <c r="U59" i="10"/>
  <c r="T59" i="10"/>
  <c r="K58" i="10"/>
  <c r="K17" i="10" s="1"/>
  <c r="K19" i="10" s="1"/>
  <c r="L58" i="10" l="1"/>
  <c r="L17" i="10" s="1"/>
  <c r="L19" i="10" s="1"/>
  <c r="L57" i="10"/>
  <c r="L62" i="10" s="1"/>
  <c r="L63" i="10" s="1"/>
  <c r="M61" i="10" s="1"/>
  <c r="K35" i="7"/>
  <c r="L9" i="7"/>
  <c r="L12" i="7" s="1"/>
  <c r="K17" i="7"/>
  <c r="K10" i="12"/>
  <c r="K10" i="11"/>
  <c r="M58" i="10" l="1"/>
  <c r="K38" i="7"/>
  <c r="K41" i="7" s="1"/>
  <c r="K12" i="9" s="1"/>
  <c r="K13" i="9" s="1"/>
  <c r="K28" i="9" s="1"/>
  <c r="K37" i="7"/>
  <c r="K40" i="7" s="1"/>
  <c r="K12" i="8" s="1"/>
  <c r="K13" i="8" s="1"/>
  <c r="K28" i="8" s="1"/>
  <c r="L10" i="12"/>
  <c r="L10" i="11"/>
  <c r="L34" i="7"/>
  <c r="L25" i="7"/>
  <c r="L11" i="9" l="1"/>
  <c r="L11" i="8"/>
  <c r="L14" i="7"/>
  <c r="L15" i="7" s="1"/>
  <c r="M17" i="10"/>
  <c r="M19" i="10" s="1"/>
  <c r="M57" i="10"/>
  <c r="M62" i="10" s="1"/>
  <c r="M63" i="10" s="1"/>
  <c r="N61" i="10" s="1"/>
  <c r="N58" i="10" l="1"/>
  <c r="M10" i="12"/>
  <c r="M10" i="11"/>
  <c r="M9" i="7"/>
  <c r="M12" i="7" s="1"/>
  <c r="L35" i="7"/>
  <c r="L17" i="7"/>
  <c r="L37" i="7" l="1"/>
  <c r="L40" i="7" s="1"/>
  <c r="L12" i="8" s="1"/>
  <c r="L13" i="8" s="1"/>
  <c r="L28" i="8" s="1"/>
  <c r="L38" i="7"/>
  <c r="L41" i="7" s="1"/>
  <c r="L12" i="9" s="1"/>
  <c r="L13" i="9" s="1"/>
  <c r="L28" i="9" s="1"/>
  <c r="M34" i="7"/>
  <c r="M25" i="7"/>
  <c r="N17" i="10"/>
  <c r="N19" i="10" s="1"/>
  <c r="N57" i="10"/>
  <c r="N62" i="10" s="1"/>
  <c r="N63" i="10" s="1"/>
  <c r="O61" i="10" s="1"/>
  <c r="N10" i="12" l="1"/>
  <c r="N10" i="11"/>
  <c r="O58" i="10"/>
  <c r="M11" i="9"/>
  <c r="M11" i="8"/>
  <c r="M14" i="7"/>
  <c r="M15" i="7" s="1"/>
  <c r="N9" i="7" l="1"/>
  <c r="N12" i="7" s="1"/>
  <c r="M35" i="7"/>
  <c r="M17" i="7"/>
  <c r="O17" i="10"/>
  <c r="O19" i="10" s="1"/>
  <c r="O57" i="10"/>
  <c r="O62" i="10" s="1"/>
  <c r="O63" i="10" s="1"/>
  <c r="P61" i="10" s="1"/>
  <c r="O10" i="11" l="1"/>
  <c r="O10" i="12"/>
  <c r="P58" i="10"/>
  <c r="M38" i="7"/>
  <c r="M41" i="7" s="1"/>
  <c r="M12" i="9" s="1"/>
  <c r="M13" i="9" s="1"/>
  <c r="M28" i="9" s="1"/>
  <c r="M37" i="7"/>
  <c r="M40" i="7" s="1"/>
  <c r="M12" i="8" s="1"/>
  <c r="M13" i="8" s="1"/>
  <c r="M28" i="8" s="1"/>
  <c r="N34" i="7"/>
  <c r="N25" i="7"/>
  <c r="P17" i="10" l="1"/>
  <c r="P19" i="10" s="1"/>
  <c r="P57" i="10"/>
  <c r="P62" i="10" s="1"/>
  <c r="P63" i="10" s="1"/>
  <c r="Q61" i="10" s="1"/>
  <c r="N11" i="8"/>
  <c r="N14" i="7"/>
  <c r="N15" i="7" s="1"/>
  <c r="N11" i="9"/>
  <c r="N35" i="7" l="1"/>
  <c r="O9" i="7"/>
  <c r="O12" i="7" s="1"/>
  <c r="N17" i="7"/>
  <c r="Q58" i="10"/>
  <c r="P10" i="12"/>
  <c r="P10" i="11"/>
  <c r="Q17" i="10" l="1"/>
  <c r="Q19" i="10" s="1"/>
  <c r="Q57" i="10"/>
  <c r="Q62" i="10" s="1"/>
  <c r="Q63" i="10" s="1"/>
  <c r="R61" i="10" s="1"/>
  <c r="O34" i="7"/>
  <c r="O25" i="7"/>
  <c r="N38" i="7"/>
  <c r="N41" i="7" s="1"/>
  <c r="N12" i="9" s="1"/>
  <c r="N13" i="9" s="1"/>
  <c r="N28" i="9" s="1"/>
  <c r="N37" i="7"/>
  <c r="N40" i="7" s="1"/>
  <c r="N12" i="8" s="1"/>
  <c r="N13" i="8" s="1"/>
  <c r="N28" i="8" s="1"/>
  <c r="R58" i="10" l="1"/>
  <c r="O11" i="8"/>
  <c r="O11" i="9"/>
  <c r="O14" i="7"/>
  <c r="O15" i="7" s="1"/>
  <c r="Q10" i="12"/>
  <c r="Q10" i="11"/>
  <c r="O35" i="7" l="1"/>
  <c r="P9" i="7"/>
  <c r="P12" i="7" s="1"/>
  <c r="O17" i="7"/>
  <c r="R17" i="10"/>
  <c r="R19" i="10" s="1"/>
  <c r="R57" i="10"/>
  <c r="R62" i="10" s="1"/>
  <c r="R63" i="10" s="1"/>
  <c r="S61" i="10" s="1"/>
  <c r="S58" i="10" l="1"/>
  <c r="P34" i="7"/>
  <c r="P25" i="7"/>
  <c r="R10" i="12"/>
  <c r="R10" i="11"/>
  <c r="O37" i="7"/>
  <c r="O40" i="7" s="1"/>
  <c r="O12" i="8" s="1"/>
  <c r="O13" i="8" s="1"/>
  <c r="O28" i="8" s="1"/>
  <c r="O38" i="7"/>
  <c r="O41" i="7" s="1"/>
  <c r="O12" i="9" s="1"/>
  <c r="O13" i="9" s="1"/>
  <c r="O28" i="9" s="1"/>
  <c r="P11" i="9" l="1"/>
  <c r="P11" i="8"/>
  <c r="P14" i="7"/>
  <c r="P15" i="7" s="1"/>
  <c r="S17" i="10"/>
  <c r="S19" i="10" s="1"/>
  <c r="S57" i="10"/>
  <c r="S62" i="10" s="1"/>
  <c r="S63" i="10" s="1"/>
  <c r="T61" i="10" s="1"/>
  <c r="T58" i="10" l="1"/>
  <c r="S10" i="12"/>
  <c r="S10" i="11"/>
  <c r="P35" i="7"/>
  <c r="Q9" i="7"/>
  <c r="Q12" i="7" s="1"/>
  <c r="P17" i="7"/>
  <c r="P38" i="7" l="1"/>
  <c r="P41" i="7" s="1"/>
  <c r="P12" i="9" s="1"/>
  <c r="P13" i="9" s="1"/>
  <c r="P28" i="9" s="1"/>
  <c r="P37" i="7"/>
  <c r="P40" i="7" s="1"/>
  <c r="P12" i="8" s="1"/>
  <c r="P13" i="8" s="1"/>
  <c r="P28" i="8" s="1"/>
  <c r="Q34" i="7"/>
  <c r="Q25" i="7"/>
  <c r="T17" i="10"/>
  <c r="T19" i="10" s="1"/>
  <c r="T57" i="10"/>
  <c r="T62" i="10" s="1"/>
  <c r="T63" i="10" s="1"/>
  <c r="U61" i="10" s="1"/>
  <c r="U58" i="10" l="1"/>
  <c r="T10" i="12"/>
  <c r="T10" i="11"/>
  <c r="Q11" i="9"/>
  <c r="Q14" i="7"/>
  <c r="Q15" i="7" s="1"/>
  <c r="Q11" i="8"/>
  <c r="U17" i="10" l="1"/>
  <c r="U19" i="10" s="1"/>
  <c r="U57" i="10"/>
  <c r="U62" i="10" s="1"/>
  <c r="U63" i="10" s="1"/>
  <c r="V61" i="10" s="1"/>
  <c r="Q35" i="7"/>
  <c r="R9" i="7"/>
  <c r="R12" i="7" s="1"/>
  <c r="Q17" i="7"/>
  <c r="V58" i="10" l="1"/>
  <c r="Q38" i="7"/>
  <c r="Q41" i="7" s="1"/>
  <c r="Q12" i="9" s="1"/>
  <c r="Q13" i="9" s="1"/>
  <c r="Q28" i="9" s="1"/>
  <c r="Q37" i="7"/>
  <c r="Q40" i="7" s="1"/>
  <c r="Q12" i="8" s="1"/>
  <c r="Q13" i="8" s="1"/>
  <c r="Q28" i="8" s="1"/>
  <c r="R34" i="7"/>
  <c r="R25" i="7"/>
  <c r="U10" i="12"/>
  <c r="U10" i="11"/>
  <c r="R11" i="9" l="1"/>
  <c r="R11" i="8"/>
  <c r="R14" i="7"/>
  <c r="R15" i="7" s="1"/>
  <c r="V17" i="10"/>
  <c r="V19" i="10" s="1"/>
  <c r="V57" i="10"/>
  <c r="V62" i="10" s="1"/>
  <c r="V63" i="10" s="1"/>
  <c r="W61" i="10" s="1"/>
  <c r="W58" i="10" l="1"/>
  <c r="V10" i="12"/>
  <c r="V10" i="11"/>
  <c r="S9" i="7"/>
  <c r="S12" i="7" s="1"/>
  <c r="R35" i="7"/>
  <c r="R17" i="7"/>
  <c r="S34" i="7" l="1"/>
  <c r="S25" i="7"/>
  <c r="R38" i="7"/>
  <c r="R41" i="7" s="1"/>
  <c r="R12" i="9" s="1"/>
  <c r="R13" i="9" s="1"/>
  <c r="R28" i="9" s="1"/>
  <c r="R37" i="7"/>
  <c r="R40" i="7" s="1"/>
  <c r="R12" i="8" s="1"/>
  <c r="R13" i="8" s="1"/>
  <c r="R28" i="8" s="1"/>
  <c r="W17" i="10"/>
  <c r="W19" i="10" s="1"/>
  <c r="W57" i="10"/>
  <c r="W62" i="10" s="1"/>
  <c r="W63" i="10" s="1"/>
  <c r="X61" i="10" s="1"/>
  <c r="W10" i="12" l="1"/>
  <c r="W10" i="11"/>
  <c r="X58" i="10"/>
  <c r="S11" i="9"/>
  <c r="S11" i="8"/>
  <c r="S14" i="7"/>
  <c r="S15" i="7" s="1"/>
  <c r="X17" i="10" l="1"/>
  <c r="X19" i="10" s="1"/>
  <c r="X57" i="10"/>
  <c r="X62" i="10" s="1"/>
  <c r="X63" i="10" s="1"/>
  <c r="Y61" i="10" s="1"/>
  <c r="T9" i="7"/>
  <c r="T12" i="7" s="1"/>
  <c r="S35" i="7"/>
  <c r="S17" i="7"/>
  <c r="S38" i="7" l="1"/>
  <c r="S41" i="7" s="1"/>
  <c r="S12" i="9" s="1"/>
  <c r="S13" i="9" s="1"/>
  <c r="S28" i="9" s="1"/>
  <c r="S37" i="7"/>
  <c r="S40" i="7" s="1"/>
  <c r="S12" i="8" s="1"/>
  <c r="S13" i="8" s="1"/>
  <c r="S28" i="8" s="1"/>
  <c r="T34" i="7"/>
  <c r="T25" i="7"/>
  <c r="X10" i="12"/>
  <c r="X10" i="11"/>
  <c r="Y58" i="10"/>
  <c r="Y17" i="10" l="1"/>
  <c r="Y19" i="10" s="1"/>
  <c r="Y57" i="10"/>
  <c r="Y62" i="10" s="1"/>
  <c r="Y63" i="10" s="1"/>
  <c r="Z61" i="10" s="1"/>
  <c r="T11" i="9"/>
  <c r="T11" i="8"/>
  <c r="T14" i="7"/>
  <c r="T15" i="7" s="1"/>
  <c r="U9" i="7" l="1"/>
  <c r="U12" i="7" s="1"/>
  <c r="T35" i="7"/>
  <c r="T17" i="7"/>
  <c r="Z58" i="10"/>
  <c r="Y10" i="11"/>
  <c r="Y10" i="12"/>
  <c r="U34" i="7" l="1"/>
  <c r="U25" i="7"/>
  <c r="Z17" i="10"/>
  <c r="Z19" i="10" s="1"/>
  <c r="Z57" i="10"/>
  <c r="Z62" i="10" s="1"/>
  <c r="Z63" i="10" s="1"/>
  <c r="AA61" i="10" s="1"/>
  <c r="T37" i="7"/>
  <c r="T40" i="7" s="1"/>
  <c r="T12" i="8" s="1"/>
  <c r="T13" i="8" s="1"/>
  <c r="T28" i="8" s="1"/>
  <c r="T38" i="7"/>
  <c r="T41" i="7" s="1"/>
  <c r="T12" i="9" s="1"/>
  <c r="T13" i="9" s="1"/>
  <c r="T28" i="9" s="1"/>
  <c r="Z10" i="12" l="1"/>
  <c r="Z10" i="11"/>
  <c r="AA58" i="10"/>
  <c r="U11" i="9"/>
  <c r="U11" i="8"/>
  <c r="U14" i="7"/>
  <c r="U15" i="7" s="1"/>
  <c r="U35" i="7" l="1"/>
  <c r="V9" i="7"/>
  <c r="V12" i="7" s="1"/>
  <c r="U17" i="7"/>
  <c r="AA17" i="10"/>
  <c r="AA19" i="10" s="1"/>
  <c r="AA57" i="10"/>
  <c r="AA62" i="10" s="1"/>
  <c r="AA63" i="10" s="1"/>
  <c r="AB61" i="10" s="1"/>
  <c r="AB58" i="10" l="1"/>
  <c r="AA10" i="12"/>
  <c r="AA10" i="11"/>
  <c r="V34" i="7"/>
  <c r="V25" i="7"/>
  <c r="U38" i="7"/>
  <c r="U41" i="7" s="1"/>
  <c r="U12" i="9" s="1"/>
  <c r="U13" i="9" s="1"/>
  <c r="U28" i="9" s="1"/>
  <c r="U37" i="7"/>
  <c r="U40" i="7" s="1"/>
  <c r="U12" i="8" s="1"/>
  <c r="U13" i="8" s="1"/>
  <c r="U28" i="8" s="1"/>
  <c r="V11" i="9" l="1"/>
  <c r="V14" i="7"/>
  <c r="V15" i="7" s="1"/>
  <c r="V11" i="8"/>
  <c r="AB17" i="10"/>
  <c r="AB19" i="10" s="1"/>
  <c r="AB57" i="10"/>
  <c r="AB62" i="10" s="1"/>
  <c r="AB63" i="10" s="1"/>
  <c r="AC61" i="10" s="1"/>
  <c r="AB10" i="12" l="1"/>
  <c r="AB10" i="11"/>
  <c r="W9" i="7"/>
  <c r="W12" i="7" s="1"/>
  <c r="V35" i="7"/>
  <c r="V17" i="7"/>
  <c r="AC58" i="10"/>
  <c r="AC17" i="10" l="1"/>
  <c r="AC19" i="10" s="1"/>
  <c r="AC57" i="10"/>
  <c r="AC62" i="10" s="1"/>
  <c r="AC63" i="10" s="1"/>
  <c r="AD61" i="10" s="1"/>
  <c r="V37" i="7"/>
  <c r="V40" i="7" s="1"/>
  <c r="V12" i="8" s="1"/>
  <c r="V13" i="8" s="1"/>
  <c r="V28" i="8" s="1"/>
  <c r="V38" i="7"/>
  <c r="V41" i="7" s="1"/>
  <c r="V12" i="9" s="1"/>
  <c r="V13" i="9" s="1"/>
  <c r="V28" i="9" s="1"/>
  <c r="W34" i="7"/>
  <c r="W25" i="7"/>
  <c r="W11" i="9" l="1"/>
  <c r="W11" i="8"/>
  <c r="W14" i="7"/>
  <c r="W15" i="7" s="1"/>
  <c r="AD58" i="10"/>
  <c r="AC10" i="12"/>
  <c r="AC10" i="11"/>
  <c r="AD17" i="10" l="1"/>
  <c r="AD19" i="10" s="1"/>
  <c r="AD57" i="10"/>
  <c r="AD62" i="10" s="1"/>
  <c r="AD63" i="10" s="1"/>
  <c r="AE61" i="10" s="1"/>
  <c r="X9" i="7"/>
  <c r="X12" i="7" s="1"/>
  <c r="W35" i="7"/>
  <c r="W17" i="7"/>
  <c r="W38" i="7" l="1"/>
  <c r="W41" i="7" s="1"/>
  <c r="W12" i="9" s="1"/>
  <c r="W13" i="9" s="1"/>
  <c r="W28" i="9" s="1"/>
  <c r="W37" i="7"/>
  <c r="W40" i="7" s="1"/>
  <c r="W12" i="8" s="1"/>
  <c r="W13" i="8" s="1"/>
  <c r="W28" i="8" s="1"/>
  <c r="AE58" i="10"/>
  <c r="X34" i="7"/>
  <c r="X25" i="7"/>
  <c r="AD10" i="12"/>
  <c r="AD10" i="11"/>
  <c r="X11" i="9" l="1"/>
  <c r="X14" i="7"/>
  <c r="X15" i="7" s="1"/>
  <c r="X11" i="8"/>
  <c r="AE17" i="10"/>
  <c r="AE19" i="10" s="1"/>
  <c r="AE57" i="10"/>
  <c r="AE62" i="10" s="1"/>
  <c r="AE63" i="10" s="1"/>
  <c r="AF61" i="10" s="1"/>
  <c r="AE10" i="12" l="1"/>
  <c r="AE10" i="11"/>
  <c r="X35" i="7"/>
  <c r="Y9" i="7"/>
  <c r="Y12" i="7" s="1"/>
  <c r="X17" i="7"/>
  <c r="AF58" i="10"/>
  <c r="Y34" i="7" l="1"/>
  <c r="Y25" i="7"/>
  <c r="AF17" i="10"/>
  <c r="AF19" i="10" s="1"/>
  <c r="AF57" i="10"/>
  <c r="AF62" i="10" s="1"/>
  <c r="AF63" i="10" s="1"/>
  <c r="AG61" i="10" s="1"/>
  <c r="X37" i="7"/>
  <c r="X40" i="7" s="1"/>
  <c r="X12" i="8" s="1"/>
  <c r="X13" i="8" s="1"/>
  <c r="X28" i="8" s="1"/>
  <c r="X38" i="7"/>
  <c r="X41" i="7" s="1"/>
  <c r="X12" i="9" s="1"/>
  <c r="X13" i="9" s="1"/>
  <c r="X28" i="9" s="1"/>
  <c r="AG58" i="10" l="1"/>
  <c r="AF10" i="12"/>
  <c r="AF10" i="11"/>
  <c r="Y11" i="8"/>
  <c r="Y11" i="9"/>
  <c r="Y14" i="7"/>
  <c r="Y15" i="7" s="1"/>
  <c r="Y35" i="7" l="1"/>
  <c r="Z9" i="7"/>
  <c r="Z12" i="7" s="1"/>
  <c r="Y17" i="7"/>
  <c r="AG17" i="10"/>
  <c r="AG19" i="10" s="1"/>
  <c r="AG57" i="10"/>
  <c r="AG62" i="10" s="1"/>
  <c r="AG63" i="10" s="1"/>
  <c r="AH61" i="10" s="1"/>
  <c r="AH58" i="10" l="1"/>
  <c r="AG10" i="12"/>
  <c r="AG10" i="11"/>
  <c r="Z34" i="7"/>
  <c r="Z25" i="7"/>
  <c r="Y38" i="7"/>
  <c r="Y41" i="7" s="1"/>
  <c r="Y12" i="9" s="1"/>
  <c r="Y13" i="9" s="1"/>
  <c r="Y28" i="9" s="1"/>
  <c r="Y37" i="7"/>
  <c r="Y40" i="7" s="1"/>
  <c r="Y12" i="8" s="1"/>
  <c r="Y13" i="8" s="1"/>
  <c r="Y28" i="8" s="1"/>
  <c r="Z14" i="7" l="1"/>
  <c r="Z15" i="7" s="1"/>
  <c r="Z11" i="8"/>
  <c r="Z11" i="9"/>
  <c r="AH17" i="10"/>
  <c r="AH19" i="10" s="1"/>
  <c r="AH57" i="10"/>
  <c r="AH62" i="10" s="1"/>
  <c r="AH63" i="10" s="1"/>
  <c r="AI61" i="10" s="1"/>
  <c r="AH10" i="12" l="1"/>
  <c r="AH10" i="11"/>
  <c r="AI62" i="10"/>
  <c r="AI63" i="10" s="1"/>
  <c r="AI58" i="10"/>
  <c r="Z35" i="7"/>
  <c r="AA9" i="7"/>
  <c r="AA12" i="7" s="1"/>
  <c r="Z17" i="7"/>
  <c r="Z37" i="7" l="1"/>
  <c r="Z40" i="7" s="1"/>
  <c r="Z12" i="8" s="1"/>
  <c r="Z13" i="8" s="1"/>
  <c r="Z28" i="8" s="1"/>
  <c r="Z38" i="7"/>
  <c r="Z41" i="7" s="1"/>
  <c r="Z12" i="9" s="1"/>
  <c r="Z13" i="9" s="1"/>
  <c r="Z28" i="9" s="1"/>
  <c r="AI17" i="10"/>
  <c r="AI19" i="10" s="1"/>
  <c r="AI57" i="10"/>
  <c r="AA34" i="7"/>
  <c r="AA25" i="7"/>
  <c r="AA11" i="8" l="1"/>
  <c r="AA14" i="7"/>
  <c r="AA15" i="7" s="1"/>
  <c r="AA11" i="9"/>
  <c r="AI10" i="11"/>
  <c r="AI10" i="12"/>
  <c r="AA35" i="7" l="1"/>
  <c r="AB9" i="7"/>
  <c r="AB12" i="7" s="1"/>
  <c r="AA17" i="7"/>
  <c r="AB34" i="7" l="1"/>
  <c r="AB25" i="7"/>
  <c r="AA37" i="7"/>
  <c r="AA40" i="7" s="1"/>
  <c r="AA12" i="8" s="1"/>
  <c r="AA13" i="8" s="1"/>
  <c r="AA28" i="8" s="1"/>
  <c r="AA38" i="7"/>
  <c r="AA41" i="7" s="1"/>
  <c r="AA12" i="9" s="1"/>
  <c r="AA13" i="9" s="1"/>
  <c r="AA28" i="9" s="1"/>
  <c r="AB11" i="9" l="1"/>
  <c r="AB14" i="7"/>
  <c r="AB15" i="7" s="1"/>
  <c r="AB11" i="8"/>
  <c r="AB35" i="7" l="1"/>
  <c r="AC9" i="7"/>
  <c r="AC12" i="7" s="1"/>
  <c r="AB17" i="7"/>
  <c r="AC34" i="7" l="1"/>
  <c r="AC25" i="7"/>
  <c r="AB38" i="7"/>
  <c r="AB41" i="7" s="1"/>
  <c r="AB12" i="9" s="1"/>
  <c r="AB13" i="9" s="1"/>
  <c r="AB28" i="9" s="1"/>
  <c r="AB37" i="7"/>
  <c r="AB40" i="7" s="1"/>
  <c r="AB12" i="8" s="1"/>
  <c r="AB13" i="8" s="1"/>
  <c r="AB28" i="8" s="1"/>
  <c r="AC11" i="8" l="1"/>
  <c r="AC14" i="7"/>
  <c r="AC15" i="7" s="1"/>
  <c r="AC11" i="9"/>
  <c r="AC35" i="7" l="1"/>
  <c r="AD9" i="7"/>
  <c r="AD12" i="7" s="1"/>
  <c r="AC17" i="7"/>
  <c r="AD34" i="7" l="1"/>
  <c r="AD25" i="7"/>
  <c r="AC38" i="7"/>
  <c r="AC41" i="7" s="1"/>
  <c r="AC12" i="9" s="1"/>
  <c r="AC13" i="9" s="1"/>
  <c r="AC28" i="9" s="1"/>
  <c r="AC37" i="7"/>
  <c r="AC40" i="7" s="1"/>
  <c r="AC12" i="8" s="1"/>
  <c r="AC13" i="8" s="1"/>
  <c r="AC28" i="8" s="1"/>
  <c r="AD11" i="9" l="1"/>
  <c r="AD11" i="8"/>
  <c r="AD14" i="7"/>
  <c r="AD15" i="7" s="1"/>
  <c r="AD35" i="7" l="1"/>
  <c r="AE9" i="7"/>
  <c r="AE12" i="7" s="1"/>
  <c r="AD17" i="7"/>
  <c r="AE34" i="7" l="1"/>
  <c r="AE25" i="7"/>
  <c r="AD37" i="7"/>
  <c r="AD40" i="7" s="1"/>
  <c r="AD12" i="8" s="1"/>
  <c r="AD13" i="8" s="1"/>
  <c r="AD28" i="8" s="1"/>
  <c r="AD38" i="7"/>
  <c r="AD41" i="7" s="1"/>
  <c r="AD12" i="9" s="1"/>
  <c r="AD13" i="9" s="1"/>
  <c r="AD28" i="9" s="1"/>
  <c r="AE11" i="9" l="1"/>
  <c r="AE14" i="7"/>
  <c r="AE15" i="7" s="1"/>
  <c r="AE11" i="8"/>
  <c r="AE35" i="7" l="1"/>
  <c r="AF9" i="7"/>
  <c r="AF12" i="7" s="1"/>
  <c r="AE17" i="7"/>
  <c r="AF34" i="7" l="1"/>
  <c r="AF25" i="7"/>
  <c r="AE38" i="7"/>
  <c r="AE41" i="7" s="1"/>
  <c r="AE12" i="9" s="1"/>
  <c r="AE13" i="9" s="1"/>
  <c r="AE28" i="9" s="1"/>
  <c r="AE37" i="7"/>
  <c r="AE40" i="7" s="1"/>
  <c r="AE12" i="8" s="1"/>
  <c r="AE13" i="8" s="1"/>
  <c r="AE28" i="8" s="1"/>
  <c r="AF11" i="9" l="1"/>
  <c r="AF11" i="8"/>
  <c r="AF14" i="7"/>
  <c r="AF15" i="7" s="1"/>
  <c r="AG9" i="7" l="1"/>
  <c r="AG12" i="7" s="1"/>
  <c r="AF35" i="7"/>
  <c r="AF17" i="7"/>
  <c r="AF38" i="7" l="1"/>
  <c r="AF41" i="7" s="1"/>
  <c r="AF12" i="9" s="1"/>
  <c r="AF13" i="9" s="1"/>
  <c r="AF28" i="9" s="1"/>
  <c r="AF37" i="7"/>
  <c r="AF40" i="7" s="1"/>
  <c r="AF12" i="8" s="1"/>
  <c r="AF13" i="8" s="1"/>
  <c r="AF28" i="8" s="1"/>
  <c r="AG34" i="7"/>
  <c r="AG25" i="7"/>
  <c r="AG11" i="9" l="1"/>
  <c r="AG11" i="8"/>
  <c r="AG14" i="7"/>
  <c r="AG15" i="7" s="1"/>
  <c r="AH9" i="7" l="1"/>
  <c r="AH12" i="7" s="1"/>
  <c r="AG35" i="7"/>
  <c r="AG17" i="7"/>
  <c r="AG38" i="7" l="1"/>
  <c r="AG41" i="7" s="1"/>
  <c r="AG12" i="9" s="1"/>
  <c r="AG13" i="9" s="1"/>
  <c r="AG28" i="9" s="1"/>
  <c r="AG37" i="7"/>
  <c r="AG40" i="7" s="1"/>
  <c r="AG12" i="8" s="1"/>
  <c r="AG13" i="8" s="1"/>
  <c r="AG28" i="8" s="1"/>
  <c r="AH34" i="7"/>
  <c r="AH25" i="7"/>
  <c r="AH11" i="9" l="1"/>
  <c r="AH11" i="8"/>
  <c r="AH14" i="7"/>
  <c r="AH15" i="7" s="1"/>
  <c r="AH35" i="7" l="1"/>
  <c r="AI9" i="7"/>
  <c r="AI12" i="7" s="1"/>
  <c r="AH17" i="7"/>
  <c r="AI34" i="7" l="1"/>
  <c r="AI25" i="7"/>
  <c r="AH38" i="7"/>
  <c r="AH41" i="7" s="1"/>
  <c r="AH12" i="9" s="1"/>
  <c r="AH13" i="9" s="1"/>
  <c r="AH28" i="9" s="1"/>
  <c r="AH37" i="7"/>
  <c r="AH40" i="7" s="1"/>
  <c r="AH12" i="8" s="1"/>
  <c r="AH13" i="8" s="1"/>
  <c r="AH28" i="8" s="1"/>
  <c r="AI11" i="8" l="1"/>
  <c r="AI11" i="9"/>
  <c r="AI14" i="7"/>
  <c r="AI15" i="7" s="1"/>
  <c r="I27" i="7"/>
  <c r="G39" i="1" s="1"/>
  <c r="AI35" i="7" l="1"/>
  <c r="AI17" i="7"/>
  <c r="AI38" i="7" l="1"/>
  <c r="AI41" i="7" s="1"/>
  <c r="AI12" i="9" s="1"/>
  <c r="AI13" i="9" s="1"/>
  <c r="AI28" i="9" s="1"/>
  <c r="I29" i="9" s="1"/>
  <c r="I33" i="9" s="1"/>
  <c r="AI37" i="7"/>
  <c r="AI40" i="7" s="1"/>
  <c r="AI12" i="8" s="1"/>
  <c r="AI13" i="8" s="1"/>
  <c r="AI28" i="8" s="1"/>
  <c r="I29" i="8" s="1"/>
  <c r="I33" i="8" s="1"/>
  <c r="I8" i="13" l="1"/>
  <c r="K34" i="8"/>
  <c r="K9" i="11" s="1"/>
  <c r="K11" i="11" s="1"/>
  <c r="M34" i="8"/>
  <c r="M9" i="11" s="1"/>
  <c r="M11" i="11" s="1"/>
  <c r="O34" i="8"/>
  <c r="O9" i="11" s="1"/>
  <c r="O11" i="11" s="1"/>
  <c r="L34" i="8"/>
  <c r="L9" i="11" s="1"/>
  <c r="L11" i="11" s="1"/>
  <c r="N34" i="8"/>
  <c r="N9" i="11" s="1"/>
  <c r="N11" i="11" s="1"/>
  <c r="P34" i="8"/>
  <c r="P9" i="11" s="1"/>
  <c r="P11" i="11" s="1"/>
  <c r="Q34" i="8"/>
  <c r="Q9" i="11" s="1"/>
  <c r="Q11" i="11" s="1"/>
  <c r="R34" i="8"/>
  <c r="R9" i="11" s="1"/>
  <c r="R11" i="11" s="1"/>
  <c r="S34" i="8"/>
  <c r="S9" i="11" s="1"/>
  <c r="S11" i="11" s="1"/>
  <c r="T34" i="8"/>
  <c r="T9" i="11" s="1"/>
  <c r="T11" i="11" s="1"/>
  <c r="U34" i="8"/>
  <c r="U9" i="11" s="1"/>
  <c r="U11" i="11" s="1"/>
  <c r="V34" i="8"/>
  <c r="V9" i="11" s="1"/>
  <c r="V11" i="11" s="1"/>
  <c r="W34" i="8"/>
  <c r="W9" i="11" s="1"/>
  <c r="W11" i="11" s="1"/>
  <c r="X34" i="8"/>
  <c r="X9" i="11" s="1"/>
  <c r="X11" i="11" s="1"/>
  <c r="Y34" i="8"/>
  <c r="Y9" i="11" s="1"/>
  <c r="Y11" i="11" s="1"/>
  <c r="Z34" i="8"/>
  <c r="Z9" i="11" s="1"/>
  <c r="Z11" i="11" s="1"/>
  <c r="AA34" i="8"/>
  <c r="AA9" i="11" s="1"/>
  <c r="AA11" i="11" s="1"/>
  <c r="AB34" i="8"/>
  <c r="AB9" i="11" s="1"/>
  <c r="AB11" i="11" s="1"/>
  <c r="AC34" i="8"/>
  <c r="AC9" i="11" s="1"/>
  <c r="AC11" i="11" s="1"/>
  <c r="AD34" i="8"/>
  <c r="AD9" i="11" s="1"/>
  <c r="AD11" i="11" s="1"/>
  <c r="AE34" i="8"/>
  <c r="AE9" i="11" s="1"/>
  <c r="AE11" i="11" s="1"/>
  <c r="AF34" i="8"/>
  <c r="AF9" i="11" s="1"/>
  <c r="AF11" i="11" s="1"/>
  <c r="AG34" i="8"/>
  <c r="AG9" i="11" s="1"/>
  <c r="AG11" i="11" s="1"/>
  <c r="AH34" i="8"/>
  <c r="AH9" i="11" s="1"/>
  <c r="AH11" i="11" s="1"/>
  <c r="AI34" i="8"/>
  <c r="AI9" i="11" s="1"/>
  <c r="AI11" i="11" s="1"/>
  <c r="I9" i="13"/>
  <c r="L34" i="9"/>
  <c r="L9" i="12" s="1"/>
  <c r="L11" i="12" s="1"/>
  <c r="K34" i="9"/>
  <c r="K9" i="12" s="1"/>
  <c r="K11" i="12" s="1"/>
  <c r="M34" i="9"/>
  <c r="M9" i="12" s="1"/>
  <c r="M11" i="12" s="1"/>
  <c r="N34" i="9"/>
  <c r="N9" i="12" s="1"/>
  <c r="N11" i="12" s="1"/>
  <c r="O34" i="9"/>
  <c r="O9" i="12" s="1"/>
  <c r="O11" i="12" s="1"/>
  <c r="P34" i="9"/>
  <c r="P9" i="12" s="1"/>
  <c r="P11" i="12" s="1"/>
  <c r="Q34" i="9"/>
  <c r="Q9" i="12" s="1"/>
  <c r="Q11" i="12" s="1"/>
  <c r="R34" i="9"/>
  <c r="R9" i="12" s="1"/>
  <c r="R11" i="12" s="1"/>
  <c r="S34" i="9"/>
  <c r="S9" i="12" s="1"/>
  <c r="S11" i="12" s="1"/>
  <c r="T34" i="9"/>
  <c r="T9" i="12" s="1"/>
  <c r="T11" i="12" s="1"/>
  <c r="U34" i="9"/>
  <c r="U9" i="12" s="1"/>
  <c r="U11" i="12" s="1"/>
  <c r="V34" i="9"/>
  <c r="V9" i="12" s="1"/>
  <c r="V11" i="12" s="1"/>
  <c r="W34" i="9"/>
  <c r="W9" i="12" s="1"/>
  <c r="W11" i="12" s="1"/>
  <c r="X34" i="9"/>
  <c r="X9" i="12" s="1"/>
  <c r="X11" i="12" s="1"/>
  <c r="Y34" i="9"/>
  <c r="Y9" i="12" s="1"/>
  <c r="Y11" i="12" s="1"/>
  <c r="Z34" i="9"/>
  <c r="Z9" i="12" s="1"/>
  <c r="Z11" i="12" s="1"/>
  <c r="AA34" i="9"/>
  <c r="AA9" i="12" s="1"/>
  <c r="AA11" i="12" s="1"/>
  <c r="AB34" i="9"/>
  <c r="AB9" i="12" s="1"/>
  <c r="AB11" i="12" s="1"/>
  <c r="AC34" i="9"/>
  <c r="AC9" i="12" s="1"/>
  <c r="AC11" i="12" s="1"/>
  <c r="AD34" i="9"/>
  <c r="AD9" i="12" s="1"/>
  <c r="AD11" i="12" s="1"/>
  <c r="AE34" i="9"/>
  <c r="AE9" i="12" s="1"/>
  <c r="AE11" i="12" s="1"/>
  <c r="AF34" i="9"/>
  <c r="AF9" i="12" s="1"/>
  <c r="AF11" i="12" s="1"/>
  <c r="AG34" i="9"/>
  <c r="AG9" i="12" s="1"/>
  <c r="AG11" i="12" s="1"/>
  <c r="AH34" i="9"/>
  <c r="AH9" i="12" s="1"/>
  <c r="AH11" i="12" s="1"/>
  <c r="AI34" i="9"/>
  <c r="AI9" i="12" s="1"/>
  <c r="AI11" i="12" s="1"/>
  <c r="AH16" i="12" l="1"/>
  <c r="AG16" i="12"/>
  <c r="W16" i="12"/>
  <c r="M16" i="12"/>
  <c r="M17" i="12"/>
  <c r="M22" i="12" s="1"/>
  <c r="M24" i="12" s="1"/>
  <c r="M28" i="12" s="1"/>
  <c r="M32" i="12" s="1"/>
  <c r="M35" i="12" s="1"/>
  <c r="AC16" i="11"/>
  <c r="S16" i="11"/>
  <c r="AF16" i="12"/>
  <c r="V16" i="12"/>
  <c r="K16" i="12"/>
  <c r="K17" i="12"/>
  <c r="K22" i="12" s="1"/>
  <c r="K24" i="12" s="1"/>
  <c r="K28" i="12" s="1"/>
  <c r="K32" i="12" s="1"/>
  <c r="K35" i="12" s="1"/>
  <c r="AB16" i="11"/>
  <c r="R16" i="11"/>
  <c r="AE16" i="12"/>
  <c r="L16" i="12"/>
  <c r="L22" i="12"/>
  <c r="L24" i="12" s="1"/>
  <c r="L28" i="12" s="1"/>
  <c r="L32" i="12" s="1"/>
  <c r="L35" i="12" s="1"/>
  <c r="L17" i="12"/>
  <c r="AA16" i="11"/>
  <c r="Q16" i="11"/>
  <c r="U16" i="12"/>
  <c r="AD16" i="12"/>
  <c r="T16" i="12"/>
  <c r="Z16" i="11"/>
  <c r="P16" i="11"/>
  <c r="AC16" i="12"/>
  <c r="S16" i="12"/>
  <c r="AI22" i="11"/>
  <c r="AI24" i="11" s="1"/>
  <c r="AI28" i="11" s="1"/>
  <c r="AI32" i="11" s="1"/>
  <c r="AI35" i="11" s="1"/>
  <c r="AI17" i="11"/>
  <c r="AI16" i="11"/>
  <c r="Y16" i="11"/>
  <c r="N16" i="11"/>
  <c r="R16" i="12"/>
  <c r="AH16" i="11"/>
  <c r="X16" i="11"/>
  <c r="L16" i="11"/>
  <c r="Q16" i="12"/>
  <c r="AG16" i="11"/>
  <c r="W16" i="11"/>
  <c r="O16" i="11"/>
  <c r="AA16" i="12"/>
  <c r="Z16" i="12"/>
  <c r="P16" i="12"/>
  <c r="AF16" i="11"/>
  <c r="V16" i="11"/>
  <c r="M16" i="11"/>
  <c r="AB16" i="12"/>
  <c r="AI16" i="12"/>
  <c r="AI22" i="12"/>
  <c r="AI24" i="12" s="1"/>
  <c r="AI28" i="12" s="1"/>
  <c r="AI32" i="12" s="1"/>
  <c r="AI35" i="12" s="1"/>
  <c r="AI17" i="12"/>
  <c r="Y16" i="12"/>
  <c r="O16" i="12"/>
  <c r="AE16" i="11"/>
  <c r="U16" i="11"/>
  <c r="K16" i="11"/>
  <c r="K17" i="11"/>
  <c r="K22" i="11" s="1"/>
  <c r="K24" i="11" s="1"/>
  <c r="K28" i="11" s="1"/>
  <c r="K32" i="11" s="1"/>
  <c r="K35" i="11" s="1"/>
  <c r="X16" i="12"/>
  <c r="N16" i="12"/>
  <c r="N17" i="12"/>
  <c r="N22" i="12" s="1"/>
  <c r="N24" i="12" s="1"/>
  <c r="N28" i="12" s="1"/>
  <c r="N32" i="12" s="1"/>
  <c r="N35" i="12" s="1"/>
  <c r="AD16" i="11"/>
  <c r="T16" i="11"/>
  <c r="K18" i="11" l="1"/>
  <c r="L15" i="11" s="1"/>
  <c r="K18" i="12"/>
  <c r="L15" i="12" s="1"/>
  <c r="L18" i="12" s="1"/>
  <c r="M15" i="12" s="1"/>
  <c r="M18" i="12" s="1"/>
  <c r="N15" i="12" s="1"/>
  <c r="N18" i="12" s="1"/>
  <c r="O15" i="12" s="1"/>
  <c r="O17" i="12" l="1"/>
  <c r="O22" i="12" s="1"/>
  <c r="O24" i="12" s="1"/>
  <c r="O28" i="12" s="1"/>
  <c r="O32" i="12" s="1"/>
  <c r="O35" i="12" s="1"/>
  <c r="L17" i="11"/>
  <c r="L22" i="11" s="1"/>
  <c r="L24" i="11" s="1"/>
  <c r="L28" i="11" s="1"/>
  <c r="L32" i="11" s="1"/>
  <c r="L35" i="11" s="1"/>
  <c r="L18" i="11" l="1"/>
  <c r="M15" i="11" s="1"/>
  <c r="O18" i="12"/>
  <c r="P15" i="12" s="1"/>
  <c r="P17" i="12" l="1"/>
  <c r="P22" i="12" s="1"/>
  <c r="P24" i="12" s="1"/>
  <c r="P28" i="12" s="1"/>
  <c r="P32" i="12" s="1"/>
  <c r="P35" i="12" s="1"/>
  <c r="M17" i="11"/>
  <c r="M22" i="11" s="1"/>
  <c r="M24" i="11" s="1"/>
  <c r="M28" i="11" s="1"/>
  <c r="M32" i="11" s="1"/>
  <c r="M35" i="11" s="1"/>
  <c r="M18" i="11" l="1"/>
  <c r="N15" i="11" s="1"/>
  <c r="P18" i="12"/>
  <c r="Q15" i="12" s="1"/>
  <c r="Q17" i="12" l="1"/>
  <c r="Q22" i="12" s="1"/>
  <c r="Q24" i="12" s="1"/>
  <c r="Q28" i="12" s="1"/>
  <c r="Q32" i="12" s="1"/>
  <c r="Q35" i="12" s="1"/>
  <c r="N17" i="11"/>
  <c r="N22" i="11" s="1"/>
  <c r="N24" i="11" s="1"/>
  <c r="N28" i="11" s="1"/>
  <c r="N32" i="11" s="1"/>
  <c r="N35" i="11" s="1"/>
  <c r="N18" i="11" l="1"/>
  <c r="O15" i="11" s="1"/>
  <c r="Q18" i="12"/>
  <c r="R15" i="12" s="1"/>
  <c r="R17" i="12" l="1"/>
  <c r="R22" i="12" s="1"/>
  <c r="R24" i="12" s="1"/>
  <c r="R28" i="12" s="1"/>
  <c r="R32" i="12" s="1"/>
  <c r="R35" i="12" s="1"/>
  <c r="O18" i="11"/>
  <c r="P15" i="11" s="1"/>
  <c r="O17" i="11"/>
  <c r="O22" i="11" s="1"/>
  <c r="O24" i="11" s="1"/>
  <c r="O28" i="11" s="1"/>
  <c r="O32" i="11" s="1"/>
  <c r="O35" i="11" s="1"/>
  <c r="P17" i="11" l="1"/>
  <c r="P22" i="11" s="1"/>
  <c r="P24" i="11" s="1"/>
  <c r="P28" i="11" s="1"/>
  <c r="P32" i="11" s="1"/>
  <c r="P35" i="11" s="1"/>
  <c r="R18" i="12"/>
  <c r="S15" i="12" s="1"/>
  <c r="S18" i="12" l="1"/>
  <c r="T15" i="12" s="1"/>
  <c r="S17" i="12"/>
  <c r="S22" i="12" s="1"/>
  <c r="S24" i="12" s="1"/>
  <c r="S28" i="12" s="1"/>
  <c r="S32" i="12" s="1"/>
  <c r="S35" i="12" s="1"/>
  <c r="P18" i="11"/>
  <c r="Q15" i="11" s="1"/>
  <c r="Q17" i="11" l="1"/>
  <c r="Q22" i="11" s="1"/>
  <c r="Q24" i="11" s="1"/>
  <c r="Q28" i="11" s="1"/>
  <c r="Q32" i="11" s="1"/>
  <c r="Q35" i="11" s="1"/>
  <c r="T17" i="12"/>
  <c r="T22" i="12" s="1"/>
  <c r="T24" i="12" s="1"/>
  <c r="T28" i="12" s="1"/>
  <c r="T32" i="12" s="1"/>
  <c r="T35" i="12" s="1"/>
  <c r="T18" i="12" l="1"/>
  <c r="U15" i="12" s="1"/>
  <c r="Q18" i="11"/>
  <c r="R15" i="11" s="1"/>
  <c r="R17" i="11" l="1"/>
  <c r="R22" i="11" s="1"/>
  <c r="R24" i="11" s="1"/>
  <c r="R28" i="11" s="1"/>
  <c r="R32" i="11" s="1"/>
  <c r="R35" i="11" s="1"/>
  <c r="U17" i="12"/>
  <c r="U22" i="12" s="1"/>
  <c r="U24" i="12" s="1"/>
  <c r="U28" i="12" s="1"/>
  <c r="U32" i="12" s="1"/>
  <c r="U35" i="12" s="1"/>
  <c r="U18" i="12" l="1"/>
  <c r="V15" i="12" s="1"/>
  <c r="R18" i="11"/>
  <c r="S15" i="11" s="1"/>
  <c r="S18" i="11" l="1"/>
  <c r="T15" i="11" s="1"/>
  <c r="S17" i="11"/>
  <c r="S22" i="11" s="1"/>
  <c r="S24" i="11" s="1"/>
  <c r="S28" i="11" s="1"/>
  <c r="S32" i="11" s="1"/>
  <c r="S35" i="11" s="1"/>
  <c r="V17" i="12"/>
  <c r="V22" i="12" s="1"/>
  <c r="V24" i="12" s="1"/>
  <c r="V28" i="12" s="1"/>
  <c r="V32" i="12" s="1"/>
  <c r="V35" i="12" s="1"/>
  <c r="V18" i="12" l="1"/>
  <c r="W15" i="12" s="1"/>
  <c r="T17" i="11"/>
  <c r="T22" i="11" s="1"/>
  <c r="T24" i="11" s="1"/>
  <c r="T28" i="11" s="1"/>
  <c r="T32" i="11" s="1"/>
  <c r="T35" i="11" s="1"/>
  <c r="T18" i="11" l="1"/>
  <c r="U15" i="11" s="1"/>
  <c r="W17" i="12"/>
  <c r="W22" i="12" s="1"/>
  <c r="W24" i="12" s="1"/>
  <c r="W28" i="12" s="1"/>
  <c r="W32" i="12" s="1"/>
  <c r="W35" i="12" s="1"/>
  <c r="W18" i="12" l="1"/>
  <c r="X15" i="12" s="1"/>
  <c r="U18" i="11"/>
  <c r="V15" i="11" s="1"/>
  <c r="U17" i="11"/>
  <c r="U22" i="11" s="1"/>
  <c r="U24" i="11" s="1"/>
  <c r="U28" i="11" s="1"/>
  <c r="U32" i="11" s="1"/>
  <c r="U35" i="11" s="1"/>
  <c r="V17" i="11" l="1"/>
  <c r="V22" i="11" s="1"/>
  <c r="V24" i="11" s="1"/>
  <c r="V28" i="11" s="1"/>
  <c r="V32" i="11" s="1"/>
  <c r="V35" i="11" s="1"/>
  <c r="X18" i="12"/>
  <c r="Y15" i="12" s="1"/>
  <c r="X17" i="12"/>
  <c r="X22" i="12" s="1"/>
  <c r="X24" i="12" s="1"/>
  <c r="X28" i="12" s="1"/>
  <c r="X32" i="12" s="1"/>
  <c r="X35" i="12" s="1"/>
  <c r="Y17" i="12" l="1"/>
  <c r="Y22" i="12" s="1"/>
  <c r="Y24" i="12" s="1"/>
  <c r="Y28" i="12" s="1"/>
  <c r="Y32" i="12" s="1"/>
  <c r="Y35" i="12" s="1"/>
  <c r="V18" i="11"/>
  <c r="W15" i="11" s="1"/>
  <c r="W17" i="11" l="1"/>
  <c r="W22" i="11" s="1"/>
  <c r="W24" i="11" s="1"/>
  <c r="W28" i="11" s="1"/>
  <c r="W32" i="11" s="1"/>
  <c r="W35" i="11" s="1"/>
  <c r="Y18" i="12"/>
  <c r="Z15" i="12" s="1"/>
  <c r="Z17" i="12" l="1"/>
  <c r="Z22" i="12" s="1"/>
  <c r="Z24" i="12" s="1"/>
  <c r="Z28" i="12" s="1"/>
  <c r="Z32" i="12" s="1"/>
  <c r="Z35" i="12" s="1"/>
  <c r="W18" i="11"/>
  <c r="X15" i="11" s="1"/>
  <c r="X18" i="11" l="1"/>
  <c r="Y15" i="11" s="1"/>
  <c r="X17" i="11"/>
  <c r="X22" i="11" s="1"/>
  <c r="X24" i="11" s="1"/>
  <c r="X28" i="11" s="1"/>
  <c r="X32" i="11" s="1"/>
  <c r="X35" i="11" s="1"/>
  <c r="Z18" i="12"/>
  <c r="AA15" i="12" s="1"/>
  <c r="AA17" i="12" l="1"/>
  <c r="AA22" i="12" s="1"/>
  <c r="AA24" i="12" s="1"/>
  <c r="AA28" i="12" s="1"/>
  <c r="AA32" i="12" s="1"/>
  <c r="AA35" i="12" s="1"/>
  <c r="Y17" i="11"/>
  <c r="Y22" i="11" s="1"/>
  <c r="Y24" i="11" s="1"/>
  <c r="Y28" i="11" s="1"/>
  <c r="Y32" i="11" s="1"/>
  <c r="Y35" i="11" s="1"/>
  <c r="Y18" i="11" l="1"/>
  <c r="Z15" i="11" s="1"/>
  <c r="AA18" i="12"/>
  <c r="AB15" i="12" s="1"/>
  <c r="AB17" i="12" l="1"/>
  <c r="AB22" i="12" s="1"/>
  <c r="AB24" i="12" s="1"/>
  <c r="AB28" i="12" s="1"/>
  <c r="AB32" i="12" s="1"/>
  <c r="AB35" i="12" s="1"/>
  <c r="Z18" i="11"/>
  <c r="AA15" i="11" s="1"/>
  <c r="Z17" i="11"/>
  <c r="Z22" i="11" s="1"/>
  <c r="Z24" i="11" s="1"/>
  <c r="Z28" i="11" s="1"/>
  <c r="Z32" i="11" s="1"/>
  <c r="Z35" i="11" s="1"/>
  <c r="AA17" i="11" l="1"/>
  <c r="AA22" i="11" s="1"/>
  <c r="AA24" i="11" s="1"/>
  <c r="AA28" i="11" s="1"/>
  <c r="AA32" i="11" s="1"/>
  <c r="AA35" i="11" s="1"/>
  <c r="AB18" i="12"/>
  <c r="AC15" i="12" s="1"/>
  <c r="AC18" i="12" l="1"/>
  <c r="AD15" i="12" s="1"/>
  <c r="AC17" i="12"/>
  <c r="AC22" i="12" s="1"/>
  <c r="AC24" i="12" s="1"/>
  <c r="AC28" i="12" s="1"/>
  <c r="AC32" i="12" s="1"/>
  <c r="AC35" i="12" s="1"/>
  <c r="AA18" i="11"/>
  <c r="AB15" i="11" s="1"/>
  <c r="AB17" i="11" l="1"/>
  <c r="AB22" i="11" s="1"/>
  <c r="AB24" i="11" s="1"/>
  <c r="AB28" i="11" s="1"/>
  <c r="AB32" i="11" s="1"/>
  <c r="AB35" i="11" s="1"/>
  <c r="AD17" i="12"/>
  <c r="AD22" i="12" s="1"/>
  <c r="AD24" i="12" s="1"/>
  <c r="AD28" i="12" s="1"/>
  <c r="AD32" i="12" s="1"/>
  <c r="AD35" i="12" s="1"/>
  <c r="AD18" i="12" l="1"/>
  <c r="AE15" i="12" s="1"/>
  <c r="AB18" i="11"/>
  <c r="AC15" i="11" s="1"/>
  <c r="AC17" i="11" l="1"/>
  <c r="AC22" i="11" s="1"/>
  <c r="AC24" i="11" s="1"/>
  <c r="AC28" i="11" s="1"/>
  <c r="AC32" i="11" s="1"/>
  <c r="AC35" i="11" s="1"/>
  <c r="AE17" i="12"/>
  <c r="AE22" i="12" s="1"/>
  <c r="AE24" i="12" s="1"/>
  <c r="AE28" i="12" s="1"/>
  <c r="AE32" i="12" s="1"/>
  <c r="AE35" i="12" s="1"/>
  <c r="AE18" i="12" l="1"/>
  <c r="AF15" i="12" s="1"/>
  <c r="AC18" i="11"/>
  <c r="AD15" i="11" s="1"/>
  <c r="AD17" i="11" l="1"/>
  <c r="AD22" i="11" s="1"/>
  <c r="AD24" i="11" s="1"/>
  <c r="AD28" i="11" s="1"/>
  <c r="AD32" i="11" s="1"/>
  <c r="AD35" i="11" s="1"/>
  <c r="AF18" i="12"/>
  <c r="AG15" i="12" s="1"/>
  <c r="AF17" i="12"/>
  <c r="AF22" i="12" s="1"/>
  <c r="AF24" i="12" s="1"/>
  <c r="AF28" i="12" s="1"/>
  <c r="AF32" i="12" s="1"/>
  <c r="AF35" i="12" s="1"/>
  <c r="AG17" i="12" l="1"/>
  <c r="AG22" i="12" s="1"/>
  <c r="AG24" i="12" s="1"/>
  <c r="AG28" i="12" s="1"/>
  <c r="AG32" i="12" s="1"/>
  <c r="AG35" i="12" s="1"/>
  <c r="AD18" i="11"/>
  <c r="AE15" i="11" s="1"/>
  <c r="AE17" i="11" l="1"/>
  <c r="AE22" i="11" s="1"/>
  <c r="AE24" i="11" s="1"/>
  <c r="AE28" i="11" s="1"/>
  <c r="AE32" i="11" s="1"/>
  <c r="AE35" i="11" s="1"/>
  <c r="AG18" i="12"/>
  <c r="AH15" i="12" s="1"/>
  <c r="AH18" i="12" l="1"/>
  <c r="AI15" i="12" s="1"/>
  <c r="AI18" i="12" s="1"/>
  <c r="AH17" i="12"/>
  <c r="AH22" i="12" s="1"/>
  <c r="AH24" i="12" s="1"/>
  <c r="AH28" i="12" s="1"/>
  <c r="AH32" i="12" s="1"/>
  <c r="AH35" i="12" s="1"/>
  <c r="I36" i="12" s="1"/>
  <c r="I40" i="12" s="1"/>
  <c r="I12" i="13" s="1"/>
  <c r="I18" i="13" s="1"/>
  <c r="I24" i="13" s="1"/>
  <c r="AE18" i="11"/>
  <c r="AF15" i="11" s="1"/>
  <c r="AF17" i="11" l="1"/>
  <c r="AF22" i="11" s="1"/>
  <c r="AF24" i="11" s="1"/>
  <c r="AF28" i="11" s="1"/>
  <c r="AF32" i="11" s="1"/>
  <c r="AF35" i="11" s="1"/>
  <c r="AF18" i="11" l="1"/>
  <c r="AG15" i="11" s="1"/>
  <c r="AG17" i="11" l="1"/>
  <c r="AG22" i="11" s="1"/>
  <c r="AG24" i="11" s="1"/>
  <c r="AG28" i="11" s="1"/>
  <c r="AG32" i="11" s="1"/>
  <c r="AG35" i="11" s="1"/>
  <c r="AG18" i="11" l="1"/>
  <c r="AH15" i="11" s="1"/>
  <c r="AH17" i="11" l="1"/>
  <c r="AH22" i="11" s="1"/>
  <c r="AH24" i="11" s="1"/>
  <c r="AH28" i="11" s="1"/>
  <c r="AH32" i="11" s="1"/>
  <c r="AH35" i="11" s="1"/>
  <c r="I36" i="11" s="1"/>
  <c r="I40" i="11" s="1"/>
  <c r="I11" i="13" s="1"/>
  <c r="I17" i="13" s="1"/>
  <c r="I23" i="13" s="1"/>
  <c r="AH18" i="11" l="1"/>
  <c r="AI15" i="11" s="1"/>
  <c r="AI18" i="11" s="1"/>
</calcChain>
</file>

<file path=xl/sharedStrings.xml><?xml version="1.0" encoding="utf-8"?>
<sst xmlns="http://schemas.openxmlformats.org/spreadsheetml/2006/main" count="846" uniqueCount="331">
  <si>
    <t>Cap and Floor Financial Model 1 (CFFM1)</t>
  </si>
  <si>
    <t>Regime design model</t>
  </si>
  <si>
    <t>DISCLAIMER: In the event of any inconsistency between this model and the licence, licence conditions take precedence.</t>
  </si>
  <si>
    <t>For guidance on the use of the CFFM1, please refer to the CFFM1 Handbook (CFFM1H)</t>
  </si>
  <si>
    <t>Model key</t>
  </si>
  <si>
    <t>Sample</t>
  </si>
  <si>
    <t>Calculated value</t>
  </si>
  <si>
    <t>Formula changes in cells to the right</t>
  </si>
  <si>
    <t>Import from other sheet</t>
  </si>
  <si>
    <t>Export to other sheet</t>
  </si>
  <si>
    <t>Import from &amp; export to other sheet</t>
  </si>
  <si>
    <t>Initial input</t>
  </si>
  <si>
    <t>Initial input for non-GB indexed portion (to be left empty if GB-indexed only)</t>
  </si>
  <si>
    <t>Updated input</t>
  </si>
  <si>
    <t>Notes and instructions</t>
  </si>
  <si>
    <t>Cell intentionally blank</t>
  </si>
  <si>
    <t>Contents</t>
  </si>
  <si>
    <t>Cover</t>
  </si>
  <si>
    <t>Model key and content directory</t>
  </si>
  <si>
    <t>Version Control</t>
  </si>
  <si>
    <t>Version control and log of changes</t>
  </si>
  <si>
    <t>Inputs</t>
  </si>
  <si>
    <t>Input data</t>
  </si>
  <si>
    <t>Data Sources</t>
  </si>
  <si>
    <t>Sources of input data</t>
  </si>
  <si>
    <t>Pre Op RAV</t>
  </si>
  <si>
    <t>Pre-operational RAV balances</t>
  </si>
  <si>
    <t>Finance</t>
  </si>
  <si>
    <t>Interest during construction and transaction costs</t>
  </si>
  <si>
    <t>Op RAV</t>
  </si>
  <si>
    <t>Operational RAV balances, return on RAV and RAV depreciation</t>
  </si>
  <si>
    <t>Allowances Cap</t>
  </si>
  <si>
    <t>Cap allowances (excluding tax) and annuitisation</t>
  </si>
  <si>
    <t>Allowances Floor</t>
  </si>
  <si>
    <t>Floor allowances (excluding tax) and annuitisation</t>
  </si>
  <si>
    <t>Tax Deductions</t>
  </si>
  <si>
    <t>Tax calculations</t>
  </si>
  <si>
    <t>Tax Cap</t>
  </si>
  <si>
    <t>Tax allowances at cap and annuitisation</t>
  </si>
  <si>
    <t>Tax Floor</t>
  </si>
  <si>
    <t>Tax allowances at floor and annuitisation</t>
  </si>
  <si>
    <t>Cap Floor Levels</t>
  </si>
  <si>
    <t>Cap and Floor values</t>
  </si>
  <si>
    <t>Checks</t>
  </si>
  <si>
    <t>Depreciation</t>
  </si>
  <si>
    <t>End of sheet</t>
  </si>
  <si>
    <t>Version number</t>
  </si>
  <si>
    <t>File pathname</t>
  </si>
  <si>
    <t>Based on version</t>
  </si>
  <si>
    <t>Author or editor</t>
  </si>
  <si>
    <t>Date</t>
  </si>
  <si>
    <t>Description of changes</t>
  </si>
  <si>
    <t>Rationale for changes</t>
  </si>
  <si>
    <t>Location of changes</t>
  </si>
  <si>
    <t>Impact of changes on outputs</t>
  </si>
  <si>
    <t>Quality assurance performed? By?</t>
  </si>
  <si>
    <t>Comments on QA performed</t>
  </si>
  <si>
    <t>link</t>
  </si>
  <si>
    <t>N/a</t>
  </si>
  <si>
    <t>Andrew Stone &amp; Neill Aitken (NGV)</t>
  </si>
  <si>
    <t>Internal (ORE) and external (BDO)</t>
  </si>
  <si>
    <t>Comments reflected in version 1.1</t>
  </si>
  <si>
    <t>Martin Namor</t>
  </si>
  <si>
    <t>CFFM split into CFFM1 (up to PCR) &amp; CFFM2 (operations)</t>
  </si>
  <si>
    <t>Simplification and standardisation</t>
  </si>
  <si>
    <t>Throughout the model</t>
  </si>
  <si>
    <t>No impact</t>
  </si>
  <si>
    <t>Internal (ORE - Svitlana Voronkova)</t>
  </si>
  <si>
    <t>Comments reflected in version 2.2</t>
  </si>
  <si>
    <t>Minor changes</t>
  </si>
  <si>
    <t>Reflecting comments from QA and tidying up</t>
  </si>
  <si>
    <t>Further comments reflected in version 2.2</t>
  </si>
  <si>
    <t>Minor changes to three formulas</t>
  </si>
  <si>
    <t>Allowing all construction costs to be transferred into the operational RAV; simplifying formulas used to calculate IDC</t>
  </si>
  <si>
    <t>Inputs sheet and Finance sheet</t>
  </si>
  <si>
    <t>Potential small impact if construction costs are incurred in the period after the period in which operations start</t>
  </si>
  <si>
    <t>Comments reflected in version 2.3</t>
  </si>
  <si>
    <t xml:space="preserve">Vanessa Simpson &amp; Neill Aitken (NGV) </t>
  </si>
  <si>
    <t>All Nemo input parameters replaced with IFA2 input parameters to generate C + F levels for IFA2 Project.</t>
  </si>
  <si>
    <t>Implementing the regime for IFA2</t>
  </si>
  <si>
    <t>Multiple sheets</t>
  </si>
  <si>
    <t>Medium</t>
  </si>
  <si>
    <t>Internal (ORE - Rahmatullah Kawsary)</t>
  </si>
  <si>
    <t>Comments reflected in version 2.4</t>
  </si>
  <si>
    <t>Licence</t>
  </si>
  <si>
    <t>Parameter</t>
  </si>
  <si>
    <t>Units</t>
  </si>
  <si>
    <t>Terminology</t>
  </si>
  <si>
    <t>Constant</t>
  </si>
  <si>
    <t>Annual values</t>
  </si>
  <si>
    <t>Indexation, currency and base year price term</t>
  </si>
  <si>
    <t>GB indexed portion of interconnector</t>
  </si>
  <si>
    <t>choice %</t>
  </si>
  <si>
    <t>Non-GB indexed portion of interconnector</t>
  </si>
  <si>
    <t>%</t>
  </si>
  <si>
    <t>Currency of cost inputs</t>
  </si>
  <si>
    <t>choice</t>
  </si>
  <si>
    <t>£</t>
  </si>
  <si>
    <t>Base year price term</t>
  </si>
  <si>
    <t>£m 2024 CPIH prices</t>
  </si>
  <si>
    <t>Variables set after financial close</t>
  </si>
  <si>
    <t>Actual values</t>
  </si>
  <si>
    <t>Year commencing</t>
  </si>
  <si>
    <t>Year ending</t>
  </si>
  <si>
    <t>Development costs</t>
  </si>
  <si>
    <t>Capex</t>
  </si>
  <si>
    <t>Spares</t>
  </si>
  <si>
    <t>Base year CPIH L522</t>
  </si>
  <si>
    <t>Jan 2015 = 100</t>
  </si>
  <si>
    <t>UK CPIH L522 2024</t>
  </si>
  <si>
    <t>Average UK CPIH L522</t>
  </si>
  <si>
    <t>UK CPIH L522 t</t>
  </si>
  <si>
    <t>Indexation factor</t>
  </si>
  <si>
    <t>CPIHt</t>
  </si>
  <si>
    <t>Ex-ante allowances for the operational period</t>
  </si>
  <si>
    <t>Operational Year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</si>
  <si>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</si>
  <si>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</si>
  <si>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</si>
  <si>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</si>
  <si>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</si>
  <si>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</si>
  <si>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</si>
  <si>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</si>
  <si>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</si>
  <si>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</si>
  <si>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</si>
  <si>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</si>
  <si>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</si>
  <si>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</si>
  <si>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</si>
  <si>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</si>
  <si>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</si>
  <si>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</si>
  <si>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</si>
  <si>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</si>
  <si>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Year 21</t>
  </si>
  <si>
    <t>Year 22</t>
  </si>
  <si>
    <t>Year 23</t>
  </si>
  <si>
    <t>Year 24</t>
  </si>
  <si>
    <t>Year 25</t>
  </si>
  <si>
    <t>Replacement Capex</t>
  </si>
  <si>
    <t>£m 19/20 prices</t>
  </si>
  <si>
    <t>Decommissioning baseline</t>
  </si>
  <si>
    <t>Controllable Opex</t>
  </si>
  <si>
    <t>Non-controllable Opex baseline</t>
  </si>
  <si>
    <t>2019/20 CPIH L522</t>
  </si>
  <si>
    <t>UK CPIH L522 2019/20</t>
  </si>
  <si>
    <t>Indexation conversion from 19/20 to 2024 CPIH terms</t>
  </si>
  <si>
    <t>Variables set at financial close</t>
  </si>
  <si>
    <t>Cap return rate</t>
  </si>
  <si>
    <t>real annual %</t>
  </si>
  <si>
    <t>Floor return rate</t>
  </si>
  <si>
    <t>Interest during construction (IDC) rate</t>
  </si>
  <si>
    <t>Cost of debt (for tax)</t>
  </si>
  <si>
    <t>Pre-operational notional gearing</t>
  </si>
  <si>
    <t>Operational notional gearing</t>
  </si>
  <si>
    <t>Equity transaction costs</t>
  </si>
  <si>
    <t>Debt transaction costs</t>
  </si>
  <si>
    <t>Model operation</t>
  </si>
  <si>
    <t>Note: changes in these variables may require structural changes to the model.</t>
  </si>
  <si>
    <t>Model start date</t>
  </si>
  <si>
    <t>date</t>
  </si>
  <si>
    <t>Regime start date</t>
  </si>
  <si>
    <t>End date for IDC</t>
  </si>
  <si>
    <t>Start of operations</t>
  </si>
  <si>
    <t>Regime end date</t>
  </si>
  <si>
    <t>Number of operational years</t>
  </si>
  <si>
    <t>full years</t>
  </si>
  <si>
    <t>Days in year</t>
  </si>
  <si>
    <t>days</t>
  </si>
  <si>
    <t>IDC flag</t>
  </si>
  <si>
    <t>flag</t>
  </si>
  <si>
    <t>Post-IDC and pre-operations flag</t>
  </si>
  <si>
    <t>Operations flag</t>
  </si>
  <si>
    <t>Transfer construction to operations flag</t>
  </si>
  <si>
    <t>`</t>
  </si>
  <si>
    <t>Initial transaction costs flag</t>
  </si>
  <si>
    <t>Tax - Financial years</t>
  </si>
  <si>
    <t>Long-term expected UK CPIH inflation</t>
  </si>
  <si>
    <t>UK CPIH uplift from 2024 term</t>
  </si>
  <si>
    <t>scalar</t>
  </si>
  <si>
    <t>Tax - Operational years</t>
  </si>
  <si>
    <t>Corporation tax rate</t>
  </si>
  <si>
    <t>Capital allowance rate (declining balance)</t>
  </si>
  <si>
    <t>Start of price base year</t>
  </si>
  <si>
    <t>End of price base year</t>
  </si>
  <si>
    <t>UK CPIH uplift to start of regime</t>
  </si>
  <si>
    <t>Tax - Annuity</t>
  </si>
  <si>
    <t>Tax element of Cap and Floor annuity previously calculated and fixed</t>
  </si>
  <si>
    <t>No</t>
  </si>
  <si>
    <t>Reference row in</t>
  </si>
  <si>
    <t>Inputs sheet</t>
  </si>
  <si>
    <t>Source</t>
  </si>
  <si>
    <t>Link</t>
  </si>
  <si>
    <t>IFA2 licence - Special conditions - Schedule 1</t>
  </si>
  <si>
    <t>Post Construction Review (PCR) decision</t>
  </si>
  <si>
    <t>Office for National Statistics</t>
  </si>
  <si>
    <t>RPI All Items Index: Jan 1987=100</t>
  </si>
  <si>
    <t>IFA2 Cap and Floor Financial Model 1 Handbook (IFA2CFFM1H)</t>
  </si>
  <si>
    <t>Flags</t>
  </si>
  <si>
    <t>RAV</t>
  </si>
  <si>
    <t>Pre-operational</t>
  </si>
  <si>
    <t>Opening pre-operational RAV (before transfers)</t>
  </si>
  <si>
    <t>Closing pre-operational RAV (after IDC)</t>
  </si>
  <si>
    <t>Pre-operational RAV transfers</t>
  </si>
  <si>
    <t>Closing pre-operational RAV (after IDC) - adjusted for RAV transfers</t>
  </si>
  <si>
    <t>Pre-operational interest during construction</t>
  </si>
  <si>
    <t>Interest during construction rate</t>
  </si>
  <si>
    <t>Capitalised interest during construction</t>
  </si>
  <si>
    <t>Transaction costs</t>
  </si>
  <si>
    <t>Parameters</t>
  </si>
  <si>
    <t>Allowance</t>
  </si>
  <si>
    <t>Transaction costs - opening</t>
  </si>
  <si>
    <t>Initial debt transaction costs</t>
  </si>
  <si>
    <t>Initial equity transaction costs</t>
  </si>
  <si>
    <t>Final debt transaction costs</t>
  </si>
  <si>
    <t>Final equity transaction costs</t>
  </si>
  <si>
    <t>Transaction costs - annual movement</t>
  </si>
  <si>
    <t>Capitalised IDC on transaction costs</t>
  </si>
  <si>
    <t>Transfer to operational RAV</t>
  </si>
  <si>
    <t>Transaction costs - closing</t>
  </si>
  <si>
    <t>Project year</t>
  </si>
  <si>
    <t>Operational</t>
  </si>
  <si>
    <t>Opening operational RAV (before transfers)</t>
  </si>
  <si>
    <t>Transfers of transaction costs</t>
  </si>
  <si>
    <t>Transfers of pre-operational RAV</t>
  </si>
  <si>
    <t>Opening operational RAV (after transfers)</t>
  </si>
  <si>
    <t>Depreciation (negative)</t>
  </si>
  <si>
    <t>Closing operational RAV</t>
  </si>
  <si>
    <t>Average operational RAV</t>
  </si>
  <si>
    <t>Operational RAV depreciation</t>
  </si>
  <si>
    <t>Years remaining until end of operational period</t>
  </si>
  <si>
    <t>Year is before end of operational period</t>
  </si>
  <si>
    <t>RAV depreciation</t>
  </si>
  <si>
    <t>Depreciation equal to additions</t>
  </si>
  <si>
    <t>check</t>
  </si>
  <si>
    <t>Operational RAV return</t>
  </si>
  <si>
    <t>NPV neutral return base  (cap)</t>
  </si>
  <si>
    <t>NPV neutral return base (floor)</t>
  </si>
  <si>
    <t>Return (cap)</t>
  </si>
  <si>
    <t>Return (floor)</t>
  </si>
  <si>
    <t>Year</t>
  </si>
  <si>
    <t>Unprofiled allowances except tax (cap)</t>
  </si>
  <si>
    <t>Non-controllable Opex (baseline)</t>
  </si>
  <si>
    <t>Profiled allowances except tax (cap)</t>
  </si>
  <si>
    <t>Annuity parameters</t>
  </si>
  <si>
    <t>Annuity factor (cap)</t>
  </si>
  <si>
    <t>Year is within operational period</t>
  </si>
  <si>
    <t>Discount factor to start of operational period (cap)</t>
  </si>
  <si>
    <t>Allowances except tax</t>
  </si>
  <si>
    <t>Discounted unprofiled allowances except tax (cap)</t>
  </si>
  <si>
    <t>NPV of allowances except tax (cap)</t>
  </si>
  <si>
    <t>Annuity of allowances except tax (cap)</t>
  </si>
  <si>
    <t>Annuitised allowances except tax (cap)</t>
  </si>
  <si>
    <t>Unprofiled allowances except tax (floor)</t>
  </si>
  <si>
    <t>Profiled allowances except tax (floor)</t>
  </si>
  <si>
    <t>Annuity factor (floor)</t>
  </si>
  <si>
    <t>Discount factor to start of operational period (floor)</t>
  </si>
  <si>
    <t>Discounted unprofiled allowances except tax (floor)</t>
  </si>
  <si>
    <t>NPV of allowances except tax (floor)</t>
  </si>
  <si>
    <t>Annuity of allowances except tax (floor)</t>
  </si>
  <si>
    <t>Annuitised allowances except tax (floor)</t>
  </si>
  <si>
    <t>Tax deductions</t>
  </si>
  <si>
    <t>Inflation</t>
  </si>
  <si>
    <t>Forecast UK inflation uplift</t>
  </si>
  <si>
    <t>Total tax deductions</t>
  </si>
  <si>
    <t>Revenue pool additions</t>
  </si>
  <si>
    <t>£m nominal</t>
  </si>
  <si>
    <t>Capital allowances</t>
  </si>
  <si>
    <t>Interest payable</t>
  </si>
  <si>
    <t>Tax pools</t>
  </si>
  <si>
    <t>Revenue pool</t>
  </si>
  <si>
    <t>Capital allowance pool</t>
  </si>
  <si>
    <t>Opening balance brought forward</t>
  </si>
  <si>
    <t>Tax book value pre-depreciation</t>
  </si>
  <si>
    <t>Capital allowance (reducing balance)</t>
  </si>
  <si>
    <t>Write-back allowance</t>
  </si>
  <si>
    <t>Closing balance carried forward</t>
  </si>
  <si>
    <t>Interest</t>
  </si>
  <si>
    <t>Cost of debt</t>
  </si>
  <si>
    <t>Expected UK RPI inflation</t>
  </si>
  <si>
    <t>nominal annual %</t>
  </si>
  <si>
    <t>Net debt</t>
  </si>
  <si>
    <t>Principal repayments</t>
  </si>
  <si>
    <t>Net interest paid</t>
  </si>
  <si>
    <t>Total</t>
  </si>
  <si>
    <t>Opening net debt</t>
  </si>
  <si>
    <t>Less principal repayment</t>
  </si>
  <si>
    <t>Closing net debt</t>
  </si>
  <si>
    <t>Unprofiled tax allowance (cap)</t>
  </si>
  <si>
    <t>Profits attributable to corporation tax</t>
  </si>
  <si>
    <t>£m nominal prices</t>
  </si>
  <si>
    <t>Less tax deductions</t>
  </si>
  <si>
    <t>Tax losses</t>
  </si>
  <si>
    <t>Taxable losses brought forward</t>
  </si>
  <si>
    <t>In-year taxable loss</t>
  </si>
  <si>
    <t>Profits used to offset losses</t>
  </si>
  <si>
    <t>Taxable losses carried forward</t>
  </si>
  <si>
    <t>Tax allowance</t>
  </si>
  <si>
    <t>Profits attributable to corporation tax (after taxable losses)</t>
  </si>
  <si>
    <t>Corporation tax charge after losses</t>
  </si>
  <si>
    <t>Grossing-up factor for tax on tax charge after losses</t>
  </si>
  <si>
    <t>Profiled tax allowance (cap)</t>
  </si>
  <si>
    <t>Discounted unprofiled tax allowance (cap)</t>
  </si>
  <si>
    <t>NPV of tax allowance (cap)</t>
  </si>
  <si>
    <t>Annuity of tax allowance (cap)</t>
  </si>
  <si>
    <t>Unprofiled tax allowance (floor)</t>
  </si>
  <si>
    <t>Profiled tax allowance (floor)</t>
  </si>
  <si>
    <t>Discounted unprofiled tax allowance (floor)</t>
  </si>
  <si>
    <t>NPV of tax allowance (floor)</t>
  </si>
  <si>
    <t>Annuity of tax allowance (floor)</t>
  </si>
  <si>
    <t>Cap and Floor levels and adjustments</t>
  </si>
  <si>
    <t>Cap and Floor levels at FPA (Preliminary) / PCR (Final) and PCA adjustments at PCR</t>
  </si>
  <si>
    <t>Relevant stage: FPA for Preliminary levels; PCR for final levels</t>
  </si>
  <si>
    <t>Cap at relevant stage excluding tax (calculated through the model)</t>
  </si>
  <si>
    <t>Floor at relevant stage excluding tax (calculated through the model)</t>
  </si>
  <si>
    <t>Cap at relevant stage - tax element (calculated through the model)</t>
  </si>
  <si>
    <t>Floor at relevant stage - tax element (calculated through the model)</t>
  </si>
  <si>
    <t>Cap at relevant stage - tax element (previously calculated through the model and fixed)</t>
  </si>
  <si>
    <t>Floor at relevant stage - tax element (previously calculated through the model and fixed)</t>
  </si>
  <si>
    <t>Cap at relevant stage including tax (calculated through the model)</t>
  </si>
  <si>
    <t>Floor at relevant stage including tax (calculated through the model)</t>
  </si>
  <si>
    <t>Preliminary Cap including tax (hardcoded at FPA)</t>
  </si>
  <si>
    <t>PCL</t>
  </si>
  <si>
    <t>Preliminary Floor including tax (hardcoded at FPA)</t>
  </si>
  <si>
    <t>PFL</t>
  </si>
  <si>
    <t>Cap PCA adjustment (at PCR)</t>
  </si>
  <si>
    <t>PCAC</t>
  </si>
  <si>
    <t>Floor PCA adjustment (at PCR)</t>
  </si>
  <si>
    <t>PCAF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</si>
</sst>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8" formatCode="&quot;£&quot;#,##0.00_);[Red]\(&quot;£&quot;#,##0.00\)"/>
    <numFmt numFmtId="43" formatCode="_(* #,##0.00_);_(* \(#,##0.00\);_(* &quot;-&quot;??_);_(@_)"/>
    <numFmt numFmtId="164" formatCode="yyyy"/>
    <numFmt numFmtId="165" formatCode="#,##0.0_);\(#,##0.0\);\-_)"/>
    <numFmt numFmtId="166" formatCode="dd\ mmm\ yyyy"/>
    <numFmt numFmtId="167" formatCode="#,##0_);\(#,##0\);\-_)"/>
    <numFmt numFmtId="168" formatCode="#,##0.0"/>
    <numFmt numFmtId="169" formatCode="0.0"/>
    <numFmt numFmtId="170" formatCode="0.0%"/>
    <numFmt numFmtId="171" formatCode="#,##0.0_ ;[Red]\-#,##0.0\ "/>
    <numFmt numFmtId="172" formatCode="#,##0.000"/>
    <numFmt numFmtId="173" formatCode="#,##0.000_);\(#,##0.000\);\-_)"/>
    <numFmt numFmtId="174" formatCode="_(* #,##0.000000_);_(* \(#,##0.000000\);_(* &quot;-&quot;??_);_(@_)"/>
    <numFmt numFmtId="175" formatCode="0.0000"/>
    <numFmt numFmtId="176" formatCode="0.000"/>
    <numFmt numFmtId="177" formatCode="#,##0.00_);\(#,##0.00\);\-_)"/>
    <numFmt numFmtId="178" formatCode="#,##0.0000_);\(#,##0.0000\);\-_)"/>
    <numFmt numFmtId="179" formatCode="_(* #,##0.000_);_(* \(#,##0.000\);_(* &quot;-&quot;??_);_(@_)"/>
    <numFmt numFmtId="180" formatCode="0.0000%"/>
    <numFmt numFmtId="181" formatCode="_(* #,##0.0000_);_(* \(#,##0.0000\);_(* &quot;-&quot;??_);_(@_)"/>
    <numFmt numFmtId="182" formatCode="#,##0.0000"/>
    <numFmt numFmtId="183" formatCode="#,##0.00000_);\(#,##0.00000\);\-_)"/>
    <numFmt numFmtId="184" formatCode="#,##0.000000_);\(#,##0.000000\);\-_)"/>
    <numFmt numFmtId="185" formatCode="#,##0_);\(#,##0\);\-\ \ ;@"/>
    <numFmt numFmtId="186" formatCode="dd\-mmm\-yy_);;\-\ \ ;@"/>
    <numFmt numFmtId="187" formatCode="_-[$€-2]* #,##0.00_-;\-[$€-2]* #,##0.00_-;_-[$€-2]* &quot;-&quot;??_-"/>
    <numFmt numFmtId="188" formatCode="#,##0.0000_);\(#,##0.0000\);\-\ \ ;@"/>
    <numFmt numFmtId="189" formatCode="0.00%_);\-0.00%_);\-\ \ ;@"/>
    <numFmt numFmtId="190" formatCode="#,##0_-;\(#,##0\);&quot;-&quot;"/>
    <numFmt numFmtId="191" formatCode="[Magenta]&quot;Err&quot;;[Magenta]&quot;Err&quot;;[Blue]&quot;OK&quot;"/>
    <numFmt numFmtId="192" formatCode="General\ &quot;.&quot;"/>
    <numFmt numFmtId="193" formatCode="#,##0_);[Red]\(#,##0\);\-_)"/>
    <numFmt numFmtId="194" formatCode="0.0_)%;[Red]\(0.0%\);0.0_)%"/>
    <numFmt numFmtId="195" formatCode="[Red][&gt;1]&quot;&gt;100 %&quot;;[Red]\(0.0%\);0.0_)%"/>
  </numFmts>
  <fonts count="79">
    <font>
      <sz val="10"/>
      <color theme="1"/>
      <name val="Calibri"/>
      <family val="2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G Omeg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Genev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name val="Times New Roman"/>
      <family val="1"/>
    </font>
    <font>
      <u/>
      <sz val="11"/>
      <color indexed="48"/>
      <name val="CG Omega"/>
      <family val="2"/>
    </font>
    <font>
      <i/>
      <sz val="10"/>
      <color indexed="10"/>
      <name val="Arial"/>
      <family val="2"/>
    </font>
    <font>
      <sz val="10"/>
      <color theme="1"/>
      <name val="Calibri"/>
      <family val="2"/>
    </font>
    <font>
      <u/>
      <sz val="10"/>
      <color theme="1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0"/>
      <color indexed="12"/>
      <name val="Arial"/>
      <family val="2"/>
    </font>
    <font>
      <sz val="11"/>
      <color indexed="17"/>
      <name val="Calibri"/>
      <family val="2"/>
    </font>
    <font>
      <b/>
      <sz val="10"/>
      <name val="Arial"/>
      <family val="2"/>
    </font>
    <font>
      <sz val="11"/>
      <color indexed="20"/>
      <name val="Calibri"/>
      <family val="2"/>
    </font>
    <font>
      <b/>
      <sz val="11"/>
      <color indexed="8"/>
      <name val="Calibri"/>
      <family val="2"/>
    </font>
    <font>
      <sz val="12"/>
      <name val="Times New Roman"/>
      <family val="1"/>
    </font>
    <font>
      <sz val="9"/>
      <color indexed="12"/>
      <name val="Arial"/>
      <family val="2"/>
    </font>
    <font>
      <b/>
      <sz val="8"/>
      <color indexed="12"/>
      <name val="Arial"/>
      <family val="2"/>
    </font>
    <font>
      <b/>
      <sz val="12"/>
      <color indexed="8"/>
      <name val="Arial"/>
      <family val="2"/>
    </font>
    <font>
      <b/>
      <sz val="10.5"/>
      <color indexed="8"/>
      <name val="Arial"/>
      <family val="2"/>
    </font>
    <font>
      <i/>
      <sz val="10"/>
      <color indexed="8"/>
      <name val="Arial"/>
      <family val="2"/>
    </font>
    <font>
      <i/>
      <sz val="11"/>
      <color indexed="23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4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12"/>
      <color indexed="8"/>
      <name val="Arial"/>
      <family val="2"/>
    </font>
    <font>
      <sz val="8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u/>
      <sz val="8"/>
      <color indexed="12"/>
      <name val="Arial"/>
      <family val="2"/>
    </font>
    <font>
      <b/>
      <u/>
      <sz val="10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10"/>
      <name val="Calibri"/>
      <family val="2"/>
    </font>
    <font>
      <b/>
      <i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 tint="0.5999938962981048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color rgb="FF7030A0"/>
      <name val="Calibri"/>
      <family val="2"/>
      <scheme val="minor"/>
    </font>
    <font>
      <u/>
      <sz val="10"/>
      <color theme="1"/>
      <name val="Calibri"/>
      <family val="2"/>
      <scheme val="minor"/>
    </font>
    <font>
      <i/>
      <sz val="10"/>
      <color theme="4"/>
      <name val="Calibri"/>
      <family val="2"/>
      <scheme val="minor"/>
    </font>
  </fonts>
  <fills count="7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lightUp">
        <fgColor theme="0" tint="-0.2499465926084170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26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54"/>
      </patternFill>
    </fill>
    <fill>
      <patternFill patternType="solid">
        <fgColor indexed="23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9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261">
    <xf numFmtId="0" fontId="0" fillId="0" borderId="0"/>
    <xf numFmtId="9" fontId="2" fillId="0" borderId="0"/>
    <xf numFmtId="0" fontId="17" fillId="0" borderId="0"/>
    <xf numFmtId="0" fontId="18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18" fillId="0" borderId="0"/>
    <xf numFmtId="0" fontId="18" fillId="0" borderId="0"/>
    <xf numFmtId="185" fontId="20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23" fillId="0" borderId="0"/>
    <xf numFmtId="43" fontId="25" fillId="0" borderId="0"/>
    <xf numFmtId="43" fontId="25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1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43" fontId="23" fillId="0" borderId="0"/>
    <xf numFmtId="43" fontId="23" fillId="0" borderId="0"/>
    <xf numFmtId="43" fontId="23" fillId="0" borderId="0"/>
    <xf numFmtId="186" fontId="20" fillId="0" borderId="0"/>
    <xf numFmtId="187" fontId="25" fillId="0" borderId="0"/>
    <xf numFmtId="0" fontId="21" fillId="0" borderId="0"/>
    <xf numFmtId="188" fontId="20" fillId="0" borderId="0"/>
    <xf numFmtId="0" fontId="26" fillId="10" borderId="0"/>
    <xf numFmtId="0" fontId="23" fillId="0" borderId="0"/>
    <xf numFmtId="0" fontId="2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5" fillId="0" borderId="0"/>
    <xf numFmtId="0" fontId="25" fillId="0" borderId="0"/>
    <xf numFmtId="0" fontId="1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3" fillId="0" borderId="0"/>
    <xf numFmtId="0" fontId="1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9" fontId="20" fillId="0" borderId="0"/>
    <xf numFmtId="9" fontId="23" fillId="0" borderId="0"/>
    <xf numFmtId="9" fontId="23" fillId="0" borderId="0"/>
    <xf numFmtId="9" fontId="25" fillId="0" borderId="0"/>
    <xf numFmtId="9" fontId="19" fillId="0" borderId="0"/>
    <xf numFmtId="9" fontId="23" fillId="0" borderId="0"/>
    <xf numFmtId="189" fontId="20" fillId="0" borderId="0"/>
    <xf numFmtId="9" fontId="23" fillId="0" borderId="0"/>
    <xf numFmtId="9" fontId="23" fillId="0" borderId="0"/>
    <xf numFmtId="0" fontId="27" fillId="0" borderId="0"/>
    <xf numFmtId="0" fontId="22" fillId="0" borderId="0"/>
    <xf numFmtId="43" fontId="28" fillId="0" borderId="0"/>
    <xf numFmtId="9" fontId="2" fillId="0" borderId="0"/>
    <xf numFmtId="0" fontId="20" fillId="0" borderId="0"/>
    <xf numFmtId="185" fontId="20" fillId="0" borderId="0"/>
    <xf numFmtId="186" fontId="20" fillId="0" borderId="0"/>
    <xf numFmtId="188" fontId="20" fillId="0" borderId="0"/>
    <xf numFmtId="0" fontId="20" fillId="0" borderId="0"/>
    <xf numFmtId="9" fontId="20" fillId="0" borderId="0"/>
    <xf numFmtId="189" fontId="20" fillId="0" borderId="0"/>
    <xf numFmtId="0" fontId="30" fillId="0" borderId="0"/>
    <xf numFmtId="0" fontId="2" fillId="0" borderId="0"/>
    <xf numFmtId="43" fontId="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20" fillId="0" borderId="0"/>
    <xf numFmtId="0" fontId="19" fillId="11" borderId="0"/>
    <xf numFmtId="0" fontId="19" fillId="12" borderId="0"/>
    <xf numFmtId="0" fontId="19" fillId="13" borderId="0"/>
    <xf numFmtId="0" fontId="19" fillId="14" borderId="0"/>
    <xf numFmtId="0" fontId="19" fillId="15" borderId="0"/>
    <xf numFmtId="0" fontId="19" fillId="16" borderId="0"/>
    <xf numFmtId="0" fontId="19" fillId="11" borderId="0"/>
    <xf numFmtId="0" fontId="19" fillId="12" borderId="0"/>
    <xf numFmtId="0" fontId="19" fillId="13" borderId="0"/>
    <xf numFmtId="0" fontId="19" fillId="14" borderId="0"/>
    <xf numFmtId="0" fontId="19" fillId="15" borderId="0"/>
    <xf numFmtId="0" fontId="19" fillId="16" borderId="0"/>
    <xf numFmtId="0" fontId="19" fillId="17" borderId="0"/>
    <xf numFmtId="0" fontId="19" fillId="18" borderId="0"/>
    <xf numFmtId="0" fontId="19" fillId="19" borderId="0"/>
    <xf numFmtId="0" fontId="19" fillId="14" borderId="0"/>
    <xf numFmtId="0" fontId="19" fillId="17" borderId="0"/>
    <xf numFmtId="0" fontId="19" fillId="20" borderId="0"/>
    <xf numFmtId="0" fontId="19" fillId="17" borderId="0"/>
    <xf numFmtId="0" fontId="19" fillId="18" borderId="0"/>
    <xf numFmtId="0" fontId="19" fillId="19" borderId="0"/>
    <xf numFmtId="0" fontId="19" fillId="14" borderId="0"/>
    <xf numFmtId="0" fontId="19" fillId="17" borderId="0"/>
    <xf numFmtId="0" fontId="19" fillId="20" borderId="0"/>
    <xf numFmtId="0" fontId="32" fillId="21" borderId="0"/>
    <xf numFmtId="0" fontId="32" fillId="18" borderId="0"/>
    <xf numFmtId="0" fontId="32" fillId="19" borderId="0"/>
    <xf numFmtId="0" fontId="32" fillId="22" borderId="0"/>
    <xf numFmtId="0" fontId="32" fillId="23" borderId="0"/>
    <xf numFmtId="0" fontId="32" fillId="24" borderId="0"/>
    <xf numFmtId="0" fontId="32" fillId="21" borderId="0"/>
    <xf numFmtId="0" fontId="32" fillId="18" borderId="0"/>
    <xf numFmtId="0" fontId="32" fillId="19" borderId="0"/>
    <xf numFmtId="0" fontId="32" fillId="22" borderId="0"/>
    <xf numFmtId="0" fontId="32" fillId="23" borderId="0"/>
    <xf numFmtId="0" fontId="32" fillId="24" borderId="0"/>
    <xf numFmtId="0" fontId="19" fillId="25" borderId="0"/>
    <xf numFmtId="0" fontId="19" fillId="26" borderId="0"/>
    <xf numFmtId="0" fontId="32" fillId="27" borderId="0"/>
    <xf numFmtId="0" fontId="19" fillId="28" borderId="0"/>
    <xf numFmtId="0" fontId="19" fillId="29" borderId="0"/>
    <xf numFmtId="0" fontId="32" fillId="30" borderId="0"/>
    <xf numFmtId="0" fontId="19" fillId="31" borderId="0"/>
    <xf numFmtId="0" fontId="19" fillId="32" borderId="0"/>
    <xf numFmtId="0" fontId="32" fillId="33" borderId="0"/>
    <xf numFmtId="0" fontId="19" fillId="28" borderId="0"/>
    <xf numFmtId="0" fontId="19" fillId="34" borderId="0"/>
    <xf numFmtId="0" fontId="32" fillId="29" borderId="0"/>
    <xf numFmtId="0" fontId="19" fillId="35" borderId="0"/>
    <xf numFmtId="0" fontId="19" fillId="36" borderId="0"/>
    <xf numFmtId="0" fontId="32" fillId="27" borderId="0"/>
    <xf numFmtId="0" fontId="19" fillId="37" borderId="0"/>
    <xf numFmtId="0" fontId="19" fillId="38" borderId="0"/>
    <xf numFmtId="0" fontId="32" fillId="39" borderId="0"/>
    <xf numFmtId="0" fontId="33" fillId="0" borderId="0"/>
    <xf numFmtId="0" fontId="20" fillId="10" borderId="24"/>
    <xf numFmtId="0" fontId="19" fillId="10" borderId="24"/>
    <xf numFmtId="0" fontId="34" fillId="40" borderId="25"/>
    <xf numFmtId="0" fontId="34" fillId="40" borderId="25"/>
    <xf numFmtId="190" fontId="35" fillId="41" borderId="10">
      <protection locked="0"/>
    </xf>
    <xf numFmtId="0" fontId="36" fillId="13" borderId="0"/>
    <xf numFmtId="37" fontId="37" fillId="0" borderId="2">
      <alignment horizontal="center"/>
    </xf>
    <xf numFmtId="37" fontId="37" fillId="0" borderId="0">
      <alignment horizontal="center" vertical="center" wrapText="1"/>
    </xf>
    <xf numFmtId="43" fontId="20" fillId="0" borderId="0"/>
    <xf numFmtId="0" fontId="38" fillId="12" borderId="0"/>
    <xf numFmtId="0" fontId="39" fillId="42" borderId="0"/>
    <xf numFmtId="0" fontId="39" fillId="43" borderId="0"/>
    <xf numFmtId="0" fontId="39" fillId="44" borderId="0"/>
    <xf numFmtId="187" fontId="20" fillId="0" borderId="0"/>
    <xf numFmtId="0" fontId="40" fillId="45" borderId="0"/>
    <xf numFmtId="0" fontId="41" fillId="0" borderId="0"/>
    <xf numFmtId="191" fontId="42" fillId="0" borderId="0"/>
    <xf numFmtId="15" fontId="21" fillId="0" borderId="0">
      <alignment horizontal="center"/>
    </xf>
    <xf numFmtId="0" fontId="40" fillId="12" borderId="0"/>
    <xf numFmtId="192" fontId="43" fillId="40" borderId="9"/>
    <xf numFmtId="193" fontId="44" fillId="0" borderId="0"/>
    <xf numFmtId="193" fontId="45" fillId="0" borderId="0"/>
    <xf numFmtId="15" fontId="35" fillId="46" borderId="11">
      <alignment horizontal="center"/>
      <protection locked="0"/>
    </xf>
    <xf numFmtId="194" fontId="35" fillId="46" borderId="11">
      <protection locked="0"/>
    </xf>
    <xf numFmtId="193" fontId="35" fillId="46" borderId="11">
      <protection locked="0"/>
    </xf>
    <xf numFmtId="193" fontId="21" fillId="0" borderId="0"/>
    <xf numFmtId="194" fontId="21" fillId="0" borderId="0"/>
    <xf numFmtId="195" fontId="21" fillId="0" borderId="0"/>
    <xf numFmtId="0" fontId="40" fillId="0" borderId="26"/>
    <xf numFmtId="0" fontId="40" fillId="0" borderId="27"/>
    <xf numFmtId="0" fontId="40" fillId="19" borderId="0"/>
    <xf numFmtId="0" fontId="32" fillId="47" borderId="0"/>
    <xf numFmtId="0" fontId="32" fillId="48" borderId="0"/>
    <xf numFmtId="0" fontId="32" fillId="49" borderId="0"/>
    <xf numFmtId="0" fontId="32" fillId="22" borderId="0"/>
    <xf numFmtId="0" fontId="32" fillId="23" borderId="0"/>
    <xf numFmtId="0" fontId="32" fillId="50" borderId="0"/>
    <xf numFmtId="0" fontId="46" fillId="0" borderId="0"/>
    <xf numFmtId="0" fontId="46" fillId="0" borderId="0"/>
    <xf numFmtId="0" fontId="40" fillId="0" borderId="0"/>
    <xf numFmtId="0" fontId="36" fillId="13" borderId="0"/>
    <xf numFmtId="0" fontId="47" fillId="16" borderId="25"/>
    <xf numFmtId="0" fontId="48" fillId="45" borderId="12"/>
    <xf numFmtId="0" fontId="48" fillId="45" borderId="12"/>
    <xf numFmtId="0" fontId="49" fillId="0" borderId="13"/>
    <xf numFmtId="37" fontId="50" fillId="0" borderId="0"/>
    <xf numFmtId="0" fontId="32" fillId="47" borderId="0"/>
    <xf numFmtId="0" fontId="32" fillId="48" borderId="0"/>
    <xf numFmtId="0" fontId="32" fillId="49" borderId="0"/>
    <xf numFmtId="0" fontId="32" fillId="22" borderId="0"/>
    <xf numFmtId="0" fontId="32" fillId="23" borderId="0"/>
    <xf numFmtId="0" fontId="32" fillId="50" borderId="0"/>
    <xf numFmtId="193" fontId="20" fillId="45" borderId="0"/>
    <xf numFmtId="193" fontId="41" fillId="0" borderId="0"/>
    <xf numFmtId="191" fontId="42" fillId="0" borderId="0"/>
    <xf numFmtId="15" fontId="21" fillId="0" borderId="0">
      <alignment horizontal="center"/>
    </xf>
    <xf numFmtId="193" fontId="20" fillId="12" borderId="0"/>
    <xf numFmtId="192" fontId="43" fillId="40" borderId="9"/>
    <xf numFmtId="193" fontId="44" fillId="0" borderId="0"/>
    <xf numFmtId="193" fontId="45" fillId="0" borderId="0"/>
    <xf numFmtId="15" fontId="35" fillId="46" borderId="11">
      <alignment horizontal="center"/>
      <protection locked="0"/>
    </xf>
    <xf numFmtId="194" fontId="35" fillId="46" borderId="11">
      <protection locked="0"/>
    </xf>
    <xf numFmtId="193" fontId="35" fillId="46" borderId="11">
      <protection locked="0"/>
    </xf>
    <xf numFmtId="193" fontId="21" fillId="0" borderId="0"/>
    <xf numFmtId="194" fontId="21" fillId="0" borderId="0"/>
    <xf numFmtId="195" fontId="21" fillId="0" borderId="0"/>
    <xf numFmtId="193" fontId="20" fillId="0" borderId="26"/>
    <xf numFmtId="193" fontId="20" fillId="0" borderId="27"/>
    <xf numFmtId="193" fontId="20" fillId="19" borderId="0"/>
    <xf numFmtId="0" fontId="20" fillId="0" borderId="0"/>
    <xf numFmtId="0" fontId="51" fillId="0" borderId="14"/>
    <xf numFmtId="0" fontId="52" fillId="0" borderId="15"/>
    <xf numFmtId="0" fontId="53" fillId="0" borderId="16"/>
    <xf numFmtId="0" fontId="53" fillId="0" borderId="0"/>
    <xf numFmtId="9" fontId="19" fillId="0" borderId="0"/>
    <xf numFmtId="9" fontId="20" fillId="0" borderId="0"/>
    <xf numFmtId="0" fontId="54" fillId="0" borderId="0"/>
    <xf numFmtId="0" fontId="51" fillId="0" borderId="14"/>
    <xf numFmtId="0" fontId="52" fillId="0" borderId="15"/>
    <xf numFmtId="0" fontId="53" fillId="0" borderId="16"/>
    <xf numFmtId="0" fontId="53" fillId="0" borderId="0"/>
    <xf numFmtId="0" fontId="49" fillId="0" borderId="13"/>
    <xf numFmtId="4" fontId="43" fillId="41" borderId="28">
      <alignment vertical="center"/>
    </xf>
    <xf numFmtId="4" fontId="55" fillId="41" borderId="28">
      <alignment vertical="center"/>
    </xf>
    <xf numFmtId="4" fontId="56" fillId="41" borderId="28">
      <alignment horizontal="left" vertical="center" indent="1"/>
    </xf>
    <xf numFmtId="0" fontId="57" fillId="46" borderId="28">
      <alignment horizontal="left" vertical="top" indent="1"/>
    </xf>
    <xf numFmtId="4" fontId="56" fillId="51" borderId="0">
      <alignment horizontal="left" vertical="center" indent="1"/>
    </xf>
    <xf numFmtId="4" fontId="56" fillId="52" borderId="28">
      <alignment horizontal="right" vertical="center"/>
    </xf>
    <xf numFmtId="4" fontId="56" fillId="53" borderId="28">
      <alignment horizontal="right" vertical="center"/>
    </xf>
    <xf numFmtId="4" fontId="56" fillId="54" borderId="28">
      <alignment horizontal="right" vertical="center"/>
    </xf>
    <xf numFmtId="4" fontId="56" fillId="55" borderId="28">
      <alignment horizontal="right" vertical="center"/>
    </xf>
    <xf numFmtId="4" fontId="56" fillId="56" borderId="28">
      <alignment horizontal="right" vertical="center"/>
    </xf>
    <xf numFmtId="4" fontId="56" fillId="57" borderId="28">
      <alignment horizontal="right" vertical="center"/>
    </xf>
    <xf numFmtId="4" fontId="56" fillId="58" borderId="28">
      <alignment horizontal="right" vertical="center"/>
    </xf>
    <xf numFmtId="4" fontId="56" fillId="59" borderId="28">
      <alignment horizontal="right" vertical="center"/>
    </xf>
    <xf numFmtId="4" fontId="56" fillId="60" borderId="28">
      <alignment horizontal="right" vertical="center"/>
    </xf>
    <xf numFmtId="4" fontId="43" fillId="61" borderId="17">
      <alignment horizontal="left" vertical="center" indent="1"/>
    </xf>
    <xf numFmtId="4" fontId="43" fillId="62" borderId="0">
      <alignment horizontal="left" vertical="center" indent="1"/>
    </xf>
    <xf numFmtId="4" fontId="43" fillId="51" borderId="0">
      <alignment horizontal="left" vertical="center" indent="1"/>
    </xf>
    <xf numFmtId="4" fontId="56" fillId="62" borderId="28">
      <alignment horizontal="right" vertical="center"/>
    </xf>
    <xf numFmtId="4" fontId="21" fillId="62" borderId="0">
      <alignment horizontal="left" vertical="center" indent="1"/>
    </xf>
    <xf numFmtId="4" fontId="21" fillId="51" borderId="0">
      <alignment horizontal="left" vertical="center" indent="1"/>
    </xf>
    <xf numFmtId="0" fontId="58" fillId="40" borderId="29">
      <alignment horizontal="left" vertical="center" indent="1"/>
    </xf>
    <xf numFmtId="0" fontId="58" fillId="63" borderId="28">
      <alignment horizontal="left" vertical="top" indent="1"/>
    </xf>
    <xf numFmtId="0" fontId="58" fillId="64" borderId="29">
      <alignment horizontal="left" vertical="center" indent="1"/>
    </xf>
    <xf numFmtId="0" fontId="58" fillId="65" borderId="28">
      <alignment horizontal="left" vertical="top" indent="1"/>
    </xf>
    <xf numFmtId="0" fontId="58" fillId="17" borderId="29">
      <alignment horizontal="left" vertical="center" indent="1"/>
    </xf>
    <xf numFmtId="0" fontId="58" fillId="17" borderId="28">
      <alignment horizontal="left" vertical="top" indent="1"/>
    </xf>
    <xf numFmtId="0" fontId="58" fillId="66" borderId="29">
      <alignment horizontal="left" vertical="center" indent="1"/>
    </xf>
    <xf numFmtId="0" fontId="58" fillId="66" borderId="28">
      <alignment horizontal="left" vertical="top" indent="1"/>
    </xf>
    <xf numFmtId="0" fontId="58" fillId="67" borderId="18">
      <protection locked="0"/>
    </xf>
    <xf numFmtId="0" fontId="59" fillId="63" borderId="30"/>
    <xf numFmtId="4" fontId="56" fillId="68" borderId="28">
      <alignment vertical="center"/>
    </xf>
    <xf numFmtId="4" fontId="60" fillId="68" borderId="28">
      <alignment vertical="center"/>
    </xf>
    <xf numFmtId="4" fontId="43" fillId="62" borderId="31">
      <alignment horizontal="left" vertical="center" indent="1"/>
    </xf>
    <xf numFmtId="0" fontId="61" fillId="10" borderId="28">
      <alignment horizontal="left" vertical="top" indent="1"/>
    </xf>
    <xf numFmtId="4" fontId="56" fillId="68" borderId="28">
      <alignment horizontal="right" vertical="center"/>
    </xf>
    <xf numFmtId="4" fontId="60" fillId="68" borderId="28">
      <alignment horizontal="right" vertical="center"/>
    </xf>
    <xf numFmtId="4" fontId="43" fillId="62" borderId="28">
      <alignment horizontal="left" vertical="center" indent="1"/>
    </xf>
    <xf numFmtId="0" fontId="61" fillId="65" borderId="28">
      <alignment horizontal="left" vertical="top" indent="1"/>
    </xf>
    <xf numFmtId="4" fontId="62" fillId="69" borderId="31">
      <alignment horizontal="left" vertical="center" indent="1"/>
    </xf>
    <xf numFmtId="0" fontId="58" fillId="70" borderId="10"/>
    <xf numFmtId="4" fontId="63" fillId="68" borderId="28">
      <alignment horizontal="right" vertical="center"/>
    </xf>
    <xf numFmtId="0" fontId="64" fillId="0" borderId="0"/>
    <xf numFmtId="0" fontId="20" fillId="0" borderId="0"/>
    <xf numFmtId="37" fontId="37" fillId="0" borderId="32"/>
    <xf numFmtId="0" fontId="39" fillId="0" borderId="33"/>
    <xf numFmtId="49" fontId="40" fillId="0" borderId="0"/>
    <xf numFmtId="0" fontId="54" fillId="0" borderId="0"/>
    <xf numFmtId="37" fontId="37" fillId="0" borderId="19"/>
    <xf numFmtId="0" fontId="38" fillId="12" borderId="0"/>
    <xf numFmtId="0" fontId="65" fillId="40" borderId="34"/>
    <xf numFmtId="0" fontId="33" fillId="0" borderId="0"/>
    <xf numFmtId="9" fontId="30" fillId="0" borderId="0"/>
    <xf numFmtId="0" fontId="66" fillId="0" borderId="0">
      <alignment vertical="top"/>
      <protection locked="0"/>
    </xf>
    <xf numFmtId="0" fontId="19" fillId="11" borderId="0"/>
    <xf numFmtId="0" fontId="19" fillId="12" borderId="0"/>
    <xf numFmtId="0" fontId="19" fillId="13" borderId="0"/>
    <xf numFmtId="0" fontId="19" fillId="14" borderId="0"/>
    <xf numFmtId="0" fontId="19" fillId="15" borderId="0"/>
    <xf numFmtId="0" fontId="19" fillId="16" borderId="0"/>
    <xf numFmtId="0" fontId="19" fillId="17" borderId="0"/>
    <xf numFmtId="0" fontId="19" fillId="18" borderId="0"/>
    <xf numFmtId="0" fontId="19" fillId="19" borderId="0"/>
    <xf numFmtId="0" fontId="19" fillId="14" borderId="0"/>
    <xf numFmtId="0" fontId="19" fillId="17" borderId="0"/>
    <xf numFmtId="0" fontId="19" fillId="20" borderId="0"/>
    <xf numFmtId="0" fontId="20" fillId="0" borderId="0"/>
    <xf numFmtId="0" fontId="20" fillId="0" borderId="0"/>
    <xf numFmtId="0" fontId="20" fillId="0" borderId="0"/>
    <xf numFmtId="0" fontId="19" fillId="10" borderId="24"/>
    <xf numFmtId="0" fontId="19" fillId="10" borderId="24"/>
    <xf numFmtId="0" fontId="1" fillId="0" borderId="0"/>
    <xf numFmtId="0" fontId="1" fillId="0" borderId="0"/>
    <xf numFmtId="43" fontId="1" fillId="0" borderId="0"/>
    <xf numFmtId="9" fontId="1" fillId="0" borderId="0"/>
    <xf numFmtId="0" fontId="1" fillId="0" borderId="0"/>
    <xf numFmtId="0" fontId="31" fillId="0" borderId="0"/>
    <xf numFmtId="43" fontId="30" fillId="0" borderId="0"/>
    <xf numFmtId="193" fontId="20" fillId="0" borderId="0"/>
    <xf numFmtId="193" fontId="20" fillId="0" borderId="0"/>
    <xf numFmtId="193" fontId="20" fillId="0" borderId="0"/>
    <xf numFmtId="193" fontId="20" fillId="0" borderId="0"/>
    <xf numFmtId="193" fontId="20" fillId="0" borderId="0"/>
    <xf numFmtId="193" fontId="20" fillId="0" borderId="0"/>
    <xf numFmtId="0" fontId="2" fillId="0" borderId="0"/>
    <xf numFmtId="193" fontId="20" fillId="0" borderId="0"/>
    <xf numFmtId="193" fontId="20" fillId="0" borderId="0"/>
    <xf numFmtId="193" fontId="20" fillId="0" borderId="0"/>
    <xf numFmtId="193" fontId="20" fillId="0" borderId="0"/>
    <xf numFmtId="193" fontId="20" fillId="0" borderId="0"/>
    <xf numFmtId="193" fontId="20" fillId="0" borderId="0"/>
    <xf numFmtId="193" fontId="20" fillId="0" borderId="0"/>
    <xf numFmtId="15" fontId="35" fillId="46" borderId="11">
      <alignment horizontal="center"/>
      <protection locked="0"/>
    </xf>
    <xf numFmtId="193" fontId="20" fillId="0" borderId="0"/>
    <xf numFmtId="9" fontId="2" fillId="0" borderId="0"/>
    <xf numFmtId="9" fontId="2" fillId="0" borderId="0"/>
    <xf numFmtId="0" fontId="2" fillId="0" borderId="0"/>
    <xf numFmtId="43" fontId="2" fillId="0" borderId="0"/>
    <xf numFmtId="15" fontId="35" fillId="46" borderId="20">
      <alignment horizontal="center"/>
      <protection locked="0"/>
    </xf>
    <xf numFmtId="194" fontId="35" fillId="46" borderId="20">
      <protection locked="0"/>
    </xf>
    <xf numFmtId="193" fontId="35" fillId="46" borderId="20">
      <protection locked="0"/>
    </xf>
    <xf numFmtId="15" fontId="35" fillId="46" borderId="20">
      <alignment horizontal="center"/>
      <protection locked="0"/>
    </xf>
    <xf numFmtId="194" fontId="35" fillId="46" borderId="20">
      <protection locked="0"/>
    </xf>
    <xf numFmtId="193" fontId="35" fillId="46" borderId="20">
      <protection locked="0"/>
    </xf>
    <xf numFmtId="9" fontId="2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5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19" fillId="0" borderId="0"/>
    <xf numFmtId="43" fontId="23" fillId="0" borderId="0"/>
    <xf numFmtId="43" fontId="23" fillId="0" borderId="0"/>
    <xf numFmtId="43" fontId="23" fillId="0" borderId="0"/>
    <xf numFmtId="43" fontId="28" fillId="0" borderId="0"/>
    <xf numFmtId="9" fontId="2" fillId="0" borderId="0"/>
    <xf numFmtId="0" fontId="2" fillId="0" borderId="0"/>
    <xf numFmtId="43" fontId="2" fillId="0" borderId="0"/>
    <xf numFmtId="4" fontId="56" fillId="62" borderId="28">
      <alignment horizontal="right" vertical="center"/>
    </xf>
    <xf numFmtId="4" fontId="56" fillId="60" borderId="28">
      <alignment horizontal="right" vertical="center"/>
    </xf>
    <xf numFmtId="4" fontId="56" fillId="59" borderId="28">
      <alignment horizontal="right" vertical="center"/>
    </xf>
    <xf numFmtId="4" fontId="56" fillId="58" borderId="28">
      <alignment horizontal="right" vertical="center"/>
    </xf>
    <xf numFmtId="4" fontId="56" fillId="57" borderId="28">
      <alignment horizontal="right" vertical="center"/>
    </xf>
    <xf numFmtId="4" fontId="56" fillId="56" borderId="28">
      <alignment horizontal="right" vertical="center"/>
    </xf>
    <xf numFmtId="4" fontId="56" fillId="55" borderId="28">
      <alignment horizontal="right" vertical="center"/>
    </xf>
    <xf numFmtId="4" fontId="56" fillId="54" borderId="28">
      <alignment horizontal="right" vertical="center"/>
    </xf>
    <xf numFmtId="4" fontId="56" fillId="53" borderId="28">
      <alignment horizontal="right" vertical="center"/>
    </xf>
    <xf numFmtId="4" fontId="56" fillId="52" borderId="28">
      <alignment horizontal="right" vertical="center"/>
    </xf>
    <xf numFmtId="0" fontId="57" fillId="46" borderId="28">
      <alignment horizontal="left" vertical="top" indent="1"/>
    </xf>
    <xf numFmtId="4" fontId="56" fillId="41" borderId="28">
      <alignment horizontal="left" vertical="center" indent="1"/>
    </xf>
    <xf numFmtId="4" fontId="55" fillId="41" borderId="28">
      <alignment vertical="center"/>
    </xf>
    <xf numFmtId="4" fontId="43" fillId="41" borderId="28">
      <alignment vertical="center"/>
    </xf>
    <xf numFmtId="193" fontId="20" fillId="0" borderId="27"/>
    <xf numFmtId="193" fontId="20" fillId="0" borderId="26"/>
    <xf numFmtId="192" fontId="43" fillId="40" borderId="23"/>
    <xf numFmtId="0" fontId="47" fillId="16" borderId="25"/>
    <xf numFmtId="0" fontId="40" fillId="0" borderId="27"/>
    <xf numFmtId="0" fontId="40" fillId="0" borderId="26"/>
    <xf numFmtId="192" fontId="43" fillId="40" borderId="23"/>
    <xf numFmtId="0" fontId="34" fillId="40" borderId="25"/>
    <xf numFmtId="0" fontId="34" fillId="40" borderId="25"/>
    <xf numFmtId="0" fontId="19" fillId="10" borderId="24"/>
    <xf numFmtId="0" fontId="20" fillId="10" borderId="24"/>
    <xf numFmtId="0" fontId="20" fillId="10" borderId="24"/>
    <xf numFmtId="0" fontId="19" fillId="10" borderId="24"/>
    <xf numFmtId="0" fontId="34" fillId="40" borderId="25"/>
    <xf numFmtId="0" fontId="34" fillId="40" borderId="25"/>
    <xf numFmtId="43" fontId="20" fillId="0" borderId="0"/>
    <xf numFmtId="192" fontId="43" fillId="40" borderId="23"/>
    <xf numFmtId="0" fontId="40" fillId="0" borderId="26"/>
    <xf numFmtId="0" fontId="40" fillId="0" borderId="27"/>
    <xf numFmtId="0" fontId="47" fillId="16" borderId="25"/>
    <xf numFmtId="192" fontId="43" fillId="40" borderId="23"/>
    <xf numFmtId="193" fontId="20" fillId="0" borderId="26"/>
    <xf numFmtId="193" fontId="20" fillId="0" borderId="27"/>
    <xf numFmtId="4" fontId="43" fillId="41" borderId="28">
      <alignment vertical="center"/>
    </xf>
    <xf numFmtId="4" fontId="55" fillId="41" borderId="28">
      <alignment vertical="center"/>
    </xf>
    <xf numFmtId="4" fontId="56" fillId="41" borderId="28">
      <alignment horizontal="left" vertical="center" indent="1"/>
    </xf>
    <xf numFmtId="0" fontId="57" fillId="46" borderId="28">
      <alignment horizontal="left" vertical="top" indent="1"/>
    </xf>
    <xf numFmtId="4" fontId="56" fillId="52" borderId="28">
      <alignment horizontal="right" vertical="center"/>
    </xf>
    <xf numFmtId="4" fontId="56" fillId="53" borderId="28">
      <alignment horizontal="right" vertical="center"/>
    </xf>
    <xf numFmtId="4" fontId="56" fillId="54" borderId="28">
      <alignment horizontal="right" vertical="center"/>
    </xf>
    <xf numFmtId="4" fontId="56" fillId="55" borderId="28">
      <alignment horizontal="right" vertical="center"/>
    </xf>
    <xf numFmtId="4" fontId="56" fillId="56" borderId="28">
      <alignment horizontal="right" vertical="center"/>
    </xf>
    <xf numFmtId="4" fontId="56" fillId="57" borderId="28">
      <alignment horizontal="right" vertical="center"/>
    </xf>
    <xf numFmtId="4" fontId="56" fillId="58" borderId="28">
      <alignment horizontal="right" vertical="center"/>
    </xf>
    <xf numFmtId="4" fontId="56" fillId="59" borderId="28">
      <alignment horizontal="right" vertical="center"/>
    </xf>
    <xf numFmtId="4" fontId="56" fillId="60" borderId="28">
      <alignment horizontal="right" vertical="center"/>
    </xf>
    <xf numFmtId="4" fontId="56" fillId="62" borderId="28">
      <alignment horizontal="right" vertical="center"/>
    </xf>
    <xf numFmtId="0" fontId="58" fillId="40" borderId="29">
      <alignment horizontal="left" vertical="center" indent="1"/>
    </xf>
    <xf numFmtId="0" fontId="58" fillId="63" borderId="28">
      <alignment horizontal="left" vertical="top" indent="1"/>
    </xf>
    <xf numFmtId="0" fontId="58" fillId="64" borderId="29">
      <alignment horizontal="left" vertical="center" indent="1"/>
    </xf>
    <xf numFmtId="0" fontId="58" fillId="65" borderId="28">
      <alignment horizontal="left" vertical="top" indent="1"/>
    </xf>
    <xf numFmtId="0" fontId="58" fillId="17" borderId="29">
      <alignment horizontal="left" vertical="center" indent="1"/>
    </xf>
    <xf numFmtId="0" fontId="58" fillId="17" borderId="28">
      <alignment horizontal="left" vertical="top" indent="1"/>
    </xf>
    <xf numFmtId="0" fontId="58" fillId="66" borderId="29">
      <alignment horizontal="left" vertical="center" indent="1"/>
    </xf>
    <xf numFmtId="0" fontId="58" fillId="66" borderId="28">
      <alignment horizontal="left" vertical="top" indent="1"/>
    </xf>
    <xf numFmtId="0" fontId="59" fillId="63" borderId="30"/>
    <xf numFmtId="4" fontId="56" fillId="68" borderId="28">
      <alignment vertical="center"/>
    </xf>
    <xf numFmtId="4" fontId="60" fillId="68" borderId="28">
      <alignment vertical="center"/>
    </xf>
    <xf numFmtId="4" fontId="43" fillId="62" borderId="31">
      <alignment horizontal="left" vertical="center" indent="1"/>
    </xf>
    <xf numFmtId="0" fontId="61" fillId="10" borderId="28">
      <alignment horizontal="left" vertical="top" indent="1"/>
    </xf>
    <xf numFmtId="4" fontId="56" fillId="68" borderId="28">
      <alignment horizontal="right" vertical="center"/>
    </xf>
    <xf numFmtId="4" fontId="60" fillId="68" borderId="28">
      <alignment horizontal="right" vertical="center"/>
    </xf>
    <xf numFmtId="4" fontId="43" fillId="62" borderId="28">
      <alignment horizontal="left" vertical="center" indent="1"/>
    </xf>
    <xf numFmtId="0" fontId="61" fillId="65" borderId="28">
      <alignment horizontal="left" vertical="top" indent="1"/>
    </xf>
    <xf numFmtId="4" fontId="62" fillId="69" borderId="31">
      <alignment horizontal="left" vertical="center" indent="1"/>
    </xf>
    <xf numFmtId="4" fontId="63" fillId="68" borderId="28">
      <alignment horizontal="right" vertical="center"/>
    </xf>
    <xf numFmtId="37" fontId="37" fillId="0" borderId="32"/>
    <xf numFmtId="0" fontId="39" fillId="0" borderId="33"/>
    <xf numFmtId="0" fontId="65" fillId="40" borderId="34"/>
    <xf numFmtId="0" fontId="19" fillId="10" borderId="24"/>
    <xf numFmtId="0" fontId="19" fillId="10" borderId="24"/>
    <xf numFmtId="0" fontId="1" fillId="0" borderId="0"/>
    <xf numFmtId="0" fontId="1" fillId="0" borderId="0"/>
    <xf numFmtId="43" fontId="1" fillId="0" borderId="0"/>
    <xf numFmtId="9" fontId="1" fillId="0" borderId="0"/>
    <xf numFmtId="0" fontId="1" fillId="0" borderId="0"/>
    <xf numFmtId="43" fontId="30" fillId="0" borderId="0"/>
    <xf numFmtId="0" fontId="2" fillId="0" borderId="0"/>
    <xf numFmtId="15" fontId="35" fillId="46" borderId="20">
      <alignment horizontal="center"/>
      <protection locked="0"/>
    </xf>
    <xf numFmtId="9" fontId="2" fillId="0" borderId="0"/>
    <xf numFmtId="9" fontId="2" fillId="0" borderId="0"/>
    <xf numFmtId="0" fontId="2" fillId="0" borderId="0"/>
    <xf numFmtId="43" fontId="2" fillId="0" borderId="0"/>
    <xf numFmtId="0" fontId="58" fillId="40" borderId="29">
      <alignment horizontal="left" vertical="center" indent="1"/>
    </xf>
    <xf numFmtId="0" fontId="58" fillId="63" borderId="28">
      <alignment horizontal="left" vertical="top" indent="1"/>
    </xf>
    <xf numFmtId="0" fontId="58" fillId="64" borderId="29">
      <alignment horizontal="left" vertical="center" indent="1"/>
    </xf>
    <xf numFmtId="0" fontId="58" fillId="65" borderId="28">
      <alignment horizontal="left" vertical="top" indent="1"/>
    </xf>
    <xf numFmtId="0" fontId="58" fillId="17" borderId="29">
      <alignment horizontal="left" vertical="center" indent="1"/>
    </xf>
    <xf numFmtId="0" fontId="58" fillId="17" borderId="28">
      <alignment horizontal="left" vertical="top" indent="1"/>
    </xf>
    <xf numFmtId="0" fontId="58" fillId="66" borderId="29">
      <alignment horizontal="left" vertical="center" indent="1"/>
    </xf>
    <xf numFmtId="0" fontId="58" fillId="66" borderId="28">
      <alignment horizontal="left" vertical="top" indent="1"/>
    </xf>
    <xf numFmtId="0" fontId="59" fillId="63" borderId="30"/>
    <xf numFmtId="4" fontId="56" fillId="68" borderId="28">
      <alignment vertical="center"/>
    </xf>
    <xf numFmtId="4" fontId="60" fillId="68" borderId="28">
      <alignment vertical="center"/>
    </xf>
    <xf numFmtId="4" fontId="43" fillId="62" borderId="31">
      <alignment horizontal="left" vertical="center" indent="1"/>
    </xf>
    <xf numFmtId="0" fontId="61" fillId="10" borderId="28">
      <alignment horizontal="left" vertical="top" indent="1"/>
    </xf>
    <xf numFmtId="4" fontId="56" fillId="68" borderId="28">
      <alignment horizontal="right" vertical="center"/>
    </xf>
    <xf numFmtId="4" fontId="60" fillId="68" borderId="28">
      <alignment horizontal="right" vertical="center"/>
    </xf>
    <xf numFmtId="4" fontId="43" fillId="62" borderId="28">
      <alignment horizontal="left" vertical="center" indent="1"/>
    </xf>
    <xf numFmtId="0" fontId="61" fillId="65" borderId="28">
      <alignment horizontal="left" vertical="top" indent="1"/>
    </xf>
    <xf numFmtId="4" fontId="62" fillId="69" borderId="31">
      <alignment horizontal="left" vertical="center" indent="1"/>
    </xf>
    <xf numFmtId="4" fontId="63" fillId="68" borderId="28">
      <alignment horizontal="right" vertical="center"/>
    </xf>
    <xf numFmtId="37" fontId="37" fillId="0" borderId="32"/>
    <xf numFmtId="0" fontId="39" fillId="0" borderId="33"/>
    <xf numFmtId="0" fontId="65" fillId="40" borderId="34"/>
    <xf numFmtId="0" fontId="19" fillId="10" borderId="24"/>
    <xf numFmtId="0" fontId="19" fillId="10" borderId="24"/>
    <xf numFmtId="9" fontId="2" fillId="0" borderId="0"/>
    <xf numFmtId="0" fontId="1" fillId="0" borderId="0"/>
    <xf numFmtId="0" fontId="28" fillId="0" borderId="0"/>
    <xf numFmtId="0" fontId="2" fillId="0" borderId="0"/>
    <xf numFmtId="43" fontId="2" fillId="0" borderId="0"/>
    <xf numFmtId="0" fontId="2" fillId="0" borderId="0"/>
    <xf numFmtId="0" fontId="2" fillId="0" borderId="0"/>
  </cellStyleXfs>
  <cellXfs count="216">
    <xf numFmtId="0" fontId="0" fillId="0" borderId="0" xfId="0"/>
    <xf numFmtId="164" fontId="4" fillId="0" borderId="0" xfId="0" applyNumberFormat="1" applyFont="1" applyAlignment="1">
      <alignment vertical="center"/>
    </xf>
    <xf numFmtId="0" fontId="3" fillId="9" borderId="0" xfId="0" applyFont="1" applyFill="1" applyAlignment="1">
      <alignment vertical="center"/>
    </xf>
    <xf numFmtId="0" fontId="11" fillId="9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165" fontId="3" fillId="0" borderId="0" xfId="0" applyNumberFormat="1" applyFont="1" applyAlignment="1">
      <alignment vertical="center"/>
    </xf>
    <xf numFmtId="165" fontId="3" fillId="0" borderId="0" xfId="0" applyNumberFormat="1" applyFont="1" applyAlignment="1">
      <alignment horizontal="left" vertical="center"/>
    </xf>
    <xf numFmtId="165" fontId="3" fillId="0" borderId="0" xfId="0" applyNumberFormat="1" applyFont="1" applyAlignment="1">
      <alignment horizontal="center" vertical="center"/>
    </xf>
    <xf numFmtId="165" fontId="3" fillId="0" borderId="1" xfId="0" applyNumberFormat="1" applyFont="1" applyBorder="1" applyAlignment="1">
      <alignment vertical="center"/>
    </xf>
    <xf numFmtId="165" fontId="3" fillId="0" borderId="4" xfId="0" applyNumberFormat="1" applyFont="1" applyBorder="1" applyAlignment="1">
      <alignment vertical="center"/>
    </xf>
    <xf numFmtId="166" fontId="4" fillId="4" borderId="0" xfId="0" applyNumberFormat="1" applyFont="1" applyFill="1" applyAlignment="1">
      <alignment vertical="center"/>
    </xf>
    <xf numFmtId="14" fontId="4" fillId="4" borderId="0" xfId="0" applyNumberFormat="1" applyFont="1" applyFill="1" applyAlignment="1">
      <alignment vertical="center"/>
    </xf>
    <xf numFmtId="165" fontId="3" fillId="2" borderId="0" xfId="0" applyNumberFormat="1" applyFont="1" applyFill="1" applyAlignment="1">
      <alignment vertical="center"/>
    </xf>
    <xf numFmtId="165" fontId="7" fillId="5" borderId="0" xfId="0" applyNumberFormat="1" applyFont="1" applyFill="1" applyAlignment="1">
      <alignment vertical="center"/>
    </xf>
    <xf numFmtId="165" fontId="4" fillId="4" borderId="0" xfId="0" applyNumberFormat="1" applyFont="1" applyFill="1" applyAlignment="1">
      <alignment vertical="center"/>
    </xf>
    <xf numFmtId="165" fontId="4" fillId="4" borderId="0" xfId="0" applyNumberFormat="1" applyFont="1" applyFill="1" applyAlignment="1">
      <alignment horizontal="center" vertical="center"/>
    </xf>
    <xf numFmtId="165" fontId="5" fillId="4" borderId="0" xfId="0" applyNumberFormat="1" applyFont="1" applyFill="1" applyAlignment="1">
      <alignment vertical="center"/>
    </xf>
    <xf numFmtId="165" fontId="3" fillId="4" borderId="0" xfId="0" applyNumberFormat="1" applyFont="1" applyFill="1" applyAlignment="1">
      <alignment vertical="center"/>
    </xf>
    <xf numFmtId="10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1" fontId="3" fillId="4" borderId="0" xfId="0" applyNumberFormat="1" applyFont="1" applyFill="1" applyAlignment="1">
      <alignment vertical="center"/>
    </xf>
    <xf numFmtId="14" fontId="9" fillId="4" borderId="3" xfId="0" applyNumberFormat="1" applyFont="1" applyFill="1" applyBorder="1" applyAlignment="1">
      <alignment vertical="center"/>
    </xf>
    <xf numFmtId="167" fontId="3" fillId="0" borderId="0" xfId="0" applyNumberFormat="1" applyFont="1" applyAlignment="1">
      <alignment vertical="center"/>
    </xf>
    <xf numFmtId="165" fontId="4" fillId="4" borderId="0" xfId="0" applyNumberFormat="1" applyFont="1" applyFill="1" applyAlignment="1">
      <alignment horizontal="right" vertical="center"/>
    </xf>
    <xf numFmtId="165" fontId="5" fillId="4" borderId="0" xfId="0" applyNumberFormat="1" applyFont="1" applyFill="1" applyAlignment="1">
      <alignment horizontal="right" vertical="center"/>
    </xf>
    <xf numFmtId="166" fontId="6" fillId="4" borderId="0" xfId="0" applyNumberFormat="1" applyFont="1" applyFill="1" applyAlignment="1">
      <alignment horizontal="right" vertical="center"/>
    </xf>
    <xf numFmtId="165" fontId="3" fillId="0" borderId="0" xfId="0" applyNumberFormat="1" applyFont="1" applyAlignment="1">
      <alignment horizontal="right" vertical="center"/>
    </xf>
    <xf numFmtId="165" fontId="7" fillId="5" borderId="0" xfId="0" applyNumberFormat="1" applyFont="1" applyFill="1" applyAlignment="1">
      <alignment horizontal="right" vertical="center"/>
    </xf>
    <xf numFmtId="167" fontId="3" fillId="0" borderId="0" xfId="0" applyNumberFormat="1" applyFont="1" applyAlignment="1">
      <alignment horizontal="right" vertical="center"/>
    </xf>
    <xf numFmtId="0" fontId="12" fillId="0" borderId="0" xfId="0" applyFont="1" applyAlignment="1">
      <alignment vertical="center"/>
    </xf>
    <xf numFmtId="168" fontId="3" fillId="0" borderId="0" xfId="0" applyNumberFormat="1" applyFont="1" applyAlignment="1">
      <alignment vertical="center"/>
    </xf>
    <xf numFmtId="0" fontId="3" fillId="0" borderId="0" xfId="0" quotePrefix="1" applyFont="1" applyAlignment="1">
      <alignment vertical="center"/>
    </xf>
    <xf numFmtId="3" fontId="3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169" fontId="4" fillId="0" borderId="0" xfId="0" applyNumberFormat="1" applyFont="1" applyAlignment="1">
      <alignment vertical="center"/>
    </xf>
    <xf numFmtId="0" fontId="4" fillId="0" borderId="0" xfId="0" applyFont="1" applyAlignment="1">
      <alignment horizontal="right" vertical="center"/>
    </xf>
    <xf numFmtId="0" fontId="1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vertical="center"/>
    </xf>
    <xf numFmtId="0" fontId="8" fillId="4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5" fillId="4" borderId="0" xfId="0" applyFont="1" applyFill="1" applyAlignment="1">
      <alignment vertical="center"/>
    </xf>
    <xf numFmtId="165" fontId="4" fillId="0" borderId="0" xfId="0" applyNumberFormat="1" applyFont="1" applyAlignment="1">
      <alignment vertical="center"/>
    </xf>
    <xf numFmtId="165" fontId="10" fillId="0" borderId="0" xfId="0" applyNumberFormat="1" applyFont="1" applyAlignment="1">
      <alignment vertical="center"/>
    </xf>
    <xf numFmtId="165" fontId="6" fillId="0" borderId="0" xfId="0" applyNumberFormat="1" applyFont="1" applyAlignment="1">
      <alignment vertical="center"/>
    </xf>
    <xf numFmtId="165" fontId="9" fillId="0" borderId="0" xfId="0" applyNumberFormat="1" applyFont="1" applyAlignment="1">
      <alignment vertical="center"/>
    </xf>
    <xf numFmtId="0" fontId="4" fillId="0" borderId="3" xfId="0" applyFont="1" applyBorder="1" applyAlignment="1">
      <alignment vertical="center"/>
    </xf>
    <xf numFmtId="164" fontId="4" fillId="0" borderId="0" xfId="0" applyNumberFormat="1" applyFont="1" applyAlignment="1">
      <alignment horizontal="left" vertical="center"/>
    </xf>
    <xf numFmtId="0" fontId="4" fillId="3" borderId="6" xfId="0" applyFont="1" applyFill="1" applyBorder="1" applyAlignment="1">
      <alignment vertical="center"/>
    </xf>
    <xf numFmtId="0" fontId="4" fillId="8" borderId="5" xfId="0" applyFont="1" applyFill="1" applyBorder="1" applyAlignment="1">
      <alignment vertical="center"/>
    </xf>
    <xf numFmtId="170" fontId="3" fillId="3" borderId="0" xfId="0" applyNumberFormat="1" applyFont="1" applyFill="1" applyAlignment="1">
      <alignment vertical="center"/>
    </xf>
    <xf numFmtId="170" fontId="3" fillId="7" borderId="0" xfId="0" applyNumberFormat="1" applyFont="1" applyFill="1" applyAlignment="1">
      <alignment vertical="center"/>
    </xf>
    <xf numFmtId="171" fontId="3" fillId="0" borderId="0" xfId="0" applyNumberFormat="1" applyFont="1" applyAlignment="1">
      <alignment vertical="center"/>
    </xf>
    <xf numFmtId="165" fontId="16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5" fontId="3" fillId="6" borderId="0" xfId="0" applyNumberFormat="1" applyFont="1" applyFill="1" applyAlignment="1">
      <alignment vertical="center"/>
    </xf>
    <xf numFmtId="0" fontId="3" fillId="0" borderId="0" xfId="0" applyFont="1" applyAlignment="1">
      <alignment horizontal="left" vertical="center"/>
    </xf>
    <xf numFmtId="10" fontId="3" fillId="0" borderId="0" xfId="1" applyNumberFormat="1" applyFont="1" applyAlignment="1">
      <alignment vertical="center"/>
    </xf>
    <xf numFmtId="165" fontId="3" fillId="5" borderId="0" xfId="0" applyNumberFormat="1" applyFont="1" applyFill="1" applyAlignment="1">
      <alignment vertical="center"/>
    </xf>
    <xf numFmtId="0" fontId="12" fillId="0" borderId="0" xfId="0" applyFont="1" applyAlignment="1">
      <alignment horizontal="left" vertical="center" indent="1"/>
    </xf>
    <xf numFmtId="168" fontId="3" fillId="0" borderId="9" xfId="0" applyNumberFormat="1" applyFont="1" applyBorder="1" applyAlignment="1">
      <alignment vertical="center"/>
    </xf>
    <xf numFmtId="172" fontId="3" fillId="0" borderId="0" xfId="0" applyNumberFormat="1" applyFont="1" applyAlignment="1">
      <alignment vertical="center"/>
    </xf>
    <xf numFmtId="165" fontId="3" fillId="0" borderId="7" xfId="0" applyNumberFormat="1" applyFont="1" applyBorder="1" applyAlignment="1">
      <alignment vertical="center"/>
    </xf>
    <xf numFmtId="8" fontId="3" fillId="0" borderId="0" xfId="0" applyNumberFormat="1" applyFont="1" applyAlignment="1">
      <alignment vertical="center"/>
    </xf>
    <xf numFmtId="173" fontId="3" fillId="0" borderId="0" xfId="0" applyNumberFormat="1" applyFont="1" applyAlignment="1">
      <alignment vertical="center"/>
    </xf>
    <xf numFmtId="165" fontId="3" fillId="0" borderId="9" xfId="0" applyNumberFormat="1" applyFont="1" applyBorder="1" applyAlignment="1">
      <alignment vertical="center"/>
    </xf>
    <xf numFmtId="14" fontId="3" fillId="0" borderId="0" xfId="0" applyNumberFormat="1" applyFont="1" applyAlignment="1">
      <alignment vertical="center"/>
    </xf>
    <xf numFmtId="4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73" fontId="4" fillId="0" borderId="0" xfId="0" applyNumberFormat="1" applyFont="1" applyAlignment="1">
      <alignment vertical="center"/>
    </xf>
    <xf numFmtId="165" fontId="3" fillId="0" borderId="8" xfId="0" applyNumberFormat="1" applyFont="1" applyBorder="1" applyAlignment="1">
      <alignment vertical="center"/>
    </xf>
    <xf numFmtId="165" fontId="3" fillId="6" borderId="21" xfId="0" applyNumberFormat="1" applyFont="1" applyFill="1" applyBorder="1" applyAlignment="1">
      <alignment vertical="center"/>
    </xf>
    <xf numFmtId="165" fontId="3" fillId="6" borderId="22" xfId="0" applyNumberFormat="1" applyFont="1" applyFill="1" applyBorder="1" applyAlignment="1">
      <alignment vertical="center"/>
    </xf>
    <xf numFmtId="165" fontId="10" fillId="4" borderId="0" xfId="0" applyNumberFormat="1" applyFont="1" applyFill="1" applyAlignment="1">
      <alignment vertical="center"/>
    </xf>
    <xf numFmtId="165" fontId="16" fillId="4" borderId="0" xfId="0" applyNumberFormat="1" applyFont="1" applyFill="1" applyAlignment="1">
      <alignment vertical="center"/>
    </xf>
    <xf numFmtId="165" fontId="67" fillId="4" borderId="0" xfId="0" applyNumberFormat="1" applyFont="1" applyFill="1" applyAlignment="1">
      <alignment vertical="center"/>
    </xf>
    <xf numFmtId="166" fontId="10" fillId="4" borderId="0" xfId="0" applyNumberFormat="1" applyFont="1" applyFill="1" applyAlignment="1">
      <alignment vertical="center"/>
    </xf>
    <xf numFmtId="166" fontId="68" fillId="4" borderId="0" xfId="0" applyNumberFormat="1" applyFont="1" applyFill="1" applyAlignment="1">
      <alignment vertical="center"/>
    </xf>
    <xf numFmtId="174" fontId="3" fillId="0" borderId="0" xfId="75" applyNumberFormat="1" applyFont="1" applyAlignment="1">
      <alignment vertical="center"/>
    </xf>
    <xf numFmtId="175" fontId="9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0" fontId="3" fillId="3" borderId="0" xfId="0" applyNumberFormat="1" applyFont="1" applyFill="1" applyAlignment="1">
      <alignment vertical="center"/>
    </xf>
    <xf numFmtId="14" fontId="3" fillId="3" borderId="0" xfId="0" applyNumberFormat="1" applyFont="1" applyFill="1" applyAlignment="1">
      <alignment vertical="center"/>
    </xf>
    <xf numFmtId="0" fontId="3" fillId="3" borderId="0" xfId="0" applyFont="1" applyFill="1" applyAlignment="1">
      <alignment vertical="center"/>
    </xf>
    <xf numFmtId="2" fontId="69" fillId="0" borderId="0" xfId="0" applyNumberFormat="1" applyFont="1"/>
    <xf numFmtId="165" fontId="3" fillId="5" borderId="0" xfId="0" applyNumberFormat="1" applyFont="1" applyFill="1" applyAlignment="1">
      <alignment horizontal="right" vertical="center"/>
    </xf>
    <xf numFmtId="10" fontId="6" fillId="0" borderId="0" xfId="0" applyNumberFormat="1" applyFont="1" applyAlignment="1">
      <alignment vertical="center"/>
    </xf>
    <xf numFmtId="172" fontId="9" fillId="0" borderId="9" xfId="0" applyNumberFormat="1" applyFont="1" applyBorder="1" applyAlignment="1">
      <alignment vertical="center"/>
    </xf>
    <xf numFmtId="10" fontId="9" fillId="0" borderId="0" xfId="0" applyNumberFormat="1" applyFont="1" applyAlignment="1">
      <alignment vertical="center"/>
    </xf>
    <xf numFmtId="0" fontId="70" fillId="0" borderId="0" xfId="0" applyFont="1" applyAlignment="1">
      <alignment vertical="center"/>
    </xf>
    <xf numFmtId="165" fontId="3" fillId="71" borderId="0" xfId="0" applyNumberFormat="1" applyFont="1" applyFill="1" applyAlignment="1">
      <alignment vertical="center"/>
    </xf>
    <xf numFmtId="165" fontId="3" fillId="0" borderId="0" xfId="0" applyNumberFormat="1" applyFont="1" applyAlignment="1" applyProtection="1">
      <alignment vertical="center"/>
      <protection locked="0"/>
    </xf>
    <xf numFmtId="170" fontId="4" fillId="0" borderId="0" xfId="0" applyNumberFormat="1" applyFont="1" applyAlignment="1">
      <alignment vertical="center"/>
    </xf>
    <xf numFmtId="170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7" fontId="3" fillId="0" borderId="0" xfId="0" applyNumberFormat="1" applyFont="1" applyAlignment="1">
      <alignment horizontal="center" vertical="center"/>
    </xf>
    <xf numFmtId="178" fontId="3" fillId="0" borderId="0" xfId="0" applyNumberFormat="1" applyFont="1" applyAlignment="1">
      <alignment vertical="center"/>
    </xf>
    <xf numFmtId="165" fontId="3" fillId="0" borderId="2" xfId="0" applyNumberFormat="1" applyFont="1" applyBorder="1" applyAlignment="1">
      <alignment vertical="center"/>
    </xf>
    <xf numFmtId="165" fontId="4" fillId="0" borderId="7" xfId="0" applyNumberFormat="1" applyFont="1" applyBorder="1" applyAlignment="1">
      <alignment vertical="center"/>
    </xf>
    <xf numFmtId="170" fontId="3" fillId="0" borderId="0" xfId="0" applyNumberFormat="1" applyFont="1" applyAlignment="1">
      <alignment vertical="center"/>
    </xf>
    <xf numFmtId="177" fontId="3" fillId="0" borderId="0" xfId="0" applyNumberFormat="1" applyFont="1" applyAlignment="1">
      <alignment vertical="center"/>
    </xf>
    <xf numFmtId="172" fontId="6" fillId="0" borderId="0" xfId="0" applyNumberFormat="1" applyFont="1" applyAlignment="1">
      <alignment vertical="center"/>
    </xf>
    <xf numFmtId="4" fontId="9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3" fontId="6" fillId="0" borderId="0" xfId="0" applyNumberFormat="1" applyFont="1" applyAlignment="1">
      <alignment vertical="center"/>
    </xf>
    <xf numFmtId="165" fontId="3" fillId="0" borderId="0" xfId="0" applyNumberFormat="1" applyFont="1" applyAlignment="1">
      <alignment horizontal="left" vertical="center" wrapText="1"/>
    </xf>
    <xf numFmtId="9" fontId="3" fillId="3" borderId="0" xfId="1" applyFont="1" applyFill="1" applyAlignment="1">
      <alignment vertical="center"/>
    </xf>
    <xf numFmtId="9" fontId="3" fillId="0" borderId="0" xfId="1" applyFont="1" applyAlignment="1">
      <alignment vertical="center"/>
    </xf>
    <xf numFmtId="170" fontId="3" fillId="72" borderId="0" xfId="0" applyNumberFormat="1" applyFont="1" applyFill="1" applyAlignment="1">
      <alignment vertical="center"/>
    </xf>
    <xf numFmtId="172" fontId="9" fillId="0" borderId="0" xfId="0" applyNumberFormat="1" applyFont="1" applyAlignment="1">
      <alignment vertical="center"/>
    </xf>
    <xf numFmtId="10" fontId="9" fillId="3" borderId="0" xfId="0" applyNumberFormat="1" applyFont="1" applyFill="1" applyAlignment="1">
      <alignment vertical="center"/>
    </xf>
    <xf numFmtId="179" fontId="9" fillId="0" borderId="0" xfId="75" applyNumberFormat="1" applyFont="1" applyAlignment="1">
      <alignment vertical="center"/>
    </xf>
    <xf numFmtId="165" fontId="3" fillId="6" borderId="35" xfId="0" applyNumberFormat="1" applyFont="1" applyFill="1" applyBorder="1" applyAlignment="1">
      <alignment vertical="center"/>
    </xf>
    <xf numFmtId="165" fontId="3" fillId="0" borderId="32" xfId="0" applyNumberFormat="1" applyFont="1" applyBorder="1" applyAlignment="1">
      <alignment vertical="center"/>
    </xf>
    <xf numFmtId="165" fontId="6" fillId="0" borderId="0" xfId="0" applyNumberFormat="1" applyFont="1" applyAlignment="1">
      <alignment horizontal="right" vertical="center"/>
    </xf>
    <xf numFmtId="167" fontId="6" fillId="0" borderId="0" xfId="0" applyNumberFormat="1" applyFont="1" applyAlignment="1">
      <alignment horizontal="right" vertical="center"/>
    </xf>
    <xf numFmtId="3" fontId="6" fillId="0" borderId="0" xfId="0" applyNumberFormat="1" applyFont="1" applyAlignment="1">
      <alignment vertical="center"/>
    </xf>
    <xf numFmtId="165" fontId="3" fillId="6" borderId="2" xfId="0" applyNumberFormat="1" applyFont="1" applyFill="1" applyBorder="1" applyAlignment="1">
      <alignment vertical="center"/>
    </xf>
    <xf numFmtId="170" fontId="6" fillId="0" borderId="2" xfId="0" applyNumberFormat="1" applyFont="1" applyBorder="1" applyAlignment="1">
      <alignment vertical="center"/>
    </xf>
    <xf numFmtId="174" fontId="3" fillId="0" borderId="32" xfId="75" applyNumberFormat="1" applyFont="1" applyBorder="1" applyAlignment="1">
      <alignment vertical="center"/>
    </xf>
    <xf numFmtId="174" fontId="3" fillId="0" borderId="2" xfId="75" applyNumberFormat="1" applyFont="1" applyBorder="1" applyAlignment="1">
      <alignment vertical="center"/>
    </xf>
    <xf numFmtId="165" fontId="3" fillId="3" borderId="0" xfId="0" applyNumberFormat="1" applyFont="1" applyFill="1" applyAlignment="1">
      <alignment horizontal="right" vertical="center"/>
    </xf>
    <xf numFmtId="165" fontId="3" fillId="0" borderId="0" xfId="0" applyNumberFormat="1" applyFont="1" applyAlignment="1">
      <alignment vertical="center" wrapText="1"/>
    </xf>
    <xf numFmtId="1" fontId="3" fillId="4" borderId="0" xfId="0" applyNumberFormat="1" applyFont="1" applyFill="1" applyAlignment="1">
      <alignment horizontal="center" vertical="center"/>
    </xf>
    <xf numFmtId="165" fontId="71" fillId="5" borderId="0" xfId="0" applyNumberFormat="1" applyFont="1" applyFill="1" applyAlignment="1">
      <alignment vertical="center"/>
    </xf>
    <xf numFmtId="0" fontId="3" fillId="4" borderId="0" xfId="75" applyNumberFormat="1" applyFont="1" applyFill="1" applyAlignment="1">
      <alignment horizontal="center" vertical="center"/>
    </xf>
    <xf numFmtId="0" fontId="4" fillId="72" borderId="0" xfId="0" applyFont="1" applyFill="1" applyAlignment="1">
      <alignment vertical="center" wrapText="1"/>
    </xf>
    <xf numFmtId="0" fontId="4" fillId="72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vertical="center" wrapText="1"/>
    </xf>
    <xf numFmtId="170" fontId="4" fillId="0" borderId="0" xfId="1" applyNumberFormat="1" applyFont="1" applyAlignment="1">
      <alignment vertical="center"/>
    </xf>
    <xf numFmtId="0" fontId="4" fillId="74" borderId="5" xfId="0" applyFont="1" applyFill="1" applyBorder="1" applyAlignment="1">
      <alignment vertical="center"/>
    </xf>
    <xf numFmtId="0" fontId="72" fillId="73" borderId="5" xfId="0" applyFont="1" applyFill="1" applyBorder="1" applyAlignment="1">
      <alignment vertical="center"/>
    </xf>
    <xf numFmtId="2" fontId="9" fillId="0" borderId="0" xfId="0" applyNumberFormat="1" applyFont="1" applyAlignment="1">
      <alignment vertical="center"/>
    </xf>
    <xf numFmtId="180" fontId="3" fillId="0" borderId="0" xfId="1" applyNumberFormat="1" applyFont="1" applyAlignment="1">
      <alignment vertical="center"/>
    </xf>
    <xf numFmtId="164" fontId="29" fillId="0" borderId="0" xfId="76" applyNumberFormat="1" applyFont="1" applyAlignment="1">
      <alignment vertical="center"/>
    </xf>
    <xf numFmtId="174" fontId="3" fillId="3" borderId="0" xfId="0" applyNumberFormat="1" applyFont="1" applyFill="1" applyAlignment="1">
      <alignment horizontal="right" vertical="center"/>
    </xf>
    <xf numFmtId="0" fontId="4" fillId="0" borderId="0" xfId="2256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4" fillId="0" borderId="0" xfId="2256" applyFont="1" applyAlignment="1">
      <alignment horizontal="center" vertical="center" wrapText="1"/>
    </xf>
    <xf numFmtId="0" fontId="73" fillId="0" borderId="0" xfId="2255" applyFont="1" applyAlignment="1">
      <alignment horizontal="center" vertical="center" wrapText="1"/>
    </xf>
    <xf numFmtId="0" fontId="3" fillId="0" borderId="10" xfId="2256" applyFont="1" applyBorder="1" applyAlignment="1">
      <alignment horizontal="center" vertical="center" wrapText="1"/>
    </xf>
    <xf numFmtId="0" fontId="72" fillId="73" borderId="0" xfId="0" applyFont="1" applyFill="1" applyAlignment="1">
      <alignment vertical="center"/>
    </xf>
    <xf numFmtId="0" fontId="69" fillId="0" borderId="10" xfId="0" applyFont="1" applyBorder="1" applyAlignment="1">
      <alignment horizontal="center" vertical="center"/>
    </xf>
    <xf numFmtId="14" fontId="3" fillId="0" borderId="10" xfId="2256" applyNumberFormat="1" applyFont="1" applyBorder="1" applyAlignment="1">
      <alignment horizontal="center" vertical="center" wrapText="1"/>
    </xf>
    <xf numFmtId="0" fontId="3" fillId="0" borderId="10" xfId="2256" applyFont="1" applyBorder="1" applyAlignment="1">
      <alignment horizontal="center" vertical="center"/>
    </xf>
    <xf numFmtId="0" fontId="3" fillId="0" borderId="10" xfId="2256" applyFont="1" applyBorder="1" applyAlignment="1">
      <alignment horizontal="left" vertical="center" wrapText="1"/>
    </xf>
    <xf numFmtId="1" fontId="3" fillId="5" borderId="0" xfId="0" applyNumberFormat="1" applyFont="1" applyFill="1" applyAlignment="1">
      <alignment vertical="center"/>
    </xf>
    <xf numFmtId="1" fontId="4" fillId="0" borderId="0" xfId="0" applyNumberFormat="1" applyFont="1" applyAlignment="1">
      <alignment vertical="center"/>
    </xf>
    <xf numFmtId="1" fontId="3" fillId="0" borderId="0" xfId="1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right" vertical="center"/>
    </xf>
    <xf numFmtId="1" fontId="3" fillId="2" borderId="0" xfId="0" applyNumberFormat="1" applyFont="1" applyFill="1" applyAlignment="1">
      <alignment vertical="center"/>
    </xf>
    <xf numFmtId="1" fontId="7" fillId="5" borderId="0" xfId="0" applyNumberFormat="1" applyFont="1" applyFill="1" applyAlignment="1">
      <alignment vertical="center"/>
    </xf>
    <xf numFmtId="1" fontId="3" fillId="0" borderId="0" xfId="0" applyNumberFormat="1" applyFont="1" applyAlignment="1">
      <alignment horizontal="left" vertical="center"/>
    </xf>
    <xf numFmtId="49" fontId="4" fillId="4" borderId="0" xfId="0" applyNumberFormat="1" applyFont="1" applyFill="1" applyAlignment="1">
      <alignment horizontal="center" vertical="center"/>
    </xf>
    <xf numFmtId="49" fontId="5" fillId="4" borderId="0" xfId="0" applyNumberFormat="1" applyFont="1" applyFill="1" applyAlignment="1">
      <alignment vertical="center"/>
    </xf>
    <xf numFmtId="49" fontId="4" fillId="0" borderId="0" xfId="0" applyNumberFormat="1" applyFont="1" applyAlignment="1">
      <alignment vertical="center"/>
    </xf>
    <xf numFmtId="49" fontId="3" fillId="5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49" fontId="3" fillId="2" borderId="0" xfId="0" applyNumberFormat="1" applyFont="1" applyFill="1" applyAlignment="1">
      <alignment vertical="center"/>
    </xf>
    <xf numFmtId="49" fontId="3" fillId="3" borderId="0" xfId="0" applyNumberFormat="1" applyFont="1" applyFill="1" applyAlignment="1">
      <alignment vertical="center"/>
    </xf>
    <xf numFmtId="49" fontId="3" fillId="0" borderId="0" xfId="1" applyNumberFormat="1" applyFont="1" applyAlignment="1">
      <alignment vertical="center"/>
    </xf>
    <xf numFmtId="49" fontId="7" fillId="5" borderId="0" xfId="0" applyNumberFormat="1" applyFont="1" applyFill="1" applyAlignment="1">
      <alignment vertical="center"/>
    </xf>
    <xf numFmtId="49" fontId="69" fillId="0" borderId="0" xfId="0" applyNumberFormat="1" applyFont="1"/>
    <xf numFmtId="165" fontId="4" fillId="4" borderId="0" xfId="0" applyNumberFormat="1" applyFont="1" applyFill="1" applyAlignment="1">
      <alignment horizontal="left" vertical="center"/>
    </xf>
    <xf numFmtId="165" fontId="5" fillId="4" borderId="0" xfId="0" applyNumberFormat="1" applyFont="1" applyFill="1" applyAlignment="1">
      <alignment horizontal="left" vertical="center"/>
    </xf>
    <xf numFmtId="165" fontId="74" fillId="4" borderId="0" xfId="0" applyNumberFormat="1" applyFont="1" applyFill="1" applyAlignment="1">
      <alignment vertical="center"/>
    </xf>
    <xf numFmtId="165" fontId="75" fillId="4" borderId="0" xfId="0" applyNumberFormat="1" applyFont="1" applyFill="1" applyAlignment="1">
      <alignment vertical="center"/>
    </xf>
    <xf numFmtId="170" fontId="3" fillId="0" borderId="0" xfId="1" applyNumberFormat="1" applyFont="1" applyAlignment="1">
      <alignment vertical="center"/>
    </xf>
    <xf numFmtId="49" fontId="29" fillId="3" borderId="0" xfId="76" applyNumberFormat="1" applyFont="1" applyFill="1" applyAlignment="1">
      <alignment vertical="center"/>
    </xf>
    <xf numFmtId="0" fontId="29" fillId="3" borderId="0" xfId="76" applyNumberFormat="1" applyFont="1" applyFill="1"/>
    <xf numFmtId="0" fontId="29" fillId="0" borderId="10" xfId="76" applyNumberFormat="1" applyFont="1" applyBorder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165" fontId="9" fillId="3" borderId="0" xfId="0" applyNumberFormat="1" applyFont="1" applyFill="1" applyAlignment="1">
      <alignment horizontal="right" vertical="center"/>
    </xf>
    <xf numFmtId="14" fontId="3" fillId="4" borderId="3" xfId="0" applyNumberFormat="1" applyFont="1" applyFill="1" applyBorder="1" applyAlignment="1">
      <alignment vertical="center"/>
    </xf>
    <xf numFmtId="14" fontId="4" fillId="4" borderId="3" xfId="0" applyNumberFormat="1" applyFont="1" applyFill="1" applyBorder="1" applyAlignment="1">
      <alignment vertical="center"/>
    </xf>
    <xf numFmtId="14" fontId="9" fillId="3" borderId="0" xfId="0" applyNumberFormat="1" applyFont="1" applyFill="1" applyAlignment="1">
      <alignment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5" fontId="9" fillId="0" borderId="2" xfId="0" applyNumberFormat="1" applyFont="1" applyBorder="1" applyAlignment="1">
      <alignment vertical="center"/>
    </xf>
    <xf numFmtId="165" fontId="76" fillId="0" borderId="0" xfId="0" applyNumberFormat="1" applyFont="1" applyAlignment="1">
      <alignment vertical="center"/>
    </xf>
    <xf numFmtId="2" fontId="9" fillId="0" borderId="8" xfId="0" applyNumberFormat="1" applyFont="1" applyBorder="1" applyAlignment="1">
      <alignment vertical="center"/>
    </xf>
    <xf numFmtId="176" fontId="9" fillId="0" borderId="0" xfId="0" applyNumberFormat="1" applyFont="1" applyAlignment="1">
      <alignment vertical="center"/>
    </xf>
    <xf numFmtId="181" fontId="9" fillId="0" borderId="0" xfId="75" applyNumberFormat="1" applyFont="1" applyAlignment="1">
      <alignment vertical="center"/>
    </xf>
    <xf numFmtId="179" fontId="9" fillId="0" borderId="21" xfId="75" applyNumberFormat="1" applyFont="1" applyBorder="1" applyAlignment="1">
      <alignment vertical="center"/>
    </xf>
    <xf numFmtId="165" fontId="6" fillId="0" borderId="3" xfId="0" applyNumberFormat="1" applyFont="1" applyBorder="1" applyAlignment="1">
      <alignment vertical="center"/>
    </xf>
    <xf numFmtId="174" fontId="6" fillId="0" borderId="0" xfId="75" applyNumberFormat="1" applyFont="1" applyAlignment="1">
      <alignment vertical="center"/>
    </xf>
    <xf numFmtId="0" fontId="77" fillId="4" borderId="0" xfId="0" applyFont="1" applyFill="1" applyAlignment="1">
      <alignment horizontal="center" vertical="center" wrapText="1"/>
    </xf>
    <xf numFmtId="0" fontId="74" fillId="4" borderId="0" xfId="0" applyFont="1" applyFill="1" applyAlignment="1">
      <alignment horizontal="left" vertical="center"/>
    </xf>
    <xf numFmtId="164" fontId="5" fillId="0" borderId="0" xfId="0" applyNumberFormat="1" applyFont="1" applyAlignment="1">
      <alignment vertical="center"/>
    </xf>
    <xf numFmtId="165" fontId="11" fillId="0" borderId="0" xfId="0" applyNumberFormat="1" applyFont="1" applyAlignment="1">
      <alignment horizontal="left" vertical="center"/>
    </xf>
    <xf numFmtId="165" fontId="78" fillId="0" borderId="0" xfId="0" applyNumberFormat="1" applyFont="1" applyAlignment="1">
      <alignment horizontal="center" vertical="center"/>
    </xf>
    <xf numFmtId="172" fontId="3" fillId="3" borderId="0" xfId="0" applyNumberFormat="1" applyFont="1" applyFill="1" applyAlignment="1">
      <alignment vertical="center"/>
    </xf>
    <xf numFmtId="182" fontId="3" fillId="72" borderId="0" xfId="0" applyNumberFormat="1" applyFont="1" applyFill="1" applyAlignment="1">
      <alignment horizontal="right" vertical="center"/>
    </xf>
    <xf numFmtId="0" fontId="3" fillId="72" borderId="0" xfId="0" applyFont="1" applyFill="1" applyAlignment="1">
      <alignment vertical="center" wrapText="1"/>
    </xf>
    <xf numFmtId="10" fontId="3" fillId="72" borderId="0" xfId="0" applyNumberFormat="1" applyFont="1" applyFill="1" applyAlignment="1">
      <alignment vertical="center"/>
    </xf>
    <xf numFmtId="0" fontId="29" fillId="0" borderId="10" xfId="76" applyNumberFormat="1" applyFont="1" applyBorder="1" applyAlignment="1">
      <alignment horizontal="center" vertical="center" wrapText="1"/>
    </xf>
    <xf numFmtId="49" fontId="3" fillId="3" borderId="0" xfId="0" applyNumberFormat="1" applyFont="1" applyFill="1" applyAlignment="1">
      <alignment vertical="center" wrapText="1"/>
    </xf>
    <xf numFmtId="165" fontId="9" fillId="0" borderId="32" xfId="0" applyNumberFormat="1" applyFont="1" applyBorder="1" applyAlignment="1">
      <alignment vertical="center"/>
    </xf>
    <xf numFmtId="165" fontId="9" fillId="0" borderId="9" xfId="0" applyNumberFormat="1" applyFont="1" applyBorder="1" applyAlignment="1">
      <alignment vertical="center"/>
    </xf>
    <xf numFmtId="0" fontId="3" fillId="4" borderId="0" xfId="0" applyFont="1" applyFill="1" applyAlignment="1">
      <alignment horizontal="left" vertical="top"/>
    </xf>
    <xf numFmtId="0" fontId="3" fillId="4" borderId="0" xfId="0" applyFont="1" applyFill="1" applyAlignment="1">
      <alignment horizontal="left" vertical="top" wrapText="1"/>
    </xf>
    <xf numFmtId="168" fontId="9" fillId="0" borderId="9" xfId="0" applyNumberFormat="1" applyFont="1" applyBorder="1" applyAlignment="1">
      <alignment vertical="center"/>
    </xf>
    <xf numFmtId="183" fontId="3" fillId="0" borderId="0" xfId="0" applyNumberFormat="1" applyFont="1" applyAlignment="1">
      <alignment vertical="center"/>
    </xf>
    <xf numFmtId="184" fontId="6" fillId="0" borderId="2" xfId="0" applyNumberFormat="1" applyFont="1" applyBorder="1" applyAlignment="1">
      <alignment vertical="center"/>
    </xf>
    <xf numFmtId="172" fontId="3" fillId="3" borderId="3" xfId="0" applyNumberFormat="1" applyFont="1" applyFill="1" applyBorder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0" borderId="0" xfId="1" applyNumberFormat="1" applyFont="1" applyAlignment="1">
      <alignment vertical="center"/>
    </xf>
    <xf numFmtId="176" fontId="0" fillId="3" borderId="0" xfId="0" applyNumberFormat="1" applyFill="1"/>
    <xf numFmtId="0" fontId="3" fillId="4" borderId="0" xfId="0" applyFont="1" applyFill="1" applyAlignment="1">
      <alignment horizontal="left" vertical="top" wrapText="1"/>
    </xf>
    <xf numFmtId="0" fontId="4" fillId="4" borderId="0" xfId="0" applyFont="1" applyFill="1" applyAlignment="1">
      <alignment vertical="center"/>
    </xf>
  </cellXfs>
  <cellStyles count="2261">
    <cellStyle name="_2.0 Emergency Process" xfId="1881" xr:uid="{00000000-0005-0000-0000-000059070000}"/>
    <cellStyle name="_Payroll - Dave Moon v2" xfId="1882" xr:uid="{00000000-0005-0000-0000-00005A070000}"/>
    <cellStyle name="%" xfId="5" xr:uid="{00000000-0005-0000-0000-000005000000}"/>
    <cellStyle name="% 2" xfId="6" xr:uid="{00000000-0005-0000-0000-000006000000}"/>
    <cellStyle name="% 3" xfId="87" xr:uid="{00000000-0005-0000-0000-000057000000}"/>
    <cellStyle name="%_NRA_model_for_NEMO" xfId="88" xr:uid="{00000000-0005-0000-0000-000058000000}"/>
    <cellStyle name="%_NRA_model_for_NEMO_NRA_model_for_NEMO2 (EMC Update) v0 30 1" xfId="89" xr:uid="{00000000-0005-0000-0000-000059000000}"/>
    <cellStyle name="%_NRA_model_for_NEMO_NRA_model_for_NEMO2 (EMC Update) v0.29.3" xfId="90" xr:uid="{00000000-0005-0000-0000-00005A000000}"/>
    <cellStyle name="%_NRA_model_for_NEMO_NRA_model_for_NEMO2 (EMC Update) v0.29.3_NRA_model_for_NEMO2 (EMC Update) v0 30 1" xfId="91" xr:uid="{00000000-0005-0000-0000-00005B000000}"/>
    <cellStyle name="%_NRA_model_for_NEMO_NRA_model_for_NEMO2 (EMC Update) v0.29.3_NRA_model_for_NEMO2 (EMC Update) v0.29.5" xfId="92" xr:uid="{00000000-0005-0000-0000-00005C000000}"/>
    <cellStyle name="%_NRA_model_for_NEMO_NRA_model_for_NEMO2 (EMC Update) v0.29.3_NRA_model_for_NEMO2 (EMC Update) v0.29.5_NRA_model_for_NEMO2 (EMC Update) v0 30 1" xfId="93" xr:uid="{00000000-0005-0000-0000-00005D000000}"/>
    <cellStyle name="%_NRA_model_for_NEMO_NRA_model_for_NEMO2 (EMC Update) v0.29.4" xfId="94" xr:uid="{00000000-0005-0000-0000-00005E000000}"/>
    <cellStyle name="%_NRA_model_for_NEMO_NRA_model_for_NEMO2 (EMC Update) v0.29.4_NRA_model_for_NEMO2 (EMC Update) v0 30 1" xfId="95" xr:uid="{00000000-0005-0000-0000-00005F000000}"/>
    <cellStyle name="%_NRA_model_for_NEMO_NRA_model_for_NEMO2 (EMC Update) v0.29.4_NRA_model_for_NEMO2 (EMC Update) v0.29.5" xfId="96" xr:uid="{00000000-0005-0000-0000-000060000000}"/>
    <cellStyle name="%_NRA_model_for_NEMO_NRA_model_for_NEMO2 (EMC Update) v0.29.4_NRA_model_for_NEMO2 (EMC Update) v0.29.5_NRA_model_for_NEMO2 (EMC Update) v0 30 1" xfId="97" xr:uid="{00000000-0005-0000-0000-000061000000}"/>
    <cellStyle name="%_NRA_model_for_NEMO_NRA_model_for_NEMO2 (EMC Update) v0.29.5" xfId="98" xr:uid="{00000000-0005-0000-0000-000062000000}"/>
    <cellStyle name="%_NRA_model_for_NEMO_NRA_model_for_NEMO2 (EMC Update) v0.29.5_NRA_model_for_NEMO2 (EMC Update) v0 30 1" xfId="99" xr:uid="{00000000-0005-0000-0000-000063000000}"/>
    <cellStyle name="%_NRA_model_for_NEMO2 " xfId="100" xr:uid="{00000000-0005-0000-0000-000064000000}"/>
    <cellStyle name="%_NRA_model_for_NEMO2 _NRA_model_for_NEMO2 (EMC Update) v0 30 1" xfId="1878" xr:uid="{00000000-0005-0000-0000-000056070000}"/>
    <cellStyle name="%_NRA_model_for_NEMO2 _NRA_model_for_NEMO2 (EMC Update) v0.29.5" xfId="1879" xr:uid="{00000000-0005-0000-0000-000057070000}"/>
    <cellStyle name="%_NRA_model_for_NEMO2 _NRA_model_for_NEMO2 (EMC Update) v0.29.5_NRA_model_for_NEMO2 (EMC Update) v0 30 1" xfId="1880" xr:uid="{00000000-0005-0000-0000-000058070000}"/>
    <cellStyle name="%_NRA_model_for_NEMO2 (E" xfId="101" xr:uid="{00000000-0005-0000-0000-000065000000}"/>
    <cellStyle name="%_NRA_model_for_NEMO2 (E_NRA_model_for_NEMO2 (EMC Update) v0 30 1" xfId="102" xr:uid="{00000000-0005-0000-0000-000066000000}"/>
    <cellStyle name="%_NRA_model_for_NEMO2 (EMC" xfId="103" xr:uid="{00000000-0005-0000-0000-000067000000}"/>
    <cellStyle name="%_NRA_model_for_NEMO2 (EMC Update) v0 30 1" xfId="104" xr:uid="{00000000-0005-0000-0000-000068000000}"/>
    <cellStyle name="%_NRA_model_for_NEMO2 (EMC Update) v0.19" xfId="105" xr:uid="{00000000-0005-0000-0000-000069000000}"/>
    <cellStyle name="%_NRA_model_for_NEMO2 (EMC Update) v0.19_NRA_model_for_NEMO2 (EMC Update) v0 30 1" xfId="106" xr:uid="{00000000-0005-0000-0000-00006A000000}"/>
    <cellStyle name="%_NRA_model_for_NEMO2 (EMC Update) v0.19_NRA_model_for_NEMO2 (EMC Update) v0.21" xfId="107" xr:uid="{00000000-0005-0000-0000-00006B000000}"/>
    <cellStyle name="%_NRA_model_for_NEMO2 (EMC Update) v0.19_NRA_model_for_NEMO2 (EMC Update) v0.21_NRA_model_for_NEMO2 (EMC Update) v0 30 1" xfId="108" xr:uid="{00000000-0005-0000-0000-00006C000000}"/>
    <cellStyle name="%_NRA_model_for_NEMO2 (EMC Update) v0.19_NRA_model_for_NEMO2 (EMC Update) v0.21_NRA_model_for_NEMO2 (EMC Update) v0.22" xfId="109" xr:uid="{00000000-0005-0000-0000-00006D000000}"/>
    <cellStyle name="%_NRA_model_for_NEMO2 (EMC Update) v0.19_NRA_model_for_NEMO2 (EMC Update) v0.21_NRA_model_for_NEMO2 (EMC Update) v0.22_NRA_model_for_NEMO2 (EMC Update) v0 30 1" xfId="110" xr:uid="{00000000-0005-0000-0000-00006E000000}"/>
    <cellStyle name="%_NRA_model_for_NEMO2 (EMC Update) v0.19_NRA_model_for_NEMO2 (EMC Update) v0.21_NRA_model_for_NEMO2 (EMC Update) v0.22_NRA_model_for_NEMO2 (EMC Update) v0.25" xfId="111" xr:uid="{00000000-0005-0000-0000-00006F000000}"/>
    <cellStyle name="%_NRA_model_for_NEMO2 (EMC Update) v0.19_NRA_model_for_NEMO2 (EMC Update) v0.21_NRA_model_for_NEMO2 (EMC Update) v0.22_NRA_model_for_NEMO2 (EMC Update) v0.25_NRA_model_for_NEMO2 (EMC Update) v0 30 1" xfId="112" xr:uid="{00000000-0005-0000-0000-000070000000}"/>
    <cellStyle name="%_NRA_model_for_NEMO2 (EMC Update) v0.19_NRA_model_for_NEMO2 (EMC Update) v0.21_NRA_model_for_NEMO2 (EMC Update) v0.22_NRA_model_for_NEMO2 (EMC Update) v0.25_NRA_model_for_NEMO2 (EMC Update) v0.26" xfId="113" xr:uid="{00000000-0005-0000-0000-000071000000}"/>
    <cellStyle name="%_NRA_model_for_NEMO2 (EMC Update) v0.19_NRA_model_for_NEMO2 (EMC Update) v0.21_NRA_model_for_NEMO2 (EMC Update) v0.22_NRA_model_for_NEMO2 (EMC Update) v0.25_NRA_model_for_NEMO2 (EMC Update) v0.26_NRA_model_for_NEMO2 (EMC Update) v0 30 1" xfId="114" xr:uid="{00000000-0005-0000-0000-000072000000}"/>
    <cellStyle name="%_NRA_model_for_NEMO2 (EMC Update) v0.19_NRA_model_for_NEMO2 (EMC Update) v0.21_NRA_model_for_NEMO2 (EMC Update) v0.22_NRA_model_for_NEMO2 (EMC Update) v0.25_NRA_model_for_NEMO2 (EMC Update) v0.26_NRA_model_for_NEMO2 (EMC Update) v0.29" xfId="115" xr:uid="{00000000-0005-0000-0000-000073000000}"/>
    <cellStyle name="%_NRA_model_for_NEMO2 (EMC Update) v0.19_NRA_model_for_NEMO2 (EMC Update) v0.21_NRA_model_for_NEMO2 (EMC Update) v0.22_NRA_model_for_NEMO2 (EMC Update) v0.25_NRA_model_for_NEMO2 (EMC Update) v0.26_NRA_model_for_NEMO2 (EMC Update) v0.29.2" xfId="116" xr:uid="{00000000-0005-0000-0000-000074000000}"/>
    <cellStyle name="%_NRA_model_for_NEMO2 (EMC Update) v0.19_NRA_model_for_NEMO2 (EMC Update) v0.21_NRA_model_for_NEMO2 (EMC Update) v0.22_NRA_model_for_NEMO2 (EMC Update) v0.25_NRA_model_for_NEMO2 (EMC Update) v0.26_NRA_model_for_NEMO2 (EMC Update) v0.29.3" xfId="117" xr:uid="{00000000-0005-0000-0000-000075000000}"/>
    <cellStyle name="%_NRA_model_for_NEMO2 (EMC Update) v0.19_NRA_model_for_NEMO2 (EMC Update) v0.21_NRA_model_for_NEMO2 (EMC Update) v0.22_NRA_model_for_NEMO2 (EMC Update) v0.25_NRA_model_for_NEMO2 (EMC Update) v0.26_NRA_model_for_NEMO2 (EMC Update) v0.29.4" xfId="118" xr:uid="{00000000-0005-0000-0000-000076000000}"/>
    <cellStyle name="%_NRA_model_for_NEMO2 (EMC Update) v0.19_NRA_model_for_NEMO2 (EMC Update) v0.21_NRA_model_for_NEMO2 (EMC Update) v0.22_NRA_model_for_NEMO2 (EMC Update) v0.25_NRA_model_for_NEMO2 (EMC Update) v0.26_NRA_model_for_NEMO2 (EMC Update) v0.29.5" xfId="119" xr:uid="{00000000-0005-0000-0000-000077000000}"/>
    <cellStyle name="%_NRA_model_for_NEMO2 (EMC Update) v0.19_NRA_model_for_NEMO2 (EMC Update) v0.21_NRA_model_for_NEMO2 (EMC Update) v0.22_NRA_model_for_NEMO2 (EMC Update) v0.25_NRA_model_for_NEMO2 (EMC Update) v0.29" xfId="120" xr:uid="{00000000-0005-0000-0000-000078000000}"/>
    <cellStyle name="%_NRA_model_for_NEMO2 (EMC Update) v0.19_NRA_model_for_NEMO2 (EMC Update) v0.21_NRA_model_for_NEMO2 (EMC Update) v0.22_NRA_model_for_NEMO2 (EMC Update) v0.25_NRA_model_for_NEMO2 (EMC Update) v0.29_NRA_model_for_NEMO2 (EMC Update) v0 30 1" xfId="134" xr:uid="{00000000-0005-0000-0000-000086000000}"/>
    <cellStyle name="%_NRA_model_for_NEMO2 (EMC Update) v0.19_NRA_model_for_NEMO2 (EMC Update) v0.21_NRA_model_for_NEMO2 (EMC Update) v0.22_NRA_model_for_NEMO2 (EMC Update) v0.25_NRA_model_for_NEMO2 (EMC Update) v0.29_NRA_model_for_NEMO2 (EMC Update) v0.29.2" xfId="135" xr:uid="{00000000-0005-0000-0000-000087000000}"/>
    <cellStyle name="%_NRA_model_for_NEMO2 (EMC Update) v0.19_NRA_model_for_NEMO2 (EMC Update) v0.21_NRA_model_for_NEMO2 (EMC Update) v0.22_NRA_model_for_NEMO2 (EMC Update) v0.25_NRA_model_for_NEMO2 (EMC Update) v0.29_NRA_model_for_NEMO2 (EMC Update) v0.29.3" xfId="136" xr:uid="{00000000-0005-0000-0000-000088000000}"/>
    <cellStyle name="%_NRA_model_for_NEMO2 (EMC Update) v0.19_NRA_model_for_NEMO2 (EMC Update) v0.21_NRA_model_for_NEMO2 (EMC Update) v0.22_NRA_model_for_NEMO2 (EMC Update) v0.25_NRA_model_for_NEMO2 (EMC Update) v0.29_NRA_model_for_NEMO2 (EMC Update) v0.29.4" xfId="137" xr:uid="{00000000-0005-0000-0000-000089000000}"/>
    <cellStyle name="%_NRA_model_for_NEMO2 (EMC Update) v0.19_NRA_model_for_NEMO2 (EMC Update) v0.21_NRA_model_for_NEMO2 (EMC Update) v0.22_NRA_model_for_NEMO2 (EMC Update) v0.25_NRA_model_for_NEMO2 (EMC Update) v0.29_NRA_model_for_NEMO2 (EMC Update) v0.29.5" xfId="138" xr:uid="{00000000-0005-0000-0000-00008A000000}"/>
    <cellStyle name="%_NRA_model_for_NEMO2 (EMC Update) v0.19_NRA_model_for_NEMO2 (EMC Update) v0.21_NRA_model_for_NEMO2 (EMC Update) v0.22_NRA_model_for_NEMO2 (EMC Update) v0.25_NRA_model_for_NEMO2 (EMC Update) v0.29.2" xfId="121" xr:uid="{00000000-0005-0000-0000-000079000000}"/>
    <cellStyle name="%_NRA_model_for_NEMO2 (EMC Update) v0.19_NRA_model_for_NEMO2 (EMC Update) v0.21_NRA_model_for_NEMO2 (EMC Update) v0.22_NRA_model_for_NEMO2 (EMC Update) v0.25_NRA_model_for_NEMO2 (EMC Update) v0.29.2_NRA_model_for_NEMO2 (EMC Update) v0 30 1" xfId="122" xr:uid="{00000000-0005-0000-0000-00007A000000}"/>
    <cellStyle name="%_NRA_model_for_NEMO2 (EMC Update) v0.19_NRA_model_for_NEMO2 (EMC Update) v0.21_NRA_model_for_NEMO2 (EMC Update) v0.22_NRA_model_for_NEMO2 (EMC Update) v0.25_NRA_model_for_NEMO2 (EMC Update) v0.29.2_NRA_model_for_NEMO2 (EMC Update) v0.29.3" xfId="123" xr:uid="{00000000-0005-0000-0000-00007B000000}"/>
    <cellStyle name="%_NRA_model_for_NEMO2 (EMC Update) v0.19_NRA_model_for_NEMO2 (EMC Update) v0.21_NRA_model_for_NEMO2 (EMC Update) v0.22_NRA_model_for_NEMO2 (EMC Update) v0.25_NRA_model_for_NEMO2 (EMC Update) v0.29.2_NRA_model_for_NEMO2 (EMC Update) v0.29.4" xfId="124" xr:uid="{00000000-0005-0000-0000-00007C000000}"/>
    <cellStyle name="%_NRA_model_for_NEMO2 (EMC Update) v0.19_NRA_model_for_NEMO2 (EMC Update) v0.21_NRA_model_for_NEMO2 (EMC Update) v0.22_NRA_model_for_NEMO2 (EMC Update) v0.25_NRA_model_for_NEMO2 (EMC Update) v0.29.2_NRA_model_for_NEMO2 (EMC Update) v0.29.5" xfId="125" xr:uid="{00000000-0005-0000-0000-00007D000000}"/>
    <cellStyle name="%_NRA_model_for_NEMO2 (EMC Update) v0.19_NRA_model_for_NEMO2 (EMC Update) v0.21_NRA_model_for_NEMO2 (EMC Update) v0.22_NRA_model_for_NEMO2 (EMC Update) v0.25_NRA_model_for_NEMO2 (EMC Update) v0.29.3" xfId="126" xr:uid="{00000000-0005-0000-0000-00007E000000}"/>
    <cellStyle name="%_NRA_model_for_NEMO2 (EMC Update) v0.19_NRA_model_for_NEMO2 (EMC Update) v0.21_NRA_model_for_NEMO2 (EMC Update) v0.22_NRA_model_for_NEMO2 (EMC Update) v0.25_NRA_model_for_NEMO2 (EMC Update) v0.29.3_NRA_model_for_NEMO2 (EMC Update) v0 30 1" xfId="127" xr:uid="{00000000-0005-0000-0000-00007F000000}"/>
    <cellStyle name="%_NRA_model_for_NEMO2 (EMC Update) v0.19_NRA_model_for_NEMO2 (EMC Update) v0.21_NRA_model_for_NEMO2 (EMC Update) v0.22_NRA_model_for_NEMO2 (EMC Update) v0.25_NRA_model_for_NEMO2 (EMC Update) v0.29.3_NRA_model_for_NEMO2 (EMC Update) v0.29.5" xfId="128" xr:uid="{00000000-0005-0000-0000-000080000000}"/>
    <cellStyle name="%_NRA_model_for_NEMO2 (EMC Update) v0.19_NRA_model_for_NEMO2 (EMC Update) v0.21_NRA_model_for_NEMO2 (EMC Update) v0.22_NRA_model_for_NEMO2 (EMC Update) v0.25_NRA_model_for_NEMO2 (EMC Update) v0.29.4" xfId="129" xr:uid="{00000000-0005-0000-0000-000081000000}"/>
    <cellStyle name="%_NRA_model_for_NEMO2 (EMC Update) v0.19_NRA_model_for_NEMO2 (EMC Update) v0.21_NRA_model_for_NEMO2 (EMC Update) v0.22_NRA_model_for_NEMO2 (EMC Update) v0.25_NRA_model_for_NEMO2 (EMC Update) v0.29.4_NRA_model_for_NEMO2 (EMC Update) v0 30 1" xfId="130" xr:uid="{00000000-0005-0000-0000-000082000000}"/>
    <cellStyle name="%_NRA_model_for_NEMO2 (EMC Update) v0.19_NRA_model_for_NEMO2 (EMC Update) v0.21_NRA_model_for_NEMO2 (EMC Update) v0.22_NRA_model_for_NEMO2 (EMC Update) v0.25_NRA_model_for_NEMO2 (EMC Update) v0.29.4_NRA_model_for_NEMO2 (EMC Update) v0.29.5" xfId="131" xr:uid="{00000000-0005-0000-0000-000083000000}"/>
    <cellStyle name="%_NRA_model_for_NEMO2 (EMC Update) v0.19_NRA_model_for_NEMO2 (EMC Update) v0.21_NRA_model_for_NEMO2 (EMC Update) v0.22_NRA_model_for_NEMO2 (EMC Update) v0.25_NRA_model_for_NEMO2 (EMC Update) v0.29.5" xfId="132" xr:uid="{00000000-0005-0000-0000-000084000000}"/>
    <cellStyle name="%_NRA_model_for_NEMO2 (EMC Update) v0.19_NRA_model_for_NEMO2 (EMC Update) v0.21_NRA_model_for_NEMO2 (EMC Update) v0.22_NRA_model_for_NEMO2 (EMC Update) v0.25_NRA_model_for_NEMO2 (EMC Update) v0.29.5_NRA_model_for_NEMO2 (EMC Update) v0 30 1" xfId="133" xr:uid="{00000000-0005-0000-0000-000085000000}"/>
    <cellStyle name="%_NRA_model_for_NEMO2 (EMC Update) v0.19_NRA_model_for_NEMO2 (EMC Update) v0.21_NRA_model_for_NEMO2 (EMC Update) v0.22_NRA_model_for_NEMO2 (EMC Update) v0.26" xfId="139" xr:uid="{00000000-0005-0000-0000-00008B000000}"/>
    <cellStyle name="%_NRA_model_for_NEMO2 (EMC Update) v0.19_NRA_model_for_NEMO2 (EMC Update) v0.21_NRA_model_for_NEMO2 (EMC Update) v0.22_NRA_model_for_NEMO2 (EMC Update) v0.26_NRA_model_for_NEMO2 (EMC Update) v0 30 1" xfId="140" xr:uid="{00000000-0005-0000-0000-00008C000000}"/>
    <cellStyle name="%_NRA_model_for_NEMO2 (EMC Update) v0.19_NRA_model_for_NEMO2 (EMC Update) v0.21_NRA_model_for_NEMO2 (EMC Update) v0.22_NRA_model_for_NEMO2 (EMC Update) v0.26_NRA_model_for_NEMO2 (EMC Update) v0.29" xfId="141" xr:uid="{00000000-0005-0000-0000-00008D000000}"/>
    <cellStyle name="%_NRA_model_for_NEMO2 (EMC Update) v0.19_NRA_model_for_NEMO2 (EMC Update) v0.21_NRA_model_for_NEMO2 (EMC Update) v0.22_NRA_model_for_NEMO2 (EMC Update) v0.26_NRA_model_for_NEMO2 (EMC Update) v0.29_NRA_model_for_NEMO2 (EMC Update) v0 30 1" xfId="155" xr:uid="{00000000-0005-0000-0000-00009B000000}"/>
    <cellStyle name="%_NRA_model_for_NEMO2 (EMC Update) v0.19_NRA_model_for_NEMO2 (EMC Update) v0.21_NRA_model_for_NEMO2 (EMC Update) v0.22_NRA_model_for_NEMO2 (EMC Update) v0.26_NRA_model_for_NEMO2 (EMC Update) v0.29_NRA_model_for_NEMO2 (EMC Update) v0.29.2" xfId="156" xr:uid="{00000000-0005-0000-0000-00009C000000}"/>
    <cellStyle name="%_NRA_model_for_NEMO2 (EMC Update) v0.19_NRA_model_for_NEMO2 (EMC Update) v0.21_NRA_model_for_NEMO2 (EMC Update) v0.22_NRA_model_for_NEMO2 (EMC Update) v0.26_NRA_model_for_NEMO2 (EMC Update) v0.29_NRA_model_for_NEMO2 (EMC Update) v0.29.3" xfId="157" xr:uid="{00000000-0005-0000-0000-00009D000000}"/>
    <cellStyle name="%_NRA_model_for_NEMO2 (EMC Update) v0.19_NRA_model_for_NEMO2 (EMC Update) v0.21_NRA_model_for_NEMO2 (EMC Update) v0.22_NRA_model_for_NEMO2 (EMC Update) v0.26_NRA_model_for_NEMO2 (EMC Update) v0.29_NRA_model_for_NEMO2 (EMC Update) v0.29.4" xfId="158" xr:uid="{00000000-0005-0000-0000-00009E000000}"/>
    <cellStyle name="%_NRA_model_for_NEMO2 (EMC Update) v0.19_NRA_model_for_NEMO2 (EMC Update) v0.21_NRA_model_for_NEMO2 (EMC Update) v0.22_NRA_model_for_NEMO2 (EMC Update) v0.26_NRA_model_for_NEMO2 (EMC Update) v0.29_NRA_model_for_NEMO2 (EMC Update) v0.29.5" xfId="159" xr:uid="{00000000-0005-0000-0000-00009F000000}"/>
    <cellStyle name="%_NRA_model_for_NEMO2 (EMC Update) v0.19_NRA_model_for_NEMO2 (EMC Update) v0.21_NRA_model_for_NEMO2 (EMC Update) v0.22_NRA_model_for_NEMO2 (EMC Update) v0.26_NRA_model_for_NEMO2 (EMC Update) v0.29.2" xfId="142" xr:uid="{00000000-0005-0000-0000-00008E000000}"/>
    <cellStyle name="%_NRA_model_for_NEMO2 (EMC Update) v0.19_NRA_model_for_NEMO2 (EMC Update) v0.21_NRA_model_for_NEMO2 (EMC Update) v0.22_NRA_model_for_NEMO2 (EMC Update) v0.26_NRA_model_for_NEMO2 (EMC Update) v0.29.2_NRA_model_for_NEMO2 (EMC Update) v0 30 1" xfId="143" xr:uid="{00000000-0005-0000-0000-00008F000000}"/>
    <cellStyle name="%_NRA_model_for_NEMO2 (EMC Update) v0.19_NRA_model_for_NEMO2 (EMC Update) v0.21_NRA_model_for_NEMO2 (EMC Update) v0.22_NRA_model_for_NEMO2 (EMC Update) v0.26_NRA_model_for_NEMO2 (EMC Update) v0.29.2_NRA_model_for_NEMO2 (EMC Update) v0.29.3" xfId="144" xr:uid="{00000000-0005-0000-0000-000090000000}"/>
    <cellStyle name="%_NRA_model_for_NEMO2 (EMC Update) v0.19_NRA_model_for_NEMO2 (EMC Update) v0.21_NRA_model_for_NEMO2 (EMC Update) v0.22_NRA_model_for_NEMO2 (EMC Update) v0.26_NRA_model_for_NEMO2 (EMC Update) v0.29.2_NRA_model_for_NEMO2 (EMC Update) v0.29.4" xfId="145" xr:uid="{00000000-0005-0000-0000-000091000000}"/>
    <cellStyle name="%_NRA_model_for_NEMO2 (EMC Update) v0.19_NRA_model_for_NEMO2 (EMC Update) v0.21_NRA_model_for_NEMO2 (EMC Update) v0.22_NRA_model_for_NEMO2 (EMC Update) v0.26_NRA_model_for_NEMO2 (EMC Update) v0.29.2_NRA_model_for_NEMO2 (EMC Update) v0.29.5" xfId="146" xr:uid="{00000000-0005-0000-0000-000092000000}"/>
    <cellStyle name="%_NRA_model_for_NEMO2 (EMC Update) v0.19_NRA_model_for_NEMO2 (EMC Update) v0.21_NRA_model_for_NEMO2 (EMC Update) v0.22_NRA_model_for_NEMO2 (EMC Update) v0.26_NRA_model_for_NEMO2 (EMC Update) v0.29.3" xfId="147" xr:uid="{00000000-0005-0000-0000-000093000000}"/>
    <cellStyle name="%_NRA_model_for_NEMO2 (EMC Update) v0.19_NRA_model_for_NEMO2 (EMC Update) v0.21_NRA_model_for_NEMO2 (EMC Update) v0.22_NRA_model_for_NEMO2 (EMC Update) v0.26_NRA_model_for_NEMO2 (EMC Update) v0.29.3_NRA_model_for_NEMO2 (EMC Update) v0 30 1" xfId="148" xr:uid="{00000000-0005-0000-0000-000094000000}"/>
    <cellStyle name="%_NRA_model_for_NEMO2 (EMC Update) v0.19_NRA_model_for_NEMO2 (EMC Update) v0.21_NRA_model_for_NEMO2 (EMC Update) v0.22_NRA_model_for_NEMO2 (EMC Update) v0.26_NRA_model_for_NEMO2 (EMC Update) v0.29.3_NRA_model_for_NEMO2 (EMC Update) v0.29.5" xfId="149" xr:uid="{00000000-0005-0000-0000-000095000000}"/>
    <cellStyle name="%_NRA_model_for_NEMO2 (EMC Update) v0.19_NRA_model_for_NEMO2 (EMC Update) v0.21_NRA_model_for_NEMO2 (EMC Update) v0.22_NRA_model_for_NEMO2 (EMC Update) v0.26_NRA_model_for_NEMO2 (EMC Update) v0.29.4" xfId="150" xr:uid="{00000000-0005-0000-0000-000096000000}"/>
    <cellStyle name="%_NRA_model_for_NEMO2 (EMC Update) v0.19_NRA_model_for_NEMO2 (EMC Update) v0.21_NRA_model_for_NEMO2 (EMC Update) v0.22_NRA_model_for_NEMO2 (EMC Update) v0.26_NRA_model_for_NEMO2 (EMC Update) v0.29.4_NRA_model_for_NEMO2 (EMC Update) v0 30 1" xfId="151" xr:uid="{00000000-0005-0000-0000-000097000000}"/>
    <cellStyle name="%_NRA_model_for_NEMO2 (EMC Update) v0.19_NRA_model_for_NEMO2 (EMC Update) v0.21_NRA_model_for_NEMO2 (EMC Update) v0.22_NRA_model_for_NEMO2 (EMC Update) v0.26_NRA_model_for_NEMO2 (EMC Update) v0.29.4_NRA_model_for_NEMO2 (EMC Update) v0.29.5" xfId="152" xr:uid="{00000000-0005-0000-0000-000098000000}"/>
    <cellStyle name="%_NRA_model_for_NEMO2 (EMC Update) v0.19_NRA_model_for_NEMO2 (EMC Update) v0.21_NRA_model_for_NEMO2 (EMC Update) v0.22_NRA_model_for_NEMO2 (EMC Update) v0.26_NRA_model_for_NEMO2 (EMC Update) v0.29.5" xfId="153" xr:uid="{00000000-0005-0000-0000-000099000000}"/>
    <cellStyle name="%_NRA_model_for_NEMO2 (EMC Update) v0.19_NRA_model_for_NEMO2 (EMC Update) v0.21_NRA_model_for_NEMO2 (EMC Update) v0.22_NRA_model_for_NEMO2 (EMC Update) v0.26_NRA_model_for_NEMO2 (EMC Update) v0.29.5_NRA_model_for_NEMO2 (EMC Update) v0 30 1" xfId="154" xr:uid="{00000000-0005-0000-0000-00009A000000}"/>
    <cellStyle name="%_NRA_model_for_NEMO2 (EMC Update) v0.19_NRA_model_for_NEMO2 (EMC Update) v0.21_NRA_model_for_NEMO2 (EMC Update) v0.22_NRA_model_for_NEMO2 (EMC Update) v0.29" xfId="160" xr:uid="{00000000-0005-0000-0000-0000A0000000}"/>
    <cellStyle name="%_NRA_model_for_NEMO2 (EMC Update) v0.19_NRA_model_for_NEMO2 (EMC Update) v0.21_NRA_model_for_NEMO2 (EMC Update) v0.22_NRA_model_for_NEMO2 (EMC Update) v0.29_NRA_model_for_NEMO2 (EMC Update) v0 30 1" xfId="181" xr:uid="{00000000-0005-0000-0000-0000B5000000}"/>
    <cellStyle name="%_NRA_model_for_NEMO2 (EMC Update) v0.19_NRA_model_for_NEMO2 (EMC Update) v0.21_NRA_model_for_NEMO2 (EMC Update) v0.22_NRA_model_for_NEMO2 (EMC Update) v0.29_NRA_model_for_NEMO2 (EMC Update) v0.29.2" xfId="182" xr:uid="{00000000-0005-0000-0000-0000B6000000}"/>
    <cellStyle name="%_NRA_model_for_NEMO2 (EMC Update) v0.19_NRA_model_for_NEMO2 (EMC Update) v0.21_NRA_model_for_NEMO2 (EMC Update) v0.22_NRA_model_for_NEMO2 (EMC Update) v0.29_NRA_model_for_NEMO2 (EMC Update) v0.29.2_NRA_model_for_NEMO2 (EMC Update) v0 30 1" xfId="183" xr:uid="{00000000-0005-0000-0000-0000B7000000}"/>
    <cellStyle name="%_NRA_model_for_NEMO2 (EMC Update) v0.19_NRA_model_for_NEMO2 (EMC Update) v0.21_NRA_model_for_NEMO2 (EMC Update) v0.22_NRA_model_for_NEMO2 (EMC Update) v0.29_NRA_model_for_NEMO2 (EMC Update) v0.29.2_NRA_model_for_NEMO2 (EMC Update) v0.29.3" xfId="184" xr:uid="{00000000-0005-0000-0000-0000B8000000}"/>
    <cellStyle name="%_NRA_model_for_NEMO2 (EMC Update) v0.19_NRA_model_for_NEMO2 (EMC Update) v0.21_NRA_model_for_NEMO2 (EMC Update) v0.22_NRA_model_for_NEMO2 (EMC Update) v0.29_NRA_model_for_NEMO2 (EMC Update) v0.29.2_NRA_model_for_NEMO2 (EMC Update) v0.29.4" xfId="185" xr:uid="{00000000-0005-0000-0000-0000B9000000}"/>
    <cellStyle name="%_NRA_model_for_NEMO2 (EMC Update) v0.19_NRA_model_for_NEMO2 (EMC Update) v0.21_NRA_model_for_NEMO2 (EMC Update) v0.22_NRA_model_for_NEMO2 (EMC Update) v0.29_NRA_model_for_NEMO2 (EMC Update) v0.29.2_NRA_model_for_NEMO2 (EMC Update) v0.29.5" xfId="186" xr:uid="{00000000-0005-0000-0000-0000BA000000}"/>
    <cellStyle name="%_NRA_model_for_NEMO2 (EMC Update) v0.19_NRA_model_for_NEMO2 (EMC Update) v0.21_NRA_model_for_NEMO2 (EMC Update) v0.22_NRA_model_for_NEMO2 (EMC Update) v0.29_NRA_model_for_NEMO2 (EMC Update) v0.29.3" xfId="187" xr:uid="{00000000-0005-0000-0000-0000BB000000}"/>
    <cellStyle name="%_NRA_model_for_NEMO2 (EMC Update) v0.19_NRA_model_for_NEMO2 (EMC Update) v0.21_NRA_model_for_NEMO2 (EMC Update) v0.22_NRA_model_for_NEMO2 (EMC Update) v0.29_NRA_model_for_NEMO2 (EMC Update) v0.29.3_NRA_model_for_NEMO2 (EMC Update) v0 30 1" xfId="188" xr:uid="{00000000-0005-0000-0000-0000BC000000}"/>
    <cellStyle name="%_NRA_model_for_NEMO2 (EMC Update) v0.19_NRA_model_for_NEMO2 (EMC Update) v0.21_NRA_model_for_NEMO2 (EMC Update) v0.22_NRA_model_for_NEMO2 (EMC Update) v0.29_NRA_model_for_NEMO2 (EMC Update) v0.29.3_NRA_model_for_NEMO2 (EMC Update) v0.29.5" xfId="189" xr:uid="{00000000-0005-0000-0000-0000BD000000}"/>
    <cellStyle name="%_NRA_model_for_NEMO2 (EMC Update) v0.19_NRA_model_for_NEMO2 (EMC Update) v0.21_NRA_model_for_NEMO2 (EMC Update) v0.22_NRA_model_for_NEMO2 (EMC Update) v0.29_NRA_model_for_NEMO2 (EMC Update) v0.29.4" xfId="190" xr:uid="{00000000-0005-0000-0000-0000BE000000}"/>
    <cellStyle name="%_NRA_model_for_NEMO2 (EMC Update) v0.19_NRA_model_for_NEMO2 (EMC Update) v0.21_NRA_model_for_NEMO2 (EMC Update) v0.22_NRA_model_for_NEMO2 (EMC Update) v0.29_NRA_model_for_NEMO2 (EMC Update) v0.29.4_NRA_model_for_NEMO2 (EMC Update) v0 30 1" xfId="191" xr:uid="{00000000-0005-0000-0000-0000BF000000}"/>
    <cellStyle name="%_NRA_model_for_NEMO2 (EMC Update) v0.19_NRA_model_for_NEMO2 (EMC Update) v0.21_NRA_model_for_NEMO2 (EMC Update) v0.22_NRA_model_for_NEMO2 (EMC Update) v0.29_NRA_model_for_NEMO2 (EMC Update) v0.29.4_NRA_model_for_NEMO2 (EMC Update) v0.29.5" xfId="192" xr:uid="{00000000-0005-0000-0000-0000C0000000}"/>
    <cellStyle name="%_NRA_model_for_NEMO2 (EMC Update) v0.19_NRA_model_for_NEMO2 (EMC Update) v0.21_NRA_model_for_NEMO2 (EMC Update) v0.22_NRA_model_for_NEMO2 (EMC Update) v0.29_NRA_model_for_NEMO2 (EMC Update) v0.29.5" xfId="193" xr:uid="{00000000-0005-0000-0000-0000C1000000}"/>
    <cellStyle name="%_NRA_model_for_NEMO2 (EMC Update) v0.19_NRA_model_for_NEMO2 (EMC Update) v0.21_NRA_model_for_NEMO2 (EMC Update) v0.22_NRA_model_for_NEMO2 (EMC Update) v0.29_NRA_model_for_NEMO2 (EMC Update) v0.29.5_NRA_model_for_NEMO2 (EMC Update) v0 30 1" xfId="194" xr:uid="{00000000-0005-0000-0000-0000C2000000}"/>
    <cellStyle name="%_NRA_model_for_NEMO2 (EMC Update) v0.19_NRA_model_for_NEMO2 (EMC Update) v0.21_NRA_model_for_NEMO2 (EMC Update) v0.22_NRA_model_for_NEMO2 (EMC Update) v0.29.2" xfId="161" xr:uid="{00000000-0005-0000-0000-0000A1000000}"/>
    <cellStyle name="%_NRA_model_for_NEMO2 (EMC Update) v0.19_NRA_model_for_NEMO2 (EMC Update) v0.21_NRA_model_for_NEMO2 (EMC Update) v0.22_NRA_model_for_NEMO2 (EMC Update) v0.29.2_NRA_model_for_NEMO2 (EMC Update) v0 30 1" xfId="162" xr:uid="{00000000-0005-0000-0000-0000A2000000}"/>
    <cellStyle name="%_NRA_model_for_NEMO2 (EMC Update) v0.19_NRA_model_for_NEMO2 (EMC Update) v0.21_NRA_model_for_NEMO2 (EMC Update) v0.22_NRA_model_for_NEMO2 (EMC Update) v0.29.2_NRA_model_for_NEMO2 (EMC Update) v0.29.3" xfId="163" xr:uid="{00000000-0005-0000-0000-0000A3000000}"/>
    <cellStyle name="%_NRA_model_for_NEMO2 (EMC Update) v0.19_NRA_model_for_NEMO2 (EMC Update) v0.21_NRA_model_for_NEMO2 (EMC Update) v0.22_NRA_model_for_NEMO2 (EMC Update) v0.29.2_NRA_model_for_NEMO2 (EMC Update) v0.29.3_NRA_model_for_NEMO2 (EMC Update) v0 30 1" xfId="164" xr:uid="{00000000-0005-0000-0000-0000A4000000}"/>
    <cellStyle name="%_NRA_model_for_NEMO2 (EMC Update) v0.19_NRA_model_for_NEMO2 (EMC Update) v0.21_NRA_model_for_NEMO2 (EMC Update) v0.22_NRA_model_for_NEMO2 (EMC Update) v0.29.2_NRA_model_for_NEMO2 (EMC Update) v0.29.3_NRA_model_for_NEMO2 (EMC Update) v0.29.5" xfId="165" xr:uid="{00000000-0005-0000-0000-0000A5000000}"/>
    <cellStyle name="%_NRA_model_for_NEMO2 (EMC Update) v0.19_NRA_model_for_NEMO2 (EMC Update) v0.21_NRA_model_for_NEMO2 (EMC Update) v0.22_NRA_model_for_NEMO2 (EMC Update) v0.29.2_NRA_model_for_NEMO2 (EMC Update) v0.29.4" xfId="166" xr:uid="{00000000-0005-0000-0000-0000A6000000}"/>
    <cellStyle name="%_NRA_model_for_NEMO2 (EMC Update) v0.19_NRA_model_for_NEMO2 (EMC Update) v0.21_NRA_model_for_NEMO2 (EMC Update) v0.22_NRA_model_for_NEMO2 (EMC Update) v0.29.2_NRA_model_for_NEMO2 (EMC Update) v0.29.4_NRA_model_for_NEMO2 (EMC Update) v0 30 1" xfId="167" xr:uid="{00000000-0005-0000-0000-0000A7000000}"/>
    <cellStyle name="%_NRA_model_for_NEMO2 (EMC Update) v0.19_NRA_model_for_NEMO2 (EMC Update) v0.21_NRA_model_for_NEMO2 (EMC Update) v0.22_NRA_model_for_NEMO2 (EMC Update) v0.29.2_NRA_model_for_NEMO2 (EMC Update) v0.29.4_NRA_model_for_NEMO2 (EMC Update) v0.29.5" xfId="168" xr:uid="{00000000-0005-0000-0000-0000A8000000}"/>
    <cellStyle name="%_NRA_model_for_NEMO2 (EMC Update) v0.19_NRA_model_for_NEMO2 (EMC Update) v0.21_NRA_model_for_NEMO2 (EMC Update) v0.22_NRA_model_for_NEMO2 (EMC Update) v0.29.2_NRA_model_for_NEMO2 (EMC Update) v0.29.5" xfId="169" xr:uid="{00000000-0005-0000-0000-0000A9000000}"/>
    <cellStyle name="%_NRA_model_for_NEMO2 (EMC Update) v0.19_NRA_model_for_NEMO2 (EMC Update) v0.21_NRA_model_for_NEMO2 (EMC Update) v0.22_NRA_model_for_NEMO2 (EMC Update) v0.29.2_NRA_model_for_NEMO2 (EMC Update) v0.29.5_NRA_model_for_NEMO2 (EMC Update) v0 30 1" xfId="170" xr:uid="{00000000-0005-0000-0000-0000AA000000}"/>
    <cellStyle name="%_NRA_model_for_NEMO2 (EMC Update) v0.19_NRA_model_for_NEMO2 (EMC Update) v0.21_NRA_model_for_NEMO2 (EMC Update) v0.22_NRA_model_for_NEMO2 (EMC Update) v0.29.3" xfId="171" xr:uid="{00000000-0005-0000-0000-0000AB000000}"/>
    <cellStyle name="%_NRA_model_for_NEMO2 (EMC Update) v0.19_NRA_model_for_NEMO2 (EMC Update) v0.21_NRA_model_for_NEMO2 (EMC Update) v0.22_NRA_model_for_NEMO2 (EMC Update) v0.29.3_NRA_model_for_NEMO2 (EMC Update) v0 30 1" xfId="172" xr:uid="{00000000-0005-0000-0000-0000AC000000}"/>
    <cellStyle name="%_NRA_model_for_NEMO2 (EMC Update) v0.19_NRA_model_for_NEMO2 (EMC Update) v0.21_NRA_model_for_NEMO2 (EMC Update) v0.22_NRA_model_for_NEMO2 (EMC Update) v0.29.3_NRA_model_for_NEMO2 (EMC Update) v0.29.5" xfId="173" xr:uid="{00000000-0005-0000-0000-0000AD000000}"/>
    <cellStyle name="%_NRA_model_for_NEMO2 (EMC Update) v0.19_NRA_model_for_NEMO2 (EMC Update) v0.21_NRA_model_for_NEMO2 (EMC Update) v0.22_NRA_model_for_NEMO2 (EMC Update) v0.29.3_NRA_model_for_NEMO2 (EMC Update) v0.29.5_NRA_model_for_NEMO2 (EMC Update) v0 30 1" xfId="174" xr:uid="{00000000-0005-0000-0000-0000AE000000}"/>
    <cellStyle name="%_NRA_model_for_NEMO2 (EMC Update) v0.19_NRA_model_for_NEMO2 (EMC Update) v0.21_NRA_model_for_NEMO2 (EMC Update) v0.22_NRA_model_for_NEMO2 (EMC Update) v0.29.4" xfId="175" xr:uid="{00000000-0005-0000-0000-0000AF000000}"/>
    <cellStyle name="%_NRA_model_for_NEMO2 (EMC Update) v0.19_NRA_model_for_NEMO2 (EMC Update) v0.21_NRA_model_for_NEMO2 (EMC Update) v0.22_NRA_model_for_NEMO2 (EMC Update) v0.29.4_NRA_model_for_NEMO2 (EMC Update) v0 30 1" xfId="176" xr:uid="{00000000-0005-0000-0000-0000B0000000}"/>
    <cellStyle name="%_NRA_model_for_NEMO2 (EMC Update) v0.19_NRA_model_for_NEMO2 (EMC Update) v0.21_NRA_model_for_NEMO2 (EMC Update) v0.22_NRA_model_for_NEMO2 (EMC Update) v0.29.4_NRA_model_for_NEMO2 (EMC Update) v0.29.5" xfId="177" xr:uid="{00000000-0005-0000-0000-0000B1000000}"/>
    <cellStyle name="%_NRA_model_for_NEMO2 (EMC Update) v0.19_NRA_model_for_NEMO2 (EMC Update) v0.21_NRA_model_for_NEMO2 (EMC Update) v0.22_NRA_model_for_NEMO2 (EMC Update) v0.29.4_NRA_model_for_NEMO2 (EMC Update) v0.29.5_NRA_model_for_NEMO2 (EMC Update) v0 30 1" xfId="178" xr:uid="{00000000-0005-0000-0000-0000B2000000}"/>
    <cellStyle name="%_NRA_model_for_NEMO2 (EMC Update) v0.19_NRA_model_for_NEMO2 (EMC Update) v0.21_NRA_model_for_NEMO2 (EMC Update) v0.22_NRA_model_for_NEMO2 (EMC Update) v0.29.5" xfId="179" xr:uid="{00000000-0005-0000-0000-0000B3000000}"/>
    <cellStyle name="%_NRA_model_for_NEMO2 (EMC Update) v0.19_NRA_model_for_NEMO2 (EMC Update) v0.21_NRA_model_for_NEMO2 (EMC Update) v0.22_NRA_model_for_NEMO2 (EMC Update) v0.29.5_NRA_model_for_NEMO2 (EMC Update) v0 30 1" xfId="180" xr:uid="{00000000-0005-0000-0000-0000B4000000}"/>
    <cellStyle name="%_NRA_model_for_NEMO2 (EMC Update) v0.19_NRA_model_for_NEMO2 (EMC Update) v0.21_NRA_model_for_NEMO2 (EMC Update) v0.25" xfId="195" xr:uid="{00000000-0005-0000-0000-0000C3000000}"/>
    <cellStyle name="%_NRA_model_for_NEMO2 (EMC Update) v0.19_NRA_model_for_NEMO2 (EMC Update) v0.21_NRA_model_for_NEMO2 (EMC Update) v0.25_NRA_model_for_NEMO2 (EMC Update) v0 30 1" xfId="196" xr:uid="{00000000-0005-0000-0000-0000C4000000}"/>
    <cellStyle name="%_NRA_model_for_NEMO2 (EMC Update) v0.19_NRA_model_for_NEMO2 (EMC Update) v0.21_NRA_model_for_NEMO2 (EMC Update) v0.25_NRA_model_for_NEMO2 (EMC Update) v0.26" xfId="197" xr:uid="{00000000-0005-0000-0000-0000C5000000}"/>
    <cellStyle name="%_NRA_model_for_NEMO2 (EMC Update) v0.19_NRA_model_for_NEMO2 (EMC Update) v0.21_NRA_model_for_NEMO2 (EMC Update) v0.25_NRA_model_for_NEMO2 (EMC Update) v0.26_NRA_model_for_NEMO2 (EMC Update) v0 30 1" xfId="198" xr:uid="{00000000-0005-0000-0000-0000C6000000}"/>
    <cellStyle name="%_NRA_model_for_NEMO2 (EMC Update) v0.19_NRA_model_for_NEMO2 (EMC Update) v0.21_NRA_model_for_NEMO2 (EMC Update) v0.25_NRA_model_for_NEMO2 (EMC Update) v0.26_NRA_model_for_NEMO2 (EMC Update) v0.29" xfId="199" xr:uid="{00000000-0005-0000-0000-0000C7000000}"/>
    <cellStyle name="%_NRA_model_for_NEMO2 (EMC Update) v0.19_NRA_model_for_NEMO2 (EMC Update) v0.21_NRA_model_for_NEMO2 (EMC Update) v0.25_NRA_model_for_NEMO2 (EMC Update) v0.26_NRA_model_for_NEMO2 (EMC Update) v0.29_NRA_model_for_NEMO2 (EMC Update) v0 30 1" xfId="213" xr:uid="{00000000-0005-0000-0000-0000D5000000}"/>
    <cellStyle name="%_NRA_model_for_NEMO2 (EMC Update) v0.19_NRA_model_for_NEMO2 (EMC Update) v0.21_NRA_model_for_NEMO2 (EMC Update) v0.25_NRA_model_for_NEMO2 (EMC Update) v0.26_NRA_model_for_NEMO2 (EMC Update) v0.29_NRA_model_for_NEMO2 (EMC Update) v0.29.2" xfId="214" xr:uid="{00000000-0005-0000-0000-0000D6000000}"/>
    <cellStyle name="%_NRA_model_for_NEMO2 (EMC Update) v0.19_NRA_model_for_NEMO2 (EMC Update) v0.21_NRA_model_for_NEMO2 (EMC Update) v0.25_NRA_model_for_NEMO2 (EMC Update) v0.26_NRA_model_for_NEMO2 (EMC Update) v0.29_NRA_model_for_NEMO2 (EMC Update) v0.29.3" xfId="215" xr:uid="{00000000-0005-0000-0000-0000D7000000}"/>
    <cellStyle name="%_NRA_model_for_NEMO2 (EMC Update) v0.19_NRA_model_for_NEMO2 (EMC Update) v0.21_NRA_model_for_NEMO2 (EMC Update) v0.25_NRA_model_for_NEMO2 (EMC Update) v0.26_NRA_model_for_NEMO2 (EMC Update) v0.29_NRA_model_for_NEMO2 (EMC Update) v0.29.4" xfId="216" xr:uid="{00000000-0005-0000-0000-0000D8000000}"/>
    <cellStyle name="%_NRA_model_for_NEMO2 (EMC Update) v0.19_NRA_model_for_NEMO2 (EMC Update) v0.21_NRA_model_for_NEMO2 (EMC Update) v0.25_NRA_model_for_NEMO2 (EMC Update) v0.26_NRA_model_for_NEMO2 (EMC Update) v0.29_NRA_model_for_NEMO2 (EMC Update) v0.29.5" xfId="217" xr:uid="{00000000-0005-0000-0000-0000D9000000}"/>
    <cellStyle name="%_NRA_model_for_NEMO2 (EMC Update) v0.19_NRA_model_for_NEMO2 (EMC Update) v0.21_NRA_model_for_NEMO2 (EMC Update) v0.25_NRA_model_for_NEMO2 (EMC Update) v0.26_NRA_model_for_NEMO2 (EMC Update) v0.29.2" xfId="200" xr:uid="{00000000-0005-0000-0000-0000C8000000}"/>
    <cellStyle name="%_NRA_model_for_NEMO2 (EMC Update) v0.19_NRA_model_for_NEMO2 (EMC Update) v0.21_NRA_model_for_NEMO2 (EMC Update) v0.25_NRA_model_for_NEMO2 (EMC Update) v0.26_NRA_model_for_NEMO2 (EMC Update) v0.29.2_NRA_model_for_NEMO2 (EMC Update) v0 30 1" xfId="201" xr:uid="{00000000-0005-0000-0000-0000C9000000}"/>
    <cellStyle name="%_NRA_model_for_NEMO2 (EMC Update) v0.19_NRA_model_for_NEMO2 (EMC Update) v0.21_NRA_model_for_NEMO2 (EMC Update) v0.25_NRA_model_for_NEMO2 (EMC Update) v0.26_NRA_model_for_NEMO2 (EMC Update) v0.29.2_NRA_model_for_NEMO2 (EMC Update) v0.29.3" xfId="202" xr:uid="{00000000-0005-0000-0000-0000CA000000}"/>
    <cellStyle name="%_NRA_model_for_NEMO2 (EMC Update) v0.19_NRA_model_for_NEMO2 (EMC Update) v0.21_NRA_model_for_NEMO2 (EMC Update) v0.25_NRA_model_for_NEMO2 (EMC Update) v0.26_NRA_model_for_NEMO2 (EMC Update) v0.29.2_NRA_model_for_NEMO2 (EMC Update) v0.29.4" xfId="203" xr:uid="{00000000-0005-0000-0000-0000CB000000}"/>
    <cellStyle name="%_NRA_model_for_NEMO2 (EMC Update) v0.19_NRA_model_for_NEMO2 (EMC Update) v0.21_NRA_model_for_NEMO2 (EMC Update) v0.25_NRA_model_for_NEMO2 (EMC Update) v0.26_NRA_model_for_NEMO2 (EMC Update) v0.29.2_NRA_model_for_NEMO2 (EMC Update) v0.29.5" xfId="204" xr:uid="{00000000-0005-0000-0000-0000CC000000}"/>
    <cellStyle name="%_NRA_model_for_NEMO2 (EMC Update) v0.19_NRA_model_for_NEMO2 (EMC Update) v0.21_NRA_model_for_NEMO2 (EMC Update) v0.25_NRA_model_for_NEMO2 (EMC Update) v0.26_NRA_model_for_NEMO2 (EMC Update) v0.29.3" xfId="205" xr:uid="{00000000-0005-0000-0000-0000CD000000}"/>
    <cellStyle name="%_NRA_model_for_NEMO2 (EMC Update) v0.19_NRA_model_for_NEMO2 (EMC Update) v0.21_NRA_model_for_NEMO2 (EMC Update) v0.25_NRA_model_for_NEMO2 (EMC Update) v0.26_NRA_model_for_NEMO2 (EMC Update) v0.29.3_NRA_model_for_NEMO2 (EMC Update) v0 30 1" xfId="206" xr:uid="{00000000-0005-0000-0000-0000CE000000}"/>
    <cellStyle name="%_NRA_model_for_NEMO2 (EMC Update) v0.19_NRA_model_for_NEMO2 (EMC Update) v0.21_NRA_model_for_NEMO2 (EMC Update) v0.25_NRA_model_for_NEMO2 (EMC Update) v0.26_NRA_model_for_NEMO2 (EMC Update) v0.29.3_NRA_model_for_NEMO2 (EMC Update) v0.29.5" xfId="207" xr:uid="{00000000-0005-0000-0000-0000CF000000}"/>
    <cellStyle name="%_NRA_model_for_NEMO2 (EMC Update) v0.19_NRA_model_for_NEMO2 (EMC Update) v0.21_NRA_model_for_NEMO2 (EMC Update) v0.25_NRA_model_for_NEMO2 (EMC Update) v0.26_NRA_model_for_NEMO2 (EMC Update) v0.29.4" xfId="208" xr:uid="{00000000-0005-0000-0000-0000D0000000}"/>
    <cellStyle name="%_NRA_model_for_NEMO2 (EMC Update) v0.19_NRA_model_for_NEMO2 (EMC Update) v0.21_NRA_model_for_NEMO2 (EMC Update) v0.25_NRA_model_for_NEMO2 (EMC Update) v0.26_NRA_model_for_NEMO2 (EMC Update) v0.29.4_NRA_model_for_NEMO2 (EMC Update) v0 30 1" xfId="209" xr:uid="{00000000-0005-0000-0000-0000D1000000}"/>
    <cellStyle name="%_NRA_model_for_NEMO2 (EMC Update) v0.19_NRA_model_for_NEMO2 (EMC Update) v0.21_NRA_model_for_NEMO2 (EMC Update) v0.25_NRA_model_for_NEMO2 (EMC Update) v0.26_NRA_model_for_NEMO2 (EMC Update) v0.29.4_NRA_model_for_NEMO2 (EMC Update) v0.29.5" xfId="210" xr:uid="{00000000-0005-0000-0000-0000D2000000}"/>
    <cellStyle name="%_NRA_model_for_NEMO2 (EMC Update) v0.19_NRA_model_for_NEMO2 (EMC Update) v0.21_NRA_model_for_NEMO2 (EMC Update) v0.25_NRA_model_for_NEMO2 (EMC Update) v0.26_NRA_model_for_NEMO2 (EMC Update) v0.29.5" xfId="211" xr:uid="{00000000-0005-0000-0000-0000D3000000}"/>
    <cellStyle name="%_NRA_model_for_NEMO2 (EMC Update) v0.19_NRA_model_for_NEMO2 (EMC Update) v0.21_NRA_model_for_NEMO2 (EMC Update) v0.25_NRA_model_for_NEMO2 (EMC Update) v0.26_NRA_model_for_NEMO2 (EMC Update) v0.29.5_NRA_model_for_NEMO2 (EMC Update) v0 30 1" xfId="212" xr:uid="{00000000-0005-0000-0000-0000D4000000}"/>
    <cellStyle name="%_NRA_model_for_NEMO2 (EMC Update) v0.19_NRA_model_for_NEMO2 (EMC Update) v0.21_NRA_model_for_NEMO2 (EMC Update) v0.25_NRA_model_for_NEMO2 (EMC Update) v0.29" xfId="218" xr:uid="{00000000-0005-0000-0000-0000DA000000}"/>
    <cellStyle name="%_NRA_model_for_NEMO2 (EMC Update) v0.19_NRA_model_for_NEMO2 (EMC Update) v0.21_NRA_model_for_NEMO2 (EMC Update) v0.25_NRA_model_for_NEMO2 (EMC Update) v0.29_NRA_model_for_NEMO2 (EMC Update) v0 30 1" xfId="239" xr:uid="{00000000-0005-0000-0000-0000EF000000}"/>
    <cellStyle name="%_NRA_model_for_NEMO2 (EMC Update) v0.19_NRA_model_for_NEMO2 (EMC Update) v0.21_NRA_model_for_NEMO2 (EMC Update) v0.25_NRA_model_for_NEMO2 (EMC Update) v0.29_NRA_model_for_NEMO2 (EMC Update) v0.29.2" xfId="240" xr:uid="{00000000-0005-0000-0000-0000F0000000}"/>
    <cellStyle name="%_NRA_model_for_NEMO2 (EMC Update) v0.19_NRA_model_for_NEMO2 (EMC Update) v0.21_NRA_model_for_NEMO2 (EMC Update) v0.25_NRA_model_for_NEMO2 (EMC Update) v0.29_NRA_model_for_NEMO2 (EMC Update) v0.29.2_NRA_model_for_NEMO2 (EMC Update) v0 30 1" xfId="241" xr:uid="{00000000-0005-0000-0000-0000F1000000}"/>
    <cellStyle name="%_NRA_model_for_NEMO2 (EMC Update) v0.19_NRA_model_for_NEMO2 (EMC Update) v0.21_NRA_model_for_NEMO2 (EMC Update) v0.25_NRA_model_for_NEMO2 (EMC Update) v0.29_NRA_model_for_NEMO2 (EMC Update) v0.29.2_NRA_model_for_NEMO2 (EMC Update) v0.29.3" xfId="242" xr:uid="{00000000-0005-0000-0000-0000F2000000}"/>
    <cellStyle name="%_NRA_model_for_NEMO2 (EMC Update) v0.19_NRA_model_for_NEMO2 (EMC Update) v0.21_NRA_model_for_NEMO2 (EMC Update) v0.25_NRA_model_for_NEMO2 (EMC Update) v0.29_NRA_model_for_NEMO2 (EMC Update) v0.29.2_NRA_model_for_NEMO2 (EMC Update) v0.29.4" xfId="243" xr:uid="{00000000-0005-0000-0000-0000F3000000}"/>
    <cellStyle name="%_NRA_model_for_NEMO2 (EMC Update) v0.19_NRA_model_for_NEMO2 (EMC Update) v0.21_NRA_model_for_NEMO2 (EMC Update) v0.25_NRA_model_for_NEMO2 (EMC Update) v0.29_NRA_model_for_NEMO2 (EMC Update) v0.29.2_NRA_model_for_NEMO2 (EMC Update) v0.29.5" xfId="244" xr:uid="{00000000-0005-0000-0000-0000F4000000}"/>
    <cellStyle name="%_NRA_model_for_NEMO2 (EMC Update) v0.19_NRA_model_for_NEMO2 (EMC Update) v0.21_NRA_model_for_NEMO2 (EMC Update) v0.25_NRA_model_for_NEMO2 (EMC Update) v0.29_NRA_model_for_NEMO2 (EMC Update) v0.29.3" xfId="245" xr:uid="{00000000-0005-0000-0000-0000F5000000}"/>
    <cellStyle name="%_NRA_model_for_NEMO2 (EMC Update) v0.19_NRA_model_for_NEMO2 (EMC Update) v0.21_NRA_model_for_NEMO2 (EMC Update) v0.25_NRA_model_for_NEMO2 (EMC Update) v0.29_NRA_model_for_NEMO2 (EMC Update) v0.29.3_NRA_model_for_NEMO2 (EMC Update) v0 30 1" xfId="246" xr:uid="{00000000-0005-0000-0000-0000F6000000}"/>
    <cellStyle name="%_NRA_model_for_NEMO2 (EMC Update) v0.19_NRA_model_for_NEMO2 (EMC Update) v0.21_NRA_model_for_NEMO2 (EMC Update) v0.25_NRA_model_for_NEMO2 (EMC Update) v0.29_NRA_model_for_NEMO2 (EMC Update) v0.29.3_NRA_model_for_NEMO2 (EMC Update) v0.29.5" xfId="247" xr:uid="{00000000-0005-0000-0000-0000F7000000}"/>
    <cellStyle name="%_NRA_model_for_NEMO2 (EMC Update) v0.19_NRA_model_for_NEMO2 (EMC Update) v0.21_NRA_model_for_NEMO2 (EMC Update) v0.25_NRA_model_for_NEMO2 (EMC Update) v0.29_NRA_model_for_NEMO2 (EMC Update) v0.29.4" xfId="248" xr:uid="{00000000-0005-0000-0000-0000F8000000}"/>
    <cellStyle name="%_NRA_model_for_NEMO2 (EMC Update) v0.19_NRA_model_for_NEMO2 (EMC Update) v0.21_NRA_model_for_NEMO2 (EMC Update) v0.25_NRA_model_for_NEMO2 (EMC Update) v0.29_NRA_model_for_NEMO2 (EMC Update) v0.29.4_NRA_model_for_NEMO2 (EMC Update) v0 30 1" xfId="249" xr:uid="{00000000-0005-0000-0000-0000F9000000}"/>
    <cellStyle name="%_NRA_model_for_NEMO2 (EMC Update) v0.19_NRA_model_for_NEMO2 (EMC Update) v0.21_NRA_model_for_NEMO2 (EMC Update) v0.25_NRA_model_for_NEMO2 (EMC Update) v0.29_NRA_model_for_NEMO2 (EMC Update) v0.29.4_NRA_model_for_NEMO2 (EMC Update) v0.29.5" xfId="250" xr:uid="{00000000-0005-0000-0000-0000FA000000}"/>
    <cellStyle name="%_NRA_model_for_NEMO2 (EMC Update) v0.19_NRA_model_for_NEMO2 (EMC Update) v0.21_NRA_model_for_NEMO2 (EMC Update) v0.25_NRA_model_for_NEMO2 (EMC Update) v0.29_NRA_model_for_NEMO2 (EMC Update) v0.29.5" xfId="251" xr:uid="{00000000-0005-0000-0000-0000FB000000}"/>
    <cellStyle name="%_NRA_model_for_NEMO2 (EMC Update) v0.19_NRA_model_for_NEMO2 (EMC Update) v0.21_NRA_model_for_NEMO2 (EMC Update) v0.25_NRA_model_for_NEMO2 (EMC Update) v0.29_NRA_model_for_NEMO2 (EMC Update) v0.29.5_NRA_model_for_NEMO2 (EMC Update) v0 30 1" xfId="252" xr:uid="{00000000-0005-0000-0000-0000FC000000}"/>
    <cellStyle name="%_NRA_model_for_NEMO2 (EMC Update) v0.19_NRA_model_for_NEMO2 (EMC Update) v0.21_NRA_model_for_NEMO2 (EMC Update) v0.25_NRA_model_for_NEMO2 (EMC Update) v0.29.2" xfId="219" xr:uid="{00000000-0005-0000-0000-0000DB000000}"/>
    <cellStyle name="%_NRA_model_for_NEMO2 (EMC Update) v0.19_NRA_model_for_NEMO2 (EMC Update) v0.21_NRA_model_for_NEMO2 (EMC Update) v0.25_NRA_model_for_NEMO2 (EMC Update) v0.29.2_NRA_model_for_NEMO2 (EMC Update) v0 30 1" xfId="220" xr:uid="{00000000-0005-0000-0000-0000DC000000}"/>
    <cellStyle name="%_NRA_model_for_NEMO2 (EMC Update) v0.19_NRA_model_for_NEMO2 (EMC Update) v0.21_NRA_model_for_NEMO2 (EMC Update) v0.25_NRA_model_for_NEMO2 (EMC Update) v0.29.2_NRA_model_for_NEMO2 (EMC Update) v0.29.3" xfId="221" xr:uid="{00000000-0005-0000-0000-0000DD000000}"/>
    <cellStyle name="%_NRA_model_for_NEMO2 (EMC Update) v0.19_NRA_model_for_NEMO2 (EMC Update) v0.21_NRA_model_for_NEMO2 (EMC Update) v0.25_NRA_model_for_NEMO2 (EMC Update) v0.29.2_NRA_model_for_NEMO2 (EMC Update) v0.29.3_NRA_model_for_NEMO2 (EMC Update) v0 30 1" xfId="222" xr:uid="{00000000-0005-0000-0000-0000DE000000}"/>
    <cellStyle name="%_NRA_model_for_NEMO2 (EMC Update) v0.19_NRA_model_for_NEMO2 (EMC Update) v0.21_NRA_model_for_NEMO2 (EMC Update) v0.25_NRA_model_for_NEMO2 (EMC Update) v0.29.2_NRA_model_for_NEMO2 (EMC Update) v0.29.3_NRA_model_for_NEMO2 (EMC Update) v0.29.5" xfId="223" xr:uid="{00000000-0005-0000-0000-0000DF000000}"/>
    <cellStyle name="%_NRA_model_for_NEMO2 (EMC Update) v0.19_NRA_model_for_NEMO2 (EMC Update) v0.21_NRA_model_for_NEMO2 (EMC Update) v0.25_NRA_model_for_NEMO2 (EMC Update) v0.29.2_NRA_model_for_NEMO2 (EMC Update) v0.29.4" xfId="224" xr:uid="{00000000-0005-0000-0000-0000E0000000}"/>
    <cellStyle name="%_NRA_model_for_NEMO2 (EMC Update) v0.19_NRA_model_for_NEMO2 (EMC Update) v0.21_NRA_model_for_NEMO2 (EMC Update) v0.25_NRA_model_for_NEMO2 (EMC Update) v0.29.2_NRA_model_for_NEMO2 (EMC Update) v0.29.4_NRA_model_for_NEMO2 (EMC Update) v0 30 1" xfId="225" xr:uid="{00000000-0005-0000-0000-0000E1000000}"/>
    <cellStyle name="%_NRA_model_for_NEMO2 (EMC Update) v0.19_NRA_model_for_NEMO2 (EMC Update) v0.21_NRA_model_for_NEMO2 (EMC Update) v0.25_NRA_model_for_NEMO2 (EMC Update) v0.29.2_NRA_model_for_NEMO2 (EMC Update) v0.29.4_NRA_model_for_NEMO2 (EMC Update) v0.29.5" xfId="226" xr:uid="{00000000-0005-0000-0000-0000E2000000}"/>
    <cellStyle name="%_NRA_model_for_NEMO2 (EMC Update) v0.19_NRA_model_for_NEMO2 (EMC Update) v0.21_NRA_model_for_NEMO2 (EMC Update) v0.25_NRA_model_for_NEMO2 (EMC Update) v0.29.2_NRA_model_for_NEMO2 (EMC Update) v0.29.5" xfId="227" xr:uid="{00000000-0005-0000-0000-0000E3000000}"/>
    <cellStyle name="%_NRA_model_for_NEMO2 (EMC Update) v0.19_NRA_model_for_NEMO2 (EMC Update) v0.21_NRA_model_for_NEMO2 (EMC Update) v0.25_NRA_model_for_NEMO2 (EMC Update) v0.29.2_NRA_model_for_NEMO2 (EMC Update) v0.29.5_NRA_model_for_NEMO2 (EMC Update) v0 30 1" xfId="228" xr:uid="{00000000-0005-0000-0000-0000E4000000}"/>
    <cellStyle name="%_NRA_model_for_NEMO2 (EMC Update) v0.19_NRA_model_for_NEMO2 (EMC Update) v0.21_NRA_model_for_NEMO2 (EMC Update) v0.25_NRA_model_for_NEMO2 (EMC Update) v0.29.3" xfId="229" xr:uid="{00000000-0005-0000-0000-0000E5000000}"/>
    <cellStyle name="%_NRA_model_for_NEMO2 (EMC Update) v0.19_NRA_model_for_NEMO2 (EMC Update) v0.21_NRA_model_for_NEMO2 (EMC Update) v0.25_NRA_model_for_NEMO2 (EMC Update) v0.29.3_NRA_model_for_NEMO2 (EMC Update) v0 30 1" xfId="230" xr:uid="{00000000-0005-0000-0000-0000E6000000}"/>
    <cellStyle name="%_NRA_model_for_NEMO2 (EMC Update) v0.19_NRA_model_for_NEMO2 (EMC Update) v0.21_NRA_model_for_NEMO2 (EMC Update) v0.25_NRA_model_for_NEMO2 (EMC Update) v0.29.3_NRA_model_for_NEMO2 (EMC Update) v0.29.5" xfId="231" xr:uid="{00000000-0005-0000-0000-0000E7000000}"/>
    <cellStyle name="%_NRA_model_for_NEMO2 (EMC Update) v0.19_NRA_model_for_NEMO2 (EMC Update) v0.21_NRA_model_for_NEMO2 (EMC Update) v0.25_NRA_model_for_NEMO2 (EMC Update) v0.29.3_NRA_model_for_NEMO2 (EMC Update) v0.29.5_NRA_model_for_NEMO2 (EMC Update) v0 30 1" xfId="232" xr:uid="{00000000-0005-0000-0000-0000E8000000}"/>
    <cellStyle name="%_NRA_model_for_NEMO2 (EMC Update) v0.19_NRA_model_for_NEMO2 (EMC Update) v0.21_NRA_model_for_NEMO2 (EMC Update) v0.25_NRA_model_for_NEMO2 (EMC Update) v0.29.4" xfId="233" xr:uid="{00000000-0005-0000-0000-0000E9000000}"/>
    <cellStyle name="%_NRA_model_for_NEMO2 (EMC Update) v0.19_NRA_model_for_NEMO2 (EMC Update) v0.21_NRA_model_for_NEMO2 (EMC Update) v0.25_NRA_model_for_NEMO2 (EMC Update) v0.29.4_NRA_model_for_NEMO2 (EMC Update) v0 30 1" xfId="234" xr:uid="{00000000-0005-0000-0000-0000EA000000}"/>
    <cellStyle name="%_NRA_model_for_NEMO2 (EMC Update) v0.19_NRA_model_for_NEMO2 (EMC Update) v0.21_NRA_model_for_NEMO2 (EMC Update) v0.25_NRA_model_for_NEMO2 (EMC Update) v0.29.4_NRA_model_for_NEMO2 (EMC Update) v0.29.5" xfId="235" xr:uid="{00000000-0005-0000-0000-0000EB000000}"/>
    <cellStyle name="%_NRA_model_for_NEMO2 (EMC Update) v0.19_NRA_model_for_NEMO2 (EMC Update) v0.21_NRA_model_for_NEMO2 (EMC Update) v0.25_NRA_model_for_NEMO2 (EMC Update) v0.29.4_NRA_model_for_NEMO2 (EMC Update) v0.29.5_NRA_model_for_NEMO2 (EMC Update) v0 30 1" xfId="236" xr:uid="{00000000-0005-0000-0000-0000EC000000}"/>
    <cellStyle name="%_NRA_model_for_NEMO2 (EMC Update) v0.19_NRA_model_for_NEMO2 (EMC Update) v0.21_NRA_model_for_NEMO2 (EMC Update) v0.25_NRA_model_for_NEMO2 (EMC Update) v0.29.5" xfId="237" xr:uid="{00000000-0005-0000-0000-0000ED000000}"/>
    <cellStyle name="%_NRA_model_for_NEMO2 (EMC Update) v0.19_NRA_model_for_NEMO2 (EMC Update) v0.21_NRA_model_for_NEMO2 (EMC Update) v0.25_NRA_model_for_NEMO2 (EMC Update) v0.29.5_NRA_model_for_NEMO2 (EMC Update) v0 30 1" xfId="238" xr:uid="{00000000-0005-0000-0000-0000EE000000}"/>
    <cellStyle name="%_NRA_model_for_NEMO2 (EMC Update) v0.19_NRA_model_for_NEMO2 (EMC Update) v0.21_NRA_model_for_NEMO2 (EMC Update) v0.26" xfId="253" xr:uid="{00000000-0005-0000-0000-0000FD000000}"/>
    <cellStyle name="%_NRA_model_for_NEMO2 (EMC Update) v0.19_NRA_model_for_NEMO2 (EMC Update) v0.21_NRA_model_for_NEMO2 (EMC Update) v0.26_NRA_model_for_NEMO2 (EMC Update) v0 30 1" xfId="254" xr:uid="{00000000-0005-0000-0000-0000FE000000}"/>
    <cellStyle name="%_NRA_model_for_NEMO2 (EMC Update) v0.19_NRA_model_for_NEMO2 (EMC Update) v0.21_NRA_model_for_NEMO2 (EMC Update) v0.26_NRA_model_for_NEMO2 (EMC Update) v0.29" xfId="255" xr:uid="{00000000-0005-0000-0000-0000FF000000}"/>
    <cellStyle name="%_NRA_model_for_NEMO2 (EMC Update) v0.19_NRA_model_for_NEMO2 (EMC Update) v0.21_NRA_model_for_NEMO2 (EMC Update) v0.26_NRA_model_for_NEMO2 (EMC Update) v0.29_NRA_model_for_NEMO2 (EMC Update) v0 30 1" xfId="276" xr:uid="{00000000-0005-0000-0000-000014010000}"/>
    <cellStyle name="%_NRA_model_for_NEMO2 (EMC Update) v0.19_NRA_model_for_NEMO2 (EMC Update) v0.21_NRA_model_for_NEMO2 (EMC Update) v0.26_NRA_model_for_NEMO2 (EMC Update) v0.29_NRA_model_for_NEMO2 (EMC Update) v0.29.2" xfId="277" xr:uid="{00000000-0005-0000-0000-000015010000}"/>
    <cellStyle name="%_NRA_model_for_NEMO2 (EMC Update) v0.19_NRA_model_for_NEMO2 (EMC Update) v0.21_NRA_model_for_NEMO2 (EMC Update) v0.26_NRA_model_for_NEMO2 (EMC Update) v0.29_NRA_model_for_NEMO2 (EMC Update) v0.29.2_NRA_model_for_NEMO2 (EMC Update) v0 30 1" xfId="278" xr:uid="{00000000-0005-0000-0000-000016010000}"/>
    <cellStyle name="%_NRA_model_for_NEMO2 (EMC Update) v0.19_NRA_model_for_NEMO2 (EMC Update) v0.21_NRA_model_for_NEMO2 (EMC Update) v0.26_NRA_model_for_NEMO2 (EMC Update) v0.29_NRA_model_for_NEMO2 (EMC Update) v0.29.2_NRA_model_for_NEMO2 (EMC Update) v0.29.3" xfId="279" xr:uid="{00000000-0005-0000-0000-000017010000}"/>
    <cellStyle name="%_NRA_model_for_NEMO2 (EMC Update) v0.19_NRA_model_for_NEMO2 (EMC Update) v0.21_NRA_model_for_NEMO2 (EMC Update) v0.26_NRA_model_for_NEMO2 (EMC Update) v0.29_NRA_model_for_NEMO2 (EMC Update) v0.29.2_NRA_model_for_NEMO2 (EMC Update) v0.29.4" xfId="280" xr:uid="{00000000-0005-0000-0000-000018010000}"/>
    <cellStyle name="%_NRA_model_for_NEMO2 (EMC Update) v0.19_NRA_model_for_NEMO2 (EMC Update) v0.21_NRA_model_for_NEMO2 (EMC Update) v0.26_NRA_model_for_NEMO2 (EMC Update) v0.29_NRA_model_for_NEMO2 (EMC Update) v0.29.2_NRA_model_for_NEMO2 (EMC Update) v0.29.5" xfId="281" xr:uid="{00000000-0005-0000-0000-000019010000}"/>
    <cellStyle name="%_NRA_model_for_NEMO2 (EMC Update) v0.19_NRA_model_for_NEMO2 (EMC Update) v0.21_NRA_model_for_NEMO2 (EMC Update) v0.26_NRA_model_for_NEMO2 (EMC Update) v0.29_NRA_model_for_NEMO2 (EMC Update) v0.29.3" xfId="282" xr:uid="{00000000-0005-0000-0000-00001A010000}"/>
    <cellStyle name="%_NRA_model_for_NEMO2 (EMC Update) v0.19_NRA_model_for_NEMO2 (EMC Update) v0.21_NRA_model_for_NEMO2 (EMC Update) v0.26_NRA_model_for_NEMO2 (EMC Update) v0.29_NRA_model_for_NEMO2 (EMC Update) v0.29.3_NRA_model_for_NEMO2 (EMC Update) v0 30 1" xfId="283" xr:uid="{00000000-0005-0000-0000-00001B010000}"/>
    <cellStyle name="%_NRA_model_for_NEMO2 (EMC Update) v0.19_NRA_model_for_NEMO2 (EMC Update) v0.21_NRA_model_for_NEMO2 (EMC Update) v0.26_NRA_model_for_NEMO2 (EMC Update) v0.29_NRA_model_for_NEMO2 (EMC Update) v0.29.3_NRA_model_for_NEMO2 (EMC Update) v0.29.5" xfId="284" xr:uid="{00000000-0005-0000-0000-00001C010000}"/>
    <cellStyle name="%_NRA_model_for_NEMO2 (EMC Update) v0.19_NRA_model_for_NEMO2 (EMC Update) v0.21_NRA_model_for_NEMO2 (EMC Update) v0.26_NRA_model_for_NEMO2 (EMC Update) v0.29_NRA_model_for_NEMO2 (EMC Update) v0.29.4" xfId="285" xr:uid="{00000000-0005-0000-0000-00001D010000}"/>
    <cellStyle name="%_NRA_model_for_NEMO2 (EMC Update) v0.19_NRA_model_for_NEMO2 (EMC Update) v0.21_NRA_model_for_NEMO2 (EMC Update) v0.26_NRA_model_for_NEMO2 (EMC Update) v0.29_NRA_model_for_NEMO2 (EMC Update) v0.29.4_NRA_model_for_NEMO2 (EMC Update) v0 30 1" xfId="286" xr:uid="{00000000-0005-0000-0000-00001E010000}"/>
    <cellStyle name="%_NRA_model_for_NEMO2 (EMC Update) v0.19_NRA_model_for_NEMO2 (EMC Update) v0.21_NRA_model_for_NEMO2 (EMC Update) v0.26_NRA_model_for_NEMO2 (EMC Update) v0.29_NRA_model_for_NEMO2 (EMC Update) v0.29.4_NRA_model_for_NEMO2 (EMC Update) v0.29.5" xfId="287" xr:uid="{00000000-0005-0000-0000-00001F010000}"/>
    <cellStyle name="%_NRA_model_for_NEMO2 (EMC Update) v0.19_NRA_model_for_NEMO2 (EMC Update) v0.21_NRA_model_for_NEMO2 (EMC Update) v0.26_NRA_model_for_NEMO2 (EMC Update) v0.29_NRA_model_for_NEMO2 (EMC Update) v0.29.5" xfId="288" xr:uid="{00000000-0005-0000-0000-000020010000}"/>
    <cellStyle name="%_NRA_model_for_NEMO2 (EMC Update) v0.19_NRA_model_for_NEMO2 (EMC Update) v0.21_NRA_model_for_NEMO2 (EMC Update) v0.26_NRA_model_for_NEMO2 (EMC Update) v0.29_NRA_model_for_NEMO2 (EMC Update) v0.29.5_NRA_model_for_NEMO2 (EMC Update) v0 30 1" xfId="289" xr:uid="{00000000-0005-0000-0000-000021010000}"/>
    <cellStyle name="%_NRA_model_for_NEMO2 (EMC Update) v0.19_NRA_model_for_NEMO2 (EMC Update) v0.21_NRA_model_for_NEMO2 (EMC Update) v0.26_NRA_model_for_NEMO2 (EMC Update) v0.29.2" xfId="256" xr:uid="{00000000-0005-0000-0000-000000010000}"/>
    <cellStyle name="%_NRA_model_for_NEMO2 (EMC Update) v0.19_NRA_model_for_NEMO2 (EMC Update) v0.21_NRA_model_for_NEMO2 (EMC Update) v0.26_NRA_model_for_NEMO2 (EMC Update) v0.29.2_NRA_model_for_NEMO2 (EMC Update) v0 30 1" xfId="257" xr:uid="{00000000-0005-0000-0000-000001010000}"/>
    <cellStyle name="%_NRA_model_for_NEMO2 (EMC Update) v0.19_NRA_model_for_NEMO2 (EMC Update) v0.21_NRA_model_for_NEMO2 (EMC Update) v0.26_NRA_model_for_NEMO2 (EMC Update) v0.29.2_NRA_model_for_NEMO2 (EMC Update) v0.29.3" xfId="258" xr:uid="{00000000-0005-0000-0000-000002010000}"/>
    <cellStyle name="%_NRA_model_for_NEMO2 (EMC Update) v0.19_NRA_model_for_NEMO2 (EMC Update) v0.21_NRA_model_for_NEMO2 (EMC Update) v0.26_NRA_model_for_NEMO2 (EMC Update) v0.29.2_NRA_model_for_NEMO2 (EMC Update) v0.29.3_NRA_model_for_NEMO2 (EMC Update) v0 30 1" xfId="259" xr:uid="{00000000-0005-0000-0000-000003010000}"/>
    <cellStyle name="%_NRA_model_for_NEMO2 (EMC Update) v0.19_NRA_model_for_NEMO2 (EMC Update) v0.21_NRA_model_for_NEMO2 (EMC Update) v0.26_NRA_model_for_NEMO2 (EMC Update) v0.29.2_NRA_model_for_NEMO2 (EMC Update) v0.29.3_NRA_model_for_NEMO2 (EMC Update) v0.29.5" xfId="260" xr:uid="{00000000-0005-0000-0000-000004010000}"/>
    <cellStyle name="%_NRA_model_for_NEMO2 (EMC Update) v0.19_NRA_model_for_NEMO2 (EMC Update) v0.21_NRA_model_for_NEMO2 (EMC Update) v0.26_NRA_model_for_NEMO2 (EMC Update) v0.29.2_NRA_model_for_NEMO2 (EMC Update) v0.29.4" xfId="261" xr:uid="{00000000-0005-0000-0000-000005010000}"/>
    <cellStyle name="%_NRA_model_for_NEMO2 (EMC Update) v0.19_NRA_model_for_NEMO2 (EMC Update) v0.21_NRA_model_for_NEMO2 (EMC Update) v0.26_NRA_model_for_NEMO2 (EMC Update) v0.29.2_NRA_model_for_NEMO2 (EMC Update) v0.29.4_NRA_model_for_NEMO2 (EMC Update) v0 30 1" xfId="262" xr:uid="{00000000-0005-0000-0000-000006010000}"/>
    <cellStyle name="%_NRA_model_for_NEMO2 (EMC Update) v0.19_NRA_model_for_NEMO2 (EMC Update) v0.21_NRA_model_for_NEMO2 (EMC Update) v0.26_NRA_model_for_NEMO2 (EMC Update) v0.29.2_NRA_model_for_NEMO2 (EMC Update) v0.29.4_NRA_model_for_NEMO2 (EMC Update) v0.29.5" xfId="263" xr:uid="{00000000-0005-0000-0000-000007010000}"/>
    <cellStyle name="%_NRA_model_for_NEMO2 (EMC Update) v0.19_NRA_model_for_NEMO2 (EMC Update) v0.21_NRA_model_for_NEMO2 (EMC Update) v0.26_NRA_model_for_NEMO2 (EMC Update) v0.29.2_NRA_model_for_NEMO2 (EMC Update) v0.29.5" xfId="264" xr:uid="{00000000-0005-0000-0000-000008010000}"/>
    <cellStyle name="%_NRA_model_for_NEMO2 (EMC Update) v0.19_NRA_model_for_NEMO2 (EMC Update) v0.21_NRA_model_for_NEMO2 (EMC Update) v0.26_NRA_model_for_NEMO2 (EMC Update) v0.29.2_NRA_model_for_NEMO2 (EMC Update) v0.29.5_NRA_model_for_NEMO2 (EMC Update) v0 30 1" xfId="265" xr:uid="{00000000-0005-0000-0000-000009010000}"/>
    <cellStyle name="%_NRA_model_for_NEMO2 (EMC Update) v0.19_NRA_model_for_NEMO2 (EMC Update) v0.21_NRA_model_for_NEMO2 (EMC Update) v0.26_NRA_model_for_NEMO2 (EMC Update) v0.29.3" xfId="266" xr:uid="{00000000-0005-0000-0000-00000A010000}"/>
    <cellStyle name="%_NRA_model_for_NEMO2 (EMC Update) v0.19_NRA_model_for_NEMO2 (EMC Update) v0.21_NRA_model_for_NEMO2 (EMC Update) v0.26_NRA_model_for_NEMO2 (EMC Update) v0.29.3_NRA_model_for_NEMO2 (EMC Update) v0 30 1" xfId="267" xr:uid="{00000000-0005-0000-0000-00000B010000}"/>
    <cellStyle name="%_NRA_model_for_NEMO2 (EMC Update) v0.19_NRA_model_for_NEMO2 (EMC Update) v0.21_NRA_model_for_NEMO2 (EMC Update) v0.26_NRA_model_for_NEMO2 (EMC Update) v0.29.3_NRA_model_for_NEMO2 (EMC Update) v0.29.5" xfId="268" xr:uid="{00000000-0005-0000-0000-00000C010000}"/>
    <cellStyle name="%_NRA_model_for_NEMO2 (EMC Update) v0.19_NRA_model_for_NEMO2 (EMC Update) v0.21_NRA_model_for_NEMO2 (EMC Update) v0.26_NRA_model_for_NEMO2 (EMC Update) v0.29.3_NRA_model_for_NEMO2 (EMC Update) v0.29.5_NRA_model_for_NEMO2 (EMC Update) v0 30 1" xfId="269" xr:uid="{00000000-0005-0000-0000-00000D010000}"/>
    <cellStyle name="%_NRA_model_for_NEMO2 (EMC Update) v0.19_NRA_model_for_NEMO2 (EMC Update) v0.21_NRA_model_for_NEMO2 (EMC Update) v0.26_NRA_model_for_NEMO2 (EMC Update) v0.29.4" xfId="270" xr:uid="{00000000-0005-0000-0000-00000E010000}"/>
    <cellStyle name="%_NRA_model_for_NEMO2 (EMC Update) v0.19_NRA_model_for_NEMO2 (EMC Update) v0.21_NRA_model_for_NEMO2 (EMC Update) v0.26_NRA_model_for_NEMO2 (EMC Update) v0.29.4_NRA_model_for_NEMO2 (EMC Update) v0 30 1" xfId="271" xr:uid="{00000000-0005-0000-0000-00000F010000}"/>
    <cellStyle name="%_NRA_model_for_NEMO2 (EMC Update) v0.19_NRA_model_for_NEMO2 (EMC Update) v0.21_NRA_model_for_NEMO2 (EMC Update) v0.26_NRA_model_for_NEMO2 (EMC Update) v0.29.4_NRA_model_for_NEMO2 (EMC Update) v0.29.5" xfId="272" xr:uid="{00000000-0005-0000-0000-000010010000}"/>
    <cellStyle name="%_NRA_model_for_NEMO2 (EMC Update) v0.19_NRA_model_for_NEMO2 (EMC Update) v0.21_NRA_model_for_NEMO2 (EMC Update) v0.26_NRA_model_for_NEMO2 (EMC Update) v0.29.4_NRA_model_for_NEMO2 (EMC Update) v0.29.5_NRA_model_for_NEMO2 (EMC Update) v0 30 1" xfId="273" xr:uid="{00000000-0005-0000-0000-000011010000}"/>
    <cellStyle name="%_NRA_model_for_NEMO2 (EMC Update) v0.19_NRA_model_for_NEMO2 (EMC Update) v0.21_NRA_model_for_NEMO2 (EMC Update) v0.26_NRA_model_for_NEMO2 (EMC Update) v0.29.5" xfId="274" xr:uid="{00000000-0005-0000-0000-000012010000}"/>
    <cellStyle name="%_NRA_model_for_NEMO2 (EMC Update) v0.19_NRA_model_for_NEMO2 (EMC Update) v0.21_NRA_model_for_NEMO2 (EMC Update) v0.26_NRA_model_for_NEMO2 (EMC Update) v0.29.5_NRA_model_for_NEMO2 (EMC Update) v0 30 1" xfId="275" xr:uid="{00000000-0005-0000-0000-000013010000}"/>
    <cellStyle name="%_NRA_model_for_NEMO2 (EMC Update) v0.19_NRA_model_for_NEMO2 (EMC Update) v0.21_NRA_model_for_NEMO2 (EMC Update) v0.29" xfId="290" xr:uid="{00000000-0005-0000-0000-000022010000}"/>
    <cellStyle name="%_NRA_model_for_NEMO2 (EMC Update) v0.19_NRA_model_for_NEMO2 (EMC Update) v0.21_NRA_model_for_NEMO2 (EMC Update) v0.29_NRA_model_for_NEMO2 (EMC Update) v0 30 1" xfId="313" xr:uid="{00000000-0005-0000-0000-000039010000}"/>
    <cellStyle name="%_NRA_model_for_NEMO2 (EMC Update) v0.19_NRA_model_for_NEMO2 (EMC Update) v0.21_NRA_model_for_NEMO2 (EMC Update) v0.29_NRA_model_for_NEMO2 (EMC Update) v0.29.2" xfId="314" xr:uid="{00000000-0005-0000-0000-00003A010000}"/>
    <cellStyle name="%_NRA_model_for_NEMO2 (EMC Update) v0.19_NRA_model_for_NEMO2 (EMC Update) v0.21_NRA_model_for_NEMO2 (EMC Update) v0.29_NRA_model_for_NEMO2 (EMC Update) v0.29.2_NRA_model_for_NEMO2 (EMC Update) v0 30 1" xfId="315" xr:uid="{00000000-0005-0000-0000-00003B010000}"/>
    <cellStyle name="%_NRA_model_for_NEMO2 (EMC Update) v0.19_NRA_model_for_NEMO2 (EMC Update) v0.21_NRA_model_for_NEMO2 (EMC Update) v0.29_NRA_model_for_NEMO2 (EMC Update) v0.29.2_NRA_model_for_NEMO2 (EMC Update) v0.29.3" xfId="316" xr:uid="{00000000-0005-0000-0000-00003C010000}"/>
    <cellStyle name="%_NRA_model_for_NEMO2 (EMC Update) v0.19_NRA_model_for_NEMO2 (EMC Update) v0.21_NRA_model_for_NEMO2 (EMC Update) v0.29_NRA_model_for_NEMO2 (EMC Update) v0.29.2_NRA_model_for_NEMO2 (EMC Update) v0.29.3_NRA_model_for_NEMO2 (EMC Update) v0 30 1" xfId="317" xr:uid="{00000000-0005-0000-0000-00003D010000}"/>
    <cellStyle name="%_NRA_model_for_NEMO2 (EMC Update) v0.19_NRA_model_for_NEMO2 (EMC Update) v0.21_NRA_model_for_NEMO2 (EMC Update) v0.29_NRA_model_for_NEMO2 (EMC Update) v0.29.2_NRA_model_for_NEMO2 (EMC Update) v0.29.3_NRA_model_for_NEMO2 (EMC Update) v0.29.5" xfId="318" xr:uid="{00000000-0005-0000-0000-00003E010000}"/>
    <cellStyle name="%_NRA_model_for_NEMO2 (EMC Update) v0.19_NRA_model_for_NEMO2 (EMC Update) v0.21_NRA_model_for_NEMO2 (EMC Update) v0.29_NRA_model_for_NEMO2 (EMC Update) v0.29.2_NRA_model_for_NEMO2 (EMC Update) v0.29.4" xfId="319" xr:uid="{00000000-0005-0000-0000-00003F010000}"/>
    <cellStyle name="%_NRA_model_for_NEMO2 (EMC Update) v0.19_NRA_model_for_NEMO2 (EMC Update) v0.21_NRA_model_for_NEMO2 (EMC Update) v0.29_NRA_model_for_NEMO2 (EMC Update) v0.29.2_NRA_model_for_NEMO2 (EMC Update) v0.29.4_NRA_model_for_NEMO2 (EMC Update) v0 30 1" xfId="320" xr:uid="{00000000-0005-0000-0000-000040010000}"/>
    <cellStyle name="%_NRA_model_for_NEMO2 (EMC Update) v0.19_NRA_model_for_NEMO2 (EMC Update) v0.21_NRA_model_for_NEMO2 (EMC Update) v0.29_NRA_model_for_NEMO2 (EMC Update) v0.29.2_NRA_model_for_NEMO2 (EMC Update) v0.29.4_NRA_model_for_NEMO2 (EMC Update) v0.29.5" xfId="321" xr:uid="{00000000-0005-0000-0000-000041010000}"/>
    <cellStyle name="%_NRA_model_for_NEMO2 (EMC Update) v0.19_NRA_model_for_NEMO2 (EMC Update) v0.21_NRA_model_for_NEMO2 (EMC Update) v0.29_NRA_model_for_NEMO2 (EMC Update) v0.29.2_NRA_model_for_NEMO2 (EMC Update) v0.29.5" xfId="322" xr:uid="{00000000-0005-0000-0000-000042010000}"/>
    <cellStyle name="%_NRA_model_for_NEMO2 (EMC Update) v0.19_NRA_model_for_NEMO2 (EMC Update) v0.21_NRA_model_for_NEMO2 (EMC Update) v0.29_NRA_model_for_NEMO2 (EMC Update) v0.29.2_NRA_model_for_NEMO2 (EMC Update) v0.29.5_NRA_model_for_NEMO2 (EMC Update) v0 30 1" xfId="323" xr:uid="{00000000-0005-0000-0000-000043010000}"/>
    <cellStyle name="%_NRA_model_for_NEMO2 (EMC Update) v0.19_NRA_model_for_NEMO2 (EMC Update) v0.21_NRA_model_for_NEMO2 (EMC Update) v0.29_NRA_model_for_NEMO2 (EMC Update) v0.29.3" xfId="324" xr:uid="{00000000-0005-0000-0000-000044010000}"/>
    <cellStyle name="%_NRA_model_for_NEMO2 (EMC Update) v0.19_NRA_model_for_NEMO2 (EMC Update) v0.21_NRA_model_for_NEMO2 (EMC Update) v0.29_NRA_model_for_NEMO2 (EMC Update) v0.29.3_NRA_model_for_NEMO2 (EMC Update) v0 30 1" xfId="325" xr:uid="{00000000-0005-0000-0000-000045010000}"/>
    <cellStyle name="%_NRA_model_for_NEMO2 (EMC Update) v0.19_NRA_model_for_NEMO2 (EMC Update) v0.21_NRA_model_for_NEMO2 (EMC Update) v0.29_NRA_model_for_NEMO2 (EMC Update) v0.29.3_NRA_model_for_NEMO2 (EMC Update) v0.29.5" xfId="326" xr:uid="{00000000-0005-0000-0000-000046010000}"/>
    <cellStyle name="%_NRA_model_for_NEMO2 (EMC Update) v0.19_NRA_model_for_NEMO2 (EMC Update) v0.21_NRA_model_for_NEMO2 (EMC Update) v0.29_NRA_model_for_NEMO2 (EMC Update) v0.29.3_NRA_model_for_NEMO2 (EMC Update) v0.29.5_NRA_model_for_NEMO2 (EMC Update) v0 30 1" xfId="327" xr:uid="{00000000-0005-0000-0000-000047010000}"/>
    <cellStyle name="%_NRA_model_for_NEMO2 (EMC Update) v0.19_NRA_model_for_NEMO2 (EMC Update) v0.21_NRA_model_for_NEMO2 (EMC Update) v0.29_NRA_model_for_NEMO2 (EMC Update) v0.29.4" xfId="328" xr:uid="{00000000-0005-0000-0000-000048010000}"/>
    <cellStyle name="%_NRA_model_for_NEMO2 (EMC Update) v0.19_NRA_model_for_NEMO2 (EMC Update) v0.21_NRA_model_for_NEMO2 (EMC Update) v0.29_NRA_model_for_NEMO2 (EMC Update) v0.29.4_NRA_model_for_NEMO2 (EMC Update) v0 30 1" xfId="329" xr:uid="{00000000-0005-0000-0000-000049010000}"/>
    <cellStyle name="%_NRA_model_for_NEMO2 (EMC Update) v0.19_NRA_model_for_NEMO2 (EMC Update) v0.21_NRA_model_for_NEMO2 (EMC Update) v0.29_NRA_model_for_NEMO2 (EMC Update) v0.29.4_NRA_model_for_NEMO2 (EMC Update) v0.29.5" xfId="330" xr:uid="{00000000-0005-0000-0000-00004A010000}"/>
    <cellStyle name="%_NRA_model_for_NEMO2 (EMC Update) v0.19_NRA_model_for_NEMO2 (EMC Update) v0.21_NRA_model_for_NEMO2 (EMC Update) v0.29_NRA_model_for_NEMO2 (EMC Update) v0.29.4_NRA_model_for_NEMO2 (EMC Update) v0.29.5_NRA_model_for_NEMO2 (EMC Update) v0 30 1" xfId="331" xr:uid="{00000000-0005-0000-0000-00004B010000}"/>
    <cellStyle name="%_NRA_model_for_NEMO2 (EMC Update) v0.19_NRA_model_for_NEMO2 (EMC Update) v0.21_NRA_model_for_NEMO2 (EMC Update) v0.29_NRA_model_for_NEMO2 (EMC Update) v0.29.5" xfId="332" xr:uid="{00000000-0005-0000-0000-00004C010000}"/>
    <cellStyle name="%_NRA_model_for_NEMO2 (EMC Update) v0.19_NRA_model_for_NEMO2 (EMC Update) v0.21_NRA_model_for_NEMO2 (EMC Update) v0.29_NRA_model_for_NEMO2 (EMC Update) v0.29.5_NRA_model_for_NEMO2 (EMC Update) v0 30 1" xfId="333" xr:uid="{00000000-0005-0000-0000-00004D010000}"/>
    <cellStyle name="%_NRA_model_for_NEMO2 (EMC Update) v0.19_NRA_model_for_NEMO2 (EMC Update) v0.21_NRA_model_for_NEMO2 (EMC Update) v0.29.2" xfId="291" xr:uid="{00000000-0005-0000-0000-000023010000}"/>
    <cellStyle name="%_NRA_model_for_NEMO2 (EMC Update) v0.19_NRA_model_for_NEMO2 (EMC Update) v0.21_NRA_model_for_NEMO2 (EMC Update) v0.29.2_NRA_model_for_NEMO2 (EMC Update) v0 30 1" xfId="292" xr:uid="{00000000-0005-0000-0000-000024010000}"/>
    <cellStyle name="%_NRA_model_for_NEMO2 (EMC Update) v0.19_NRA_model_for_NEMO2 (EMC Update) v0.21_NRA_model_for_NEMO2 (EMC Update) v0.29.2_NRA_model_for_NEMO2 (EMC Update) v0.29.3" xfId="293" xr:uid="{00000000-0005-0000-0000-000025010000}"/>
    <cellStyle name="%_NRA_model_for_NEMO2 (EMC Update) v0.19_NRA_model_for_NEMO2 (EMC Update) v0.21_NRA_model_for_NEMO2 (EMC Update) v0.29.2_NRA_model_for_NEMO2 (EMC Update) v0.29.3_NRA_model_for_NEMO2 (EMC Update) v0 30 1" xfId="294" xr:uid="{00000000-0005-0000-0000-000026010000}"/>
    <cellStyle name="%_NRA_model_for_NEMO2 (EMC Update) v0.19_NRA_model_for_NEMO2 (EMC Update) v0.21_NRA_model_for_NEMO2 (EMC Update) v0.29.2_NRA_model_for_NEMO2 (EMC Update) v0.29.3_NRA_model_for_NEMO2 (EMC Update) v0.29.5" xfId="295" xr:uid="{00000000-0005-0000-0000-000027010000}"/>
    <cellStyle name="%_NRA_model_for_NEMO2 (EMC Update) v0.19_NRA_model_for_NEMO2 (EMC Update) v0.21_NRA_model_for_NEMO2 (EMC Update) v0.29.2_NRA_model_for_NEMO2 (EMC Update) v0.29.3_NRA_model_for_NEMO2 (EMC Update) v0.29.5_NRA_model_for_NEMO2 (EMC Update) v0 30 1" xfId="296" xr:uid="{00000000-0005-0000-0000-000028010000}"/>
    <cellStyle name="%_NRA_model_for_NEMO2 (EMC Update) v0.19_NRA_model_for_NEMO2 (EMC Update) v0.21_NRA_model_for_NEMO2 (EMC Update) v0.29.2_NRA_model_for_NEMO2 (EMC Update) v0.29.4" xfId="297" xr:uid="{00000000-0005-0000-0000-000029010000}"/>
    <cellStyle name="%_NRA_model_for_NEMO2 (EMC Update) v0.19_NRA_model_for_NEMO2 (EMC Update) v0.21_NRA_model_for_NEMO2 (EMC Update) v0.29.2_NRA_model_for_NEMO2 (EMC Update) v0.29.4_NRA_model_for_NEMO2 (EMC Update) v0 30 1" xfId="298" xr:uid="{00000000-0005-0000-0000-00002A010000}"/>
    <cellStyle name="%_NRA_model_for_NEMO2 (EMC Update) v0.19_NRA_model_for_NEMO2 (EMC Update) v0.21_NRA_model_for_NEMO2 (EMC Update) v0.29.2_NRA_model_for_NEMO2 (EMC Update) v0.29.4_NRA_model_for_NEMO2 (EMC Update) v0.29.5" xfId="299" xr:uid="{00000000-0005-0000-0000-00002B010000}"/>
    <cellStyle name="%_NRA_model_for_NEMO2 (EMC Update) v0.19_NRA_model_for_NEMO2 (EMC Update) v0.21_NRA_model_for_NEMO2 (EMC Update) v0.29.2_NRA_model_for_NEMO2 (EMC Update) v0.29.4_NRA_model_for_NEMO2 (EMC Update) v0.29.5_NRA_model_for_NEMO2 (EMC Update) v0 30 1" xfId="300" xr:uid="{00000000-0005-0000-0000-00002C010000}"/>
    <cellStyle name="%_NRA_model_for_NEMO2 (EMC Update) v0.19_NRA_model_for_NEMO2 (EMC Update) v0.21_NRA_model_for_NEMO2 (EMC Update) v0.29.2_NRA_model_for_NEMO2 (EMC Update) v0.29.5" xfId="301" xr:uid="{00000000-0005-0000-0000-00002D010000}"/>
    <cellStyle name="%_NRA_model_for_NEMO2 (EMC Update) v0.19_NRA_model_for_NEMO2 (EMC Update) v0.21_NRA_model_for_NEMO2 (EMC Update) v0.29.2_NRA_model_for_NEMO2 (EMC Update) v0.29.5_NRA_model_for_NEMO2 (EMC Update) v0 30 1" xfId="302" xr:uid="{00000000-0005-0000-0000-00002E010000}"/>
    <cellStyle name="%_NRA_model_for_NEMO2 (EMC Update) v0.19_NRA_model_for_NEMO2 (EMC Update) v0.21_NRA_model_for_NEMO2 (EMC Update) v0.29.3" xfId="303" xr:uid="{00000000-0005-0000-0000-00002F010000}"/>
    <cellStyle name="%_NRA_model_for_NEMO2 (EMC Update) v0.19_NRA_model_for_NEMO2 (EMC Update) v0.21_NRA_model_for_NEMO2 (EMC Update) v0.29.3_NRA_model_for_NEMO2 (EMC Update) v0 30 1" xfId="304" xr:uid="{00000000-0005-0000-0000-000030010000}"/>
    <cellStyle name="%_NRA_model_for_NEMO2 (EMC Update) v0.19_NRA_model_for_NEMO2 (EMC Update) v0.21_NRA_model_for_NEMO2 (EMC Update) v0.29.3_NRA_model_for_NEMO2 (EMC Update) v0.29.5" xfId="305" xr:uid="{00000000-0005-0000-0000-000031010000}"/>
    <cellStyle name="%_NRA_model_for_NEMO2 (EMC Update) v0.19_NRA_model_for_NEMO2 (EMC Update) v0.21_NRA_model_for_NEMO2 (EMC Update) v0.29.3_NRA_model_for_NEMO2 (EMC Update) v0.29.5_NRA_model_for_NEMO2 (EMC Update) v0 30 1" xfId="306" xr:uid="{00000000-0005-0000-0000-000032010000}"/>
    <cellStyle name="%_NRA_model_for_NEMO2 (EMC Update) v0.19_NRA_model_for_NEMO2 (EMC Update) v0.21_NRA_model_for_NEMO2 (EMC Update) v0.29.4" xfId="307" xr:uid="{00000000-0005-0000-0000-000033010000}"/>
    <cellStyle name="%_NRA_model_for_NEMO2 (EMC Update) v0.19_NRA_model_for_NEMO2 (EMC Update) v0.21_NRA_model_for_NEMO2 (EMC Update) v0.29.4_NRA_model_for_NEMO2 (EMC Update) v0 30 1" xfId="308" xr:uid="{00000000-0005-0000-0000-000034010000}"/>
    <cellStyle name="%_NRA_model_for_NEMO2 (EMC Update) v0.19_NRA_model_for_NEMO2 (EMC Update) v0.21_NRA_model_for_NEMO2 (EMC Update) v0.29.4_NRA_model_for_NEMO2 (EMC Update) v0.29.5" xfId="309" xr:uid="{00000000-0005-0000-0000-000035010000}"/>
    <cellStyle name="%_NRA_model_for_NEMO2 (EMC Update) v0.19_NRA_model_for_NEMO2 (EMC Update) v0.21_NRA_model_for_NEMO2 (EMC Update) v0.29.4_NRA_model_for_NEMO2 (EMC Update) v0.29.5_NRA_model_for_NEMO2 (EMC Update) v0 30 1" xfId="310" xr:uid="{00000000-0005-0000-0000-000036010000}"/>
    <cellStyle name="%_NRA_model_for_NEMO2 (EMC Update) v0.19_NRA_model_for_NEMO2 (EMC Update) v0.21_NRA_model_for_NEMO2 (EMC Update) v0.29.5" xfId="311" xr:uid="{00000000-0005-0000-0000-000037010000}"/>
    <cellStyle name="%_NRA_model_for_NEMO2 (EMC Update) v0.19_NRA_model_for_NEMO2 (EMC Update) v0.21_NRA_model_for_NEMO2 (EMC Update) v0.29.5_NRA_model_for_NEMO2 (EMC Update) v0 30 1" xfId="312" xr:uid="{00000000-0005-0000-0000-000038010000}"/>
    <cellStyle name="%_NRA_model_for_NEMO2 (EMC Update) v0.19_NRA_model_for_NEMO2 (EMC Update) v0.22" xfId="334" xr:uid="{00000000-0005-0000-0000-00004E010000}"/>
    <cellStyle name="%_NRA_model_for_NEMO2 (EMC Update) v0.19_NRA_model_for_NEMO2 (EMC Update) v0.22_NRA_model_for_NEMO2 (EMC Update) v0 30 1" xfId="335" xr:uid="{00000000-0005-0000-0000-00004F010000}"/>
    <cellStyle name="%_NRA_model_for_NEMO2 (EMC Update) v0.19_NRA_model_for_NEMO2 (EMC Update) v0.22_NRA_model_for_NEMO2 (EMC Update) v0.25" xfId="336" xr:uid="{00000000-0005-0000-0000-000050010000}"/>
    <cellStyle name="%_NRA_model_for_NEMO2 (EMC Update) v0.19_NRA_model_for_NEMO2 (EMC Update) v0.22_NRA_model_for_NEMO2 (EMC Update) v0.25_NRA_model_for_NEMO2 (EMC Update) v0 30 1" xfId="337" xr:uid="{00000000-0005-0000-0000-000051010000}"/>
    <cellStyle name="%_NRA_model_for_NEMO2 (EMC Update) v0.19_NRA_model_for_NEMO2 (EMC Update) v0.22_NRA_model_for_NEMO2 (EMC Update) v0.25_NRA_model_for_NEMO2 (EMC Update) v0.26" xfId="338" xr:uid="{00000000-0005-0000-0000-000052010000}"/>
    <cellStyle name="%_NRA_model_for_NEMO2 (EMC Update) v0.19_NRA_model_for_NEMO2 (EMC Update) v0.22_NRA_model_for_NEMO2 (EMC Update) v0.25_NRA_model_for_NEMO2 (EMC Update) v0.26_NRA_model_for_NEMO2 (EMC Update) v0 30 1" xfId="339" xr:uid="{00000000-0005-0000-0000-000053010000}"/>
    <cellStyle name="%_NRA_model_for_NEMO2 (EMC Update) v0.19_NRA_model_for_NEMO2 (EMC Update) v0.22_NRA_model_for_NEMO2 (EMC Update) v0.25_NRA_model_for_NEMO2 (EMC Update) v0.26_NRA_model_for_NEMO2 (EMC Update) v0.29" xfId="340" xr:uid="{00000000-0005-0000-0000-000054010000}"/>
    <cellStyle name="%_NRA_model_for_NEMO2 (EMC Update) v0.19_NRA_model_for_NEMO2 (EMC Update) v0.22_NRA_model_for_NEMO2 (EMC Update) v0.25_NRA_model_for_NEMO2 (EMC Update) v0.26_NRA_model_for_NEMO2 (EMC Update) v0.29_NRA_model_for_NEMO2 (EMC Update) v0 30 1" xfId="354" xr:uid="{00000000-0005-0000-0000-000062010000}"/>
    <cellStyle name="%_NRA_model_for_NEMO2 (EMC Update) v0.19_NRA_model_for_NEMO2 (EMC Update) v0.22_NRA_model_for_NEMO2 (EMC Update) v0.25_NRA_model_for_NEMO2 (EMC Update) v0.26_NRA_model_for_NEMO2 (EMC Update) v0.29_NRA_model_for_NEMO2 (EMC Update) v0.29.2" xfId="355" xr:uid="{00000000-0005-0000-0000-000063010000}"/>
    <cellStyle name="%_NRA_model_for_NEMO2 (EMC Update) v0.19_NRA_model_for_NEMO2 (EMC Update) v0.22_NRA_model_for_NEMO2 (EMC Update) v0.25_NRA_model_for_NEMO2 (EMC Update) v0.26_NRA_model_for_NEMO2 (EMC Update) v0.29_NRA_model_for_NEMO2 (EMC Update) v0.29.3" xfId="356" xr:uid="{00000000-0005-0000-0000-000064010000}"/>
    <cellStyle name="%_NRA_model_for_NEMO2 (EMC Update) v0.19_NRA_model_for_NEMO2 (EMC Update) v0.22_NRA_model_for_NEMO2 (EMC Update) v0.25_NRA_model_for_NEMO2 (EMC Update) v0.26_NRA_model_for_NEMO2 (EMC Update) v0.29_NRA_model_for_NEMO2 (EMC Update) v0.29.4" xfId="357" xr:uid="{00000000-0005-0000-0000-000065010000}"/>
    <cellStyle name="%_NRA_model_for_NEMO2 (EMC Update) v0.19_NRA_model_for_NEMO2 (EMC Update) v0.22_NRA_model_for_NEMO2 (EMC Update) v0.25_NRA_model_for_NEMO2 (EMC Update) v0.26_NRA_model_for_NEMO2 (EMC Update) v0.29_NRA_model_for_NEMO2 (EMC Update) v0.29.5" xfId="358" xr:uid="{00000000-0005-0000-0000-000066010000}"/>
    <cellStyle name="%_NRA_model_for_NEMO2 (EMC Update) v0.19_NRA_model_for_NEMO2 (EMC Update) v0.22_NRA_model_for_NEMO2 (EMC Update) v0.25_NRA_model_for_NEMO2 (EMC Update) v0.26_NRA_model_for_NEMO2 (EMC Update) v0.29.2" xfId="341" xr:uid="{00000000-0005-0000-0000-000055010000}"/>
    <cellStyle name="%_NRA_model_for_NEMO2 (EMC Update) v0.19_NRA_model_for_NEMO2 (EMC Update) v0.22_NRA_model_for_NEMO2 (EMC Update) v0.25_NRA_model_for_NEMO2 (EMC Update) v0.26_NRA_model_for_NEMO2 (EMC Update) v0.29.2_NRA_model_for_NEMO2 (EMC Update) v0 30 1" xfId="342" xr:uid="{00000000-0005-0000-0000-000056010000}"/>
    <cellStyle name="%_NRA_model_for_NEMO2 (EMC Update) v0.19_NRA_model_for_NEMO2 (EMC Update) v0.22_NRA_model_for_NEMO2 (EMC Update) v0.25_NRA_model_for_NEMO2 (EMC Update) v0.26_NRA_model_for_NEMO2 (EMC Update) v0.29.2_NRA_model_for_NEMO2 (EMC Update) v0.29.3" xfId="343" xr:uid="{00000000-0005-0000-0000-000057010000}"/>
    <cellStyle name="%_NRA_model_for_NEMO2 (EMC Update) v0.19_NRA_model_for_NEMO2 (EMC Update) v0.22_NRA_model_for_NEMO2 (EMC Update) v0.25_NRA_model_for_NEMO2 (EMC Update) v0.26_NRA_model_for_NEMO2 (EMC Update) v0.29.2_NRA_model_for_NEMO2 (EMC Update) v0.29.4" xfId="344" xr:uid="{00000000-0005-0000-0000-000058010000}"/>
    <cellStyle name="%_NRA_model_for_NEMO2 (EMC Update) v0.19_NRA_model_for_NEMO2 (EMC Update) v0.22_NRA_model_for_NEMO2 (EMC Update) v0.25_NRA_model_for_NEMO2 (EMC Update) v0.26_NRA_model_for_NEMO2 (EMC Update) v0.29.2_NRA_model_for_NEMO2 (EMC Update) v0.29.5" xfId="345" xr:uid="{00000000-0005-0000-0000-000059010000}"/>
    <cellStyle name="%_NRA_model_for_NEMO2 (EMC Update) v0.19_NRA_model_for_NEMO2 (EMC Update) v0.22_NRA_model_for_NEMO2 (EMC Update) v0.25_NRA_model_for_NEMO2 (EMC Update) v0.26_NRA_model_for_NEMO2 (EMC Update) v0.29.3" xfId="346" xr:uid="{00000000-0005-0000-0000-00005A010000}"/>
    <cellStyle name="%_NRA_model_for_NEMO2 (EMC Update) v0.19_NRA_model_for_NEMO2 (EMC Update) v0.22_NRA_model_for_NEMO2 (EMC Update) v0.25_NRA_model_for_NEMO2 (EMC Update) v0.26_NRA_model_for_NEMO2 (EMC Update) v0.29.3_NRA_model_for_NEMO2 (EMC Update) v0 30 1" xfId="347" xr:uid="{00000000-0005-0000-0000-00005B010000}"/>
    <cellStyle name="%_NRA_model_for_NEMO2 (EMC Update) v0.19_NRA_model_for_NEMO2 (EMC Update) v0.22_NRA_model_for_NEMO2 (EMC Update) v0.25_NRA_model_for_NEMO2 (EMC Update) v0.26_NRA_model_for_NEMO2 (EMC Update) v0.29.3_NRA_model_for_NEMO2 (EMC Update) v0.29.5" xfId="348" xr:uid="{00000000-0005-0000-0000-00005C010000}"/>
    <cellStyle name="%_NRA_model_for_NEMO2 (EMC Update) v0.19_NRA_model_for_NEMO2 (EMC Update) v0.22_NRA_model_for_NEMO2 (EMC Update) v0.25_NRA_model_for_NEMO2 (EMC Update) v0.26_NRA_model_for_NEMO2 (EMC Update) v0.29.4" xfId="349" xr:uid="{00000000-0005-0000-0000-00005D010000}"/>
    <cellStyle name="%_NRA_model_for_NEMO2 (EMC Update) v0.19_NRA_model_for_NEMO2 (EMC Update) v0.22_NRA_model_for_NEMO2 (EMC Update) v0.25_NRA_model_for_NEMO2 (EMC Update) v0.26_NRA_model_for_NEMO2 (EMC Update) v0.29.4_NRA_model_for_NEMO2 (EMC Update) v0 30 1" xfId="350" xr:uid="{00000000-0005-0000-0000-00005E010000}"/>
    <cellStyle name="%_NRA_model_for_NEMO2 (EMC Update) v0.19_NRA_model_for_NEMO2 (EMC Update) v0.22_NRA_model_for_NEMO2 (EMC Update) v0.25_NRA_model_for_NEMO2 (EMC Update) v0.26_NRA_model_for_NEMO2 (EMC Update) v0.29.4_NRA_model_for_NEMO2 (EMC Update) v0.29.5" xfId="351" xr:uid="{00000000-0005-0000-0000-00005F010000}"/>
    <cellStyle name="%_NRA_model_for_NEMO2 (EMC Update) v0.19_NRA_model_for_NEMO2 (EMC Update) v0.22_NRA_model_for_NEMO2 (EMC Update) v0.25_NRA_model_for_NEMO2 (EMC Update) v0.26_NRA_model_for_NEMO2 (EMC Update) v0.29.5" xfId="352" xr:uid="{00000000-0005-0000-0000-000060010000}"/>
    <cellStyle name="%_NRA_model_for_NEMO2 (EMC Update) v0.19_NRA_model_for_NEMO2 (EMC Update) v0.22_NRA_model_for_NEMO2 (EMC Update) v0.25_NRA_model_for_NEMO2 (EMC Update) v0.26_NRA_model_for_NEMO2 (EMC Update) v0.29.5_NRA_model_for_NEMO2 (EMC Update) v0 30 1" xfId="353" xr:uid="{00000000-0005-0000-0000-000061010000}"/>
    <cellStyle name="%_NRA_model_for_NEMO2 (EMC Update) v0.19_NRA_model_for_NEMO2 (EMC Update) v0.22_NRA_model_for_NEMO2 (EMC Update) v0.25_NRA_model_for_NEMO2 (EMC Update) v0.29" xfId="359" xr:uid="{00000000-0005-0000-0000-000067010000}"/>
    <cellStyle name="%_NRA_model_for_NEMO2 (EMC Update) v0.19_NRA_model_for_NEMO2 (EMC Update) v0.22_NRA_model_for_NEMO2 (EMC Update) v0.25_NRA_model_for_NEMO2 (EMC Update) v0.29_NRA_model_for_NEMO2 (EMC Update) v0 30 1" xfId="380" xr:uid="{00000000-0005-0000-0000-00007C010000}"/>
    <cellStyle name="%_NRA_model_for_NEMO2 (EMC Update) v0.19_NRA_model_for_NEMO2 (EMC Update) v0.22_NRA_model_for_NEMO2 (EMC Update) v0.25_NRA_model_for_NEMO2 (EMC Update) v0.29_NRA_model_for_NEMO2 (EMC Update) v0.29.2" xfId="381" xr:uid="{00000000-0005-0000-0000-00007D010000}"/>
    <cellStyle name="%_NRA_model_for_NEMO2 (EMC Update) v0.19_NRA_model_for_NEMO2 (EMC Update) v0.22_NRA_model_for_NEMO2 (EMC Update) v0.25_NRA_model_for_NEMO2 (EMC Update) v0.29_NRA_model_for_NEMO2 (EMC Update) v0.29.2_NRA_model_for_NEMO2 (EMC Update) v0 30 1" xfId="382" xr:uid="{00000000-0005-0000-0000-00007E010000}"/>
    <cellStyle name="%_NRA_model_for_NEMO2 (EMC Update) v0.19_NRA_model_for_NEMO2 (EMC Update) v0.22_NRA_model_for_NEMO2 (EMC Update) v0.25_NRA_model_for_NEMO2 (EMC Update) v0.29_NRA_model_for_NEMO2 (EMC Update) v0.29.2_NRA_model_for_NEMO2 (EMC Update) v0.29.3" xfId="383" xr:uid="{00000000-0005-0000-0000-00007F010000}"/>
    <cellStyle name="%_NRA_model_for_NEMO2 (EMC Update) v0.19_NRA_model_for_NEMO2 (EMC Update) v0.22_NRA_model_for_NEMO2 (EMC Update) v0.25_NRA_model_for_NEMO2 (EMC Update) v0.29_NRA_model_for_NEMO2 (EMC Update) v0.29.2_NRA_model_for_NEMO2 (EMC Update) v0.29.4" xfId="384" xr:uid="{00000000-0005-0000-0000-000080010000}"/>
    <cellStyle name="%_NRA_model_for_NEMO2 (EMC Update) v0.19_NRA_model_for_NEMO2 (EMC Update) v0.22_NRA_model_for_NEMO2 (EMC Update) v0.25_NRA_model_for_NEMO2 (EMC Update) v0.29_NRA_model_for_NEMO2 (EMC Update) v0.29.2_NRA_model_for_NEMO2 (EMC Update) v0.29.5" xfId="385" xr:uid="{00000000-0005-0000-0000-000081010000}"/>
    <cellStyle name="%_NRA_model_for_NEMO2 (EMC Update) v0.19_NRA_model_for_NEMO2 (EMC Update) v0.22_NRA_model_for_NEMO2 (EMC Update) v0.25_NRA_model_for_NEMO2 (EMC Update) v0.29_NRA_model_for_NEMO2 (EMC Update) v0.29.3" xfId="386" xr:uid="{00000000-0005-0000-0000-000082010000}"/>
    <cellStyle name="%_NRA_model_for_NEMO2 (EMC Update) v0.19_NRA_model_for_NEMO2 (EMC Update) v0.22_NRA_model_for_NEMO2 (EMC Update) v0.25_NRA_model_for_NEMO2 (EMC Update) v0.29_NRA_model_for_NEMO2 (EMC Update) v0.29.3_NRA_model_for_NEMO2 (EMC Update) v0 30 1" xfId="387" xr:uid="{00000000-0005-0000-0000-000083010000}"/>
    <cellStyle name="%_NRA_model_for_NEMO2 (EMC Update) v0.19_NRA_model_for_NEMO2 (EMC Update) v0.22_NRA_model_for_NEMO2 (EMC Update) v0.25_NRA_model_for_NEMO2 (EMC Update) v0.29_NRA_model_for_NEMO2 (EMC Update) v0.29.3_NRA_model_for_NEMO2 (EMC Update) v0.29.5" xfId="388" xr:uid="{00000000-0005-0000-0000-000084010000}"/>
    <cellStyle name="%_NRA_model_for_NEMO2 (EMC Update) v0.19_NRA_model_for_NEMO2 (EMC Update) v0.22_NRA_model_for_NEMO2 (EMC Update) v0.25_NRA_model_for_NEMO2 (EMC Update) v0.29_NRA_model_for_NEMO2 (EMC Update) v0.29.4" xfId="389" xr:uid="{00000000-0005-0000-0000-000085010000}"/>
    <cellStyle name="%_NRA_model_for_NEMO2 (EMC Update) v0.19_NRA_model_for_NEMO2 (EMC Update) v0.22_NRA_model_for_NEMO2 (EMC Update) v0.25_NRA_model_for_NEMO2 (EMC Update) v0.29_NRA_model_for_NEMO2 (EMC Update) v0.29.4_NRA_model_for_NEMO2 (EMC Update) v0 30 1" xfId="390" xr:uid="{00000000-0005-0000-0000-000086010000}"/>
    <cellStyle name="%_NRA_model_for_NEMO2 (EMC Update) v0.19_NRA_model_for_NEMO2 (EMC Update) v0.22_NRA_model_for_NEMO2 (EMC Update) v0.25_NRA_model_for_NEMO2 (EMC Update) v0.29_NRA_model_for_NEMO2 (EMC Update) v0.29.4_NRA_model_for_NEMO2 (EMC Update) v0.29.5" xfId="391" xr:uid="{00000000-0005-0000-0000-000087010000}"/>
    <cellStyle name="%_NRA_model_for_NEMO2 (EMC Update) v0.19_NRA_model_for_NEMO2 (EMC Update) v0.22_NRA_model_for_NEMO2 (EMC Update) v0.25_NRA_model_for_NEMO2 (EMC Update) v0.29_NRA_model_for_NEMO2 (EMC Update) v0.29.5" xfId="392" xr:uid="{00000000-0005-0000-0000-000088010000}"/>
    <cellStyle name="%_NRA_model_for_NEMO2 (EMC Update) v0.19_NRA_model_for_NEMO2 (EMC Update) v0.22_NRA_model_for_NEMO2 (EMC Update) v0.25_NRA_model_for_NEMO2 (EMC Update) v0.29_NRA_model_for_NEMO2 (EMC Update) v0.29.5_NRA_model_for_NEMO2 (EMC Update) v0 30 1" xfId="393" xr:uid="{00000000-0005-0000-0000-000089010000}"/>
    <cellStyle name="%_NRA_model_for_NEMO2 (EMC Update) v0.19_NRA_model_for_NEMO2 (EMC Update) v0.22_NRA_model_for_NEMO2 (EMC Update) v0.25_NRA_model_for_NEMO2 (EMC Update) v0.29.2" xfId="360" xr:uid="{00000000-0005-0000-0000-000068010000}"/>
    <cellStyle name="%_NRA_model_for_NEMO2 (EMC Update) v0.19_NRA_model_for_NEMO2 (EMC Update) v0.22_NRA_model_for_NEMO2 (EMC Update) v0.25_NRA_model_for_NEMO2 (EMC Update) v0.29.2_NRA_model_for_NEMO2 (EMC Update) v0 30 1" xfId="361" xr:uid="{00000000-0005-0000-0000-000069010000}"/>
    <cellStyle name="%_NRA_model_for_NEMO2 (EMC Update) v0.19_NRA_model_for_NEMO2 (EMC Update) v0.22_NRA_model_for_NEMO2 (EMC Update) v0.25_NRA_model_for_NEMO2 (EMC Update) v0.29.2_NRA_model_for_NEMO2 (EMC Update) v0.29.3" xfId="362" xr:uid="{00000000-0005-0000-0000-00006A010000}"/>
    <cellStyle name="%_NRA_model_for_NEMO2 (EMC Update) v0.19_NRA_model_for_NEMO2 (EMC Update) v0.22_NRA_model_for_NEMO2 (EMC Update) v0.25_NRA_model_for_NEMO2 (EMC Update) v0.29.2_NRA_model_for_NEMO2 (EMC Update) v0.29.3_NRA_model_for_NEMO2 (EMC Update) v0 30 1" xfId="363" xr:uid="{00000000-0005-0000-0000-00006B010000}"/>
    <cellStyle name="%_NRA_model_for_NEMO2 (EMC Update) v0.19_NRA_model_for_NEMO2 (EMC Update) v0.22_NRA_model_for_NEMO2 (EMC Update) v0.25_NRA_model_for_NEMO2 (EMC Update) v0.29.2_NRA_model_for_NEMO2 (EMC Update) v0.29.3_NRA_model_for_NEMO2 (EMC Update) v0.29.5" xfId="364" xr:uid="{00000000-0005-0000-0000-00006C010000}"/>
    <cellStyle name="%_NRA_model_for_NEMO2 (EMC Update) v0.19_NRA_model_for_NEMO2 (EMC Update) v0.22_NRA_model_for_NEMO2 (EMC Update) v0.25_NRA_model_for_NEMO2 (EMC Update) v0.29.2_NRA_model_for_NEMO2 (EMC Update) v0.29.4" xfId="365" xr:uid="{00000000-0005-0000-0000-00006D010000}"/>
    <cellStyle name="%_NRA_model_for_NEMO2 (EMC Update) v0.19_NRA_model_for_NEMO2 (EMC Update) v0.22_NRA_model_for_NEMO2 (EMC Update) v0.25_NRA_model_for_NEMO2 (EMC Update) v0.29.2_NRA_model_for_NEMO2 (EMC Update) v0.29.4_NRA_model_for_NEMO2 (EMC Update) v0 30 1" xfId="366" xr:uid="{00000000-0005-0000-0000-00006E010000}"/>
    <cellStyle name="%_NRA_model_for_NEMO2 (EMC Update) v0.19_NRA_model_for_NEMO2 (EMC Update) v0.22_NRA_model_for_NEMO2 (EMC Update) v0.25_NRA_model_for_NEMO2 (EMC Update) v0.29.2_NRA_model_for_NEMO2 (EMC Update) v0.29.4_NRA_model_for_NEMO2 (EMC Update) v0.29.5" xfId="367" xr:uid="{00000000-0005-0000-0000-00006F010000}"/>
    <cellStyle name="%_NRA_model_for_NEMO2 (EMC Update) v0.19_NRA_model_for_NEMO2 (EMC Update) v0.22_NRA_model_for_NEMO2 (EMC Update) v0.25_NRA_model_for_NEMO2 (EMC Update) v0.29.2_NRA_model_for_NEMO2 (EMC Update) v0.29.5" xfId="368" xr:uid="{00000000-0005-0000-0000-000070010000}"/>
    <cellStyle name="%_NRA_model_for_NEMO2 (EMC Update) v0.19_NRA_model_for_NEMO2 (EMC Update) v0.22_NRA_model_for_NEMO2 (EMC Update) v0.25_NRA_model_for_NEMO2 (EMC Update) v0.29.2_NRA_model_for_NEMO2 (EMC Update) v0.29.5_NRA_model_for_NEMO2 (EMC Update) v0 30 1" xfId="369" xr:uid="{00000000-0005-0000-0000-000071010000}"/>
    <cellStyle name="%_NRA_model_for_NEMO2 (EMC Update) v0.19_NRA_model_for_NEMO2 (EMC Update) v0.22_NRA_model_for_NEMO2 (EMC Update) v0.25_NRA_model_for_NEMO2 (EMC Update) v0.29.3" xfId="370" xr:uid="{00000000-0005-0000-0000-000072010000}"/>
    <cellStyle name="%_NRA_model_for_NEMO2 (EMC Update) v0.19_NRA_model_for_NEMO2 (EMC Update) v0.22_NRA_model_for_NEMO2 (EMC Update) v0.25_NRA_model_for_NEMO2 (EMC Update) v0.29.3_NRA_model_for_NEMO2 (EMC Update) v0 30 1" xfId="371" xr:uid="{00000000-0005-0000-0000-000073010000}"/>
    <cellStyle name="%_NRA_model_for_NEMO2 (EMC Update) v0.19_NRA_model_for_NEMO2 (EMC Update) v0.22_NRA_model_for_NEMO2 (EMC Update) v0.25_NRA_model_for_NEMO2 (EMC Update) v0.29.3_NRA_model_for_NEMO2 (EMC Update) v0.29.5" xfId="372" xr:uid="{00000000-0005-0000-0000-000074010000}"/>
    <cellStyle name="%_NRA_model_for_NEMO2 (EMC Update) v0.19_NRA_model_for_NEMO2 (EMC Update) v0.22_NRA_model_for_NEMO2 (EMC Update) v0.25_NRA_model_for_NEMO2 (EMC Update) v0.29.3_NRA_model_for_NEMO2 (EMC Update) v0.29.5_NRA_model_for_NEMO2 (EMC Update) v0 30 1" xfId="373" xr:uid="{00000000-0005-0000-0000-000075010000}"/>
    <cellStyle name="%_NRA_model_for_NEMO2 (EMC Update) v0.19_NRA_model_for_NEMO2 (EMC Update) v0.22_NRA_model_for_NEMO2 (EMC Update) v0.25_NRA_model_for_NEMO2 (EMC Update) v0.29.4" xfId="374" xr:uid="{00000000-0005-0000-0000-000076010000}"/>
    <cellStyle name="%_NRA_model_for_NEMO2 (EMC Update) v0.19_NRA_model_for_NEMO2 (EMC Update) v0.22_NRA_model_for_NEMO2 (EMC Update) v0.25_NRA_model_for_NEMO2 (EMC Update) v0.29.4_NRA_model_for_NEMO2 (EMC Update) v0 30 1" xfId="375" xr:uid="{00000000-0005-0000-0000-000077010000}"/>
    <cellStyle name="%_NRA_model_for_NEMO2 (EMC Update) v0.19_NRA_model_for_NEMO2 (EMC Update) v0.22_NRA_model_for_NEMO2 (EMC Update) v0.25_NRA_model_for_NEMO2 (EMC Update) v0.29.4_NRA_model_for_NEMO2 (EMC Update) v0.29.5" xfId="376" xr:uid="{00000000-0005-0000-0000-000078010000}"/>
    <cellStyle name="%_NRA_model_for_NEMO2 (EMC Update) v0.19_NRA_model_for_NEMO2 (EMC Update) v0.22_NRA_model_for_NEMO2 (EMC Update) v0.25_NRA_model_for_NEMO2 (EMC Update) v0.29.4_NRA_model_for_NEMO2 (EMC Update) v0.29.5_NRA_model_for_NEMO2 (EMC Update) v0 30 1" xfId="377" xr:uid="{00000000-0005-0000-0000-000079010000}"/>
    <cellStyle name="%_NRA_model_for_NEMO2 (EMC Update) v0.19_NRA_model_for_NEMO2 (EMC Update) v0.22_NRA_model_for_NEMO2 (EMC Update) v0.25_NRA_model_for_NEMO2 (EMC Update) v0.29.5" xfId="378" xr:uid="{00000000-0005-0000-0000-00007A010000}"/>
    <cellStyle name="%_NRA_model_for_NEMO2 (EMC Update) v0.19_NRA_model_for_NEMO2 (EMC Update) v0.22_NRA_model_for_NEMO2 (EMC Update) v0.25_NRA_model_for_NEMO2 (EMC Update) v0.29.5_NRA_model_for_NEMO2 (EMC Update) v0 30 1" xfId="379" xr:uid="{00000000-0005-0000-0000-00007B010000}"/>
    <cellStyle name="%_NRA_model_for_NEMO2 (EMC Update) v0.19_NRA_model_for_NEMO2 (EMC Update) v0.22_NRA_model_for_NEMO2 (EMC Update) v0.26" xfId="394" xr:uid="{00000000-0005-0000-0000-00008A010000}"/>
    <cellStyle name="%_NRA_model_for_NEMO2 (EMC Update) v0.19_NRA_model_for_NEMO2 (EMC Update) v0.22_NRA_model_for_NEMO2 (EMC Update) v0.26_NRA_model_for_NEMO2 (EMC Update) v0 30 1" xfId="395" xr:uid="{00000000-0005-0000-0000-00008B010000}"/>
    <cellStyle name="%_NRA_model_for_NEMO2 (EMC Update) v0.19_NRA_model_for_NEMO2 (EMC Update) v0.22_NRA_model_for_NEMO2 (EMC Update) v0.26_NRA_model_for_NEMO2 (EMC Update) v0.29" xfId="396" xr:uid="{00000000-0005-0000-0000-00008C010000}"/>
    <cellStyle name="%_NRA_model_for_NEMO2 (EMC Update) v0.19_NRA_model_for_NEMO2 (EMC Update) v0.22_NRA_model_for_NEMO2 (EMC Update) v0.26_NRA_model_for_NEMO2 (EMC Update) v0.29_NRA_model_for_NEMO2 (EMC Update) v0 30 1" xfId="417" xr:uid="{00000000-0005-0000-0000-0000A1010000}"/>
    <cellStyle name="%_NRA_model_for_NEMO2 (EMC Update) v0.19_NRA_model_for_NEMO2 (EMC Update) v0.22_NRA_model_for_NEMO2 (EMC Update) v0.26_NRA_model_for_NEMO2 (EMC Update) v0.29_NRA_model_for_NEMO2 (EMC Update) v0.29.2" xfId="418" xr:uid="{00000000-0005-0000-0000-0000A2010000}"/>
    <cellStyle name="%_NRA_model_for_NEMO2 (EMC Update) v0.19_NRA_model_for_NEMO2 (EMC Update) v0.22_NRA_model_for_NEMO2 (EMC Update) v0.26_NRA_model_for_NEMO2 (EMC Update) v0.29_NRA_model_for_NEMO2 (EMC Update) v0.29.2_NRA_model_for_NEMO2 (EMC Update) v0 30 1" xfId="419" xr:uid="{00000000-0005-0000-0000-0000A3010000}"/>
    <cellStyle name="%_NRA_model_for_NEMO2 (EMC Update) v0.19_NRA_model_for_NEMO2 (EMC Update) v0.22_NRA_model_for_NEMO2 (EMC Update) v0.26_NRA_model_for_NEMO2 (EMC Update) v0.29_NRA_model_for_NEMO2 (EMC Update) v0.29.2_NRA_model_for_NEMO2 (EMC Update) v0.29.3" xfId="420" xr:uid="{00000000-0005-0000-0000-0000A4010000}"/>
    <cellStyle name="%_NRA_model_for_NEMO2 (EMC Update) v0.19_NRA_model_for_NEMO2 (EMC Update) v0.22_NRA_model_for_NEMO2 (EMC Update) v0.26_NRA_model_for_NEMO2 (EMC Update) v0.29_NRA_model_for_NEMO2 (EMC Update) v0.29.2_NRA_model_for_NEMO2 (EMC Update) v0.29.4" xfId="421" xr:uid="{00000000-0005-0000-0000-0000A5010000}"/>
    <cellStyle name="%_NRA_model_for_NEMO2 (EMC Update) v0.19_NRA_model_for_NEMO2 (EMC Update) v0.22_NRA_model_for_NEMO2 (EMC Update) v0.26_NRA_model_for_NEMO2 (EMC Update) v0.29_NRA_model_for_NEMO2 (EMC Update) v0.29.2_NRA_model_for_NEMO2 (EMC Update) v0.29.5" xfId="422" xr:uid="{00000000-0005-0000-0000-0000A6010000}"/>
    <cellStyle name="%_NRA_model_for_NEMO2 (EMC Update) v0.19_NRA_model_for_NEMO2 (EMC Update) v0.22_NRA_model_for_NEMO2 (EMC Update) v0.26_NRA_model_for_NEMO2 (EMC Update) v0.29_NRA_model_for_NEMO2 (EMC Update) v0.29.3" xfId="423" xr:uid="{00000000-0005-0000-0000-0000A7010000}"/>
    <cellStyle name="%_NRA_model_for_NEMO2 (EMC Update) v0.19_NRA_model_for_NEMO2 (EMC Update) v0.22_NRA_model_for_NEMO2 (EMC Update) v0.26_NRA_model_for_NEMO2 (EMC Update) v0.29_NRA_model_for_NEMO2 (EMC Update) v0.29.3_NRA_model_for_NEMO2 (EMC Update) v0 30 1" xfId="424" xr:uid="{00000000-0005-0000-0000-0000A8010000}"/>
    <cellStyle name="%_NRA_model_for_NEMO2 (EMC Update) v0.19_NRA_model_for_NEMO2 (EMC Update) v0.22_NRA_model_for_NEMO2 (EMC Update) v0.26_NRA_model_for_NEMO2 (EMC Update) v0.29_NRA_model_for_NEMO2 (EMC Update) v0.29.3_NRA_model_for_NEMO2 (EMC Update) v0.29.5" xfId="425" xr:uid="{00000000-0005-0000-0000-0000A9010000}"/>
    <cellStyle name="%_NRA_model_for_NEMO2 (EMC Update) v0.19_NRA_model_for_NEMO2 (EMC Update) v0.22_NRA_model_for_NEMO2 (EMC Update) v0.26_NRA_model_for_NEMO2 (EMC Update) v0.29_NRA_model_for_NEMO2 (EMC Update) v0.29.4" xfId="426" xr:uid="{00000000-0005-0000-0000-0000AA010000}"/>
    <cellStyle name="%_NRA_model_for_NEMO2 (EMC Update) v0.19_NRA_model_for_NEMO2 (EMC Update) v0.22_NRA_model_for_NEMO2 (EMC Update) v0.26_NRA_model_for_NEMO2 (EMC Update) v0.29_NRA_model_for_NEMO2 (EMC Update) v0.29.4_NRA_model_for_NEMO2 (EMC Update) v0 30 1" xfId="427" xr:uid="{00000000-0005-0000-0000-0000AB010000}"/>
    <cellStyle name="%_NRA_model_for_NEMO2 (EMC Update) v0.19_NRA_model_for_NEMO2 (EMC Update) v0.22_NRA_model_for_NEMO2 (EMC Update) v0.26_NRA_model_for_NEMO2 (EMC Update) v0.29_NRA_model_for_NEMO2 (EMC Update) v0.29.4_NRA_model_for_NEMO2 (EMC Update) v0.29.5" xfId="428" xr:uid="{00000000-0005-0000-0000-0000AC010000}"/>
    <cellStyle name="%_NRA_model_for_NEMO2 (EMC Update) v0.19_NRA_model_for_NEMO2 (EMC Update) v0.22_NRA_model_for_NEMO2 (EMC Update) v0.26_NRA_model_for_NEMO2 (EMC Update) v0.29_NRA_model_for_NEMO2 (EMC Update) v0.29.5" xfId="429" xr:uid="{00000000-0005-0000-0000-0000AD010000}"/>
    <cellStyle name="%_NRA_model_for_NEMO2 (EMC Update) v0.19_NRA_model_for_NEMO2 (EMC Update) v0.22_NRA_model_for_NEMO2 (EMC Update) v0.26_NRA_model_for_NEMO2 (EMC Update) v0.29_NRA_model_for_NEMO2 (EMC Update) v0.29.5_NRA_model_for_NEMO2 (EMC Update) v0 30 1" xfId="430" xr:uid="{00000000-0005-0000-0000-0000AE010000}"/>
    <cellStyle name="%_NRA_model_for_NEMO2 (EMC Update) v0.19_NRA_model_for_NEMO2 (EMC Update) v0.22_NRA_model_for_NEMO2 (EMC Update) v0.26_NRA_model_for_NEMO2 (EMC Update) v0.29.2" xfId="397" xr:uid="{00000000-0005-0000-0000-00008D010000}"/>
    <cellStyle name="%_NRA_model_for_NEMO2 (EMC Update) v0.19_NRA_model_for_NEMO2 (EMC Update) v0.22_NRA_model_for_NEMO2 (EMC Update) v0.26_NRA_model_for_NEMO2 (EMC Update) v0.29.2_NRA_model_for_NEMO2 (EMC Update) v0 30 1" xfId="398" xr:uid="{00000000-0005-0000-0000-00008E010000}"/>
    <cellStyle name="%_NRA_model_for_NEMO2 (EMC Update) v0.19_NRA_model_for_NEMO2 (EMC Update) v0.22_NRA_model_for_NEMO2 (EMC Update) v0.26_NRA_model_for_NEMO2 (EMC Update) v0.29.2_NRA_model_for_NEMO2 (EMC Update) v0.29.3" xfId="399" xr:uid="{00000000-0005-0000-0000-00008F010000}"/>
    <cellStyle name="%_NRA_model_for_NEMO2 (EMC Update) v0.19_NRA_model_for_NEMO2 (EMC Update) v0.22_NRA_model_for_NEMO2 (EMC Update) v0.26_NRA_model_for_NEMO2 (EMC Update) v0.29.2_NRA_model_for_NEMO2 (EMC Update) v0.29.3_NRA_model_for_NEMO2 (EMC Update) v0 30 1" xfId="400" xr:uid="{00000000-0005-0000-0000-000090010000}"/>
    <cellStyle name="%_NRA_model_for_NEMO2 (EMC Update) v0.19_NRA_model_for_NEMO2 (EMC Update) v0.22_NRA_model_for_NEMO2 (EMC Update) v0.26_NRA_model_for_NEMO2 (EMC Update) v0.29.2_NRA_model_for_NEMO2 (EMC Update) v0.29.3_NRA_model_for_NEMO2 (EMC Update) v0.29.5" xfId="401" xr:uid="{00000000-0005-0000-0000-000091010000}"/>
    <cellStyle name="%_NRA_model_for_NEMO2 (EMC Update) v0.19_NRA_model_for_NEMO2 (EMC Update) v0.22_NRA_model_for_NEMO2 (EMC Update) v0.26_NRA_model_for_NEMO2 (EMC Update) v0.29.2_NRA_model_for_NEMO2 (EMC Update) v0.29.4" xfId="402" xr:uid="{00000000-0005-0000-0000-000092010000}"/>
    <cellStyle name="%_NRA_model_for_NEMO2 (EMC Update) v0.19_NRA_model_for_NEMO2 (EMC Update) v0.22_NRA_model_for_NEMO2 (EMC Update) v0.26_NRA_model_for_NEMO2 (EMC Update) v0.29.2_NRA_model_for_NEMO2 (EMC Update) v0.29.4_NRA_model_for_NEMO2 (EMC Update) v0 30 1" xfId="403" xr:uid="{00000000-0005-0000-0000-000093010000}"/>
    <cellStyle name="%_NRA_model_for_NEMO2 (EMC Update) v0.19_NRA_model_for_NEMO2 (EMC Update) v0.22_NRA_model_for_NEMO2 (EMC Update) v0.26_NRA_model_for_NEMO2 (EMC Update) v0.29.2_NRA_model_for_NEMO2 (EMC Update) v0.29.4_NRA_model_for_NEMO2 (EMC Update) v0.29.5" xfId="404" xr:uid="{00000000-0005-0000-0000-000094010000}"/>
    <cellStyle name="%_NRA_model_for_NEMO2 (EMC Update) v0.19_NRA_model_for_NEMO2 (EMC Update) v0.22_NRA_model_for_NEMO2 (EMC Update) v0.26_NRA_model_for_NEMO2 (EMC Update) v0.29.2_NRA_model_for_NEMO2 (EMC Update) v0.29.5" xfId="405" xr:uid="{00000000-0005-0000-0000-000095010000}"/>
    <cellStyle name="%_NRA_model_for_NEMO2 (EMC Update) v0.19_NRA_model_for_NEMO2 (EMC Update) v0.22_NRA_model_for_NEMO2 (EMC Update) v0.26_NRA_model_for_NEMO2 (EMC Update) v0.29.2_NRA_model_for_NEMO2 (EMC Update) v0.29.5_NRA_model_for_NEMO2 (EMC Update) v0 30 1" xfId="406" xr:uid="{00000000-0005-0000-0000-000096010000}"/>
    <cellStyle name="%_NRA_model_for_NEMO2 (EMC Update) v0.19_NRA_model_for_NEMO2 (EMC Update) v0.22_NRA_model_for_NEMO2 (EMC Update) v0.26_NRA_model_for_NEMO2 (EMC Update) v0.29.3" xfId="407" xr:uid="{00000000-0005-0000-0000-000097010000}"/>
    <cellStyle name="%_NRA_model_for_NEMO2 (EMC Update) v0.19_NRA_model_for_NEMO2 (EMC Update) v0.22_NRA_model_for_NEMO2 (EMC Update) v0.26_NRA_model_for_NEMO2 (EMC Update) v0.29.3_NRA_model_for_NEMO2 (EMC Update) v0 30 1" xfId="408" xr:uid="{00000000-0005-0000-0000-000098010000}"/>
    <cellStyle name="%_NRA_model_for_NEMO2 (EMC Update) v0.19_NRA_model_for_NEMO2 (EMC Update) v0.22_NRA_model_for_NEMO2 (EMC Update) v0.26_NRA_model_for_NEMO2 (EMC Update) v0.29.3_NRA_model_for_NEMO2 (EMC Update) v0.29.5" xfId="409" xr:uid="{00000000-0005-0000-0000-000099010000}"/>
    <cellStyle name="%_NRA_model_for_NEMO2 (EMC Update) v0.19_NRA_model_for_NEMO2 (EMC Update) v0.22_NRA_model_for_NEMO2 (EMC Update) v0.26_NRA_model_for_NEMO2 (EMC Update) v0.29.3_NRA_model_for_NEMO2 (EMC Update) v0.29.5_NRA_model_for_NEMO2 (EMC Update) v0 30 1" xfId="410" xr:uid="{00000000-0005-0000-0000-00009A010000}"/>
    <cellStyle name="%_NRA_model_for_NEMO2 (EMC Update) v0.19_NRA_model_for_NEMO2 (EMC Update) v0.22_NRA_model_for_NEMO2 (EMC Update) v0.26_NRA_model_for_NEMO2 (EMC Update) v0.29.4" xfId="411" xr:uid="{00000000-0005-0000-0000-00009B010000}"/>
    <cellStyle name="%_NRA_model_for_NEMO2 (EMC Update) v0.19_NRA_model_for_NEMO2 (EMC Update) v0.22_NRA_model_for_NEMO2 (EMC Update) v0.26_NRA_model_for_NEMO2 (EMC Update) v0.29.4_NRA_model_for_NEMO2 (EMC Update) v0 30 1" xfId="412" xr:uid="{00000000-0005-0000-0000-00009C010000}"/>
    <cellStyle name="%_NRA_model_for_NEMO2 (EMC Update) v0.19_NRA_model_for_NEMO2 (EMC Update) v0.22_NRA_model_for_NEMO2 (EMC Update) v0.26_NRA_model_for_NEMO2 (EMC Update) v0.29.4_NRA_model_for_NEMO2 (EMC Update) v0.29.5" xfId="413" xr:uid="{00000000-0005-0000-0000-00009D010000}"/>
    <cellStyle name="%_NRA_model_for_NEMO2 (EMC Update) v0.19_NRA_model_for_NEMO2 (EMC Update) v0.22_NRA_model_for_NEMO2 (EMC Update) v0.26_NRA_model_for_NEMO2 (EMC Update) v0.29.4_NRA_model_for_NEMO2 (EMC Update) v0.29.5_NRA_model_for_NEMO2 (EMC Update) v0 30 1" xfId="414" xr:uid="{00000000-0005-0000-0000-00009E010000}"/>
    <cellStyle name="%_NRA_model_for_NEMO2 (EMC Update) v0.19_NRA_model_for_NEMO2 (EMC Update) v0.22_NRA_model_for_NEMO2 (EMC Update) v0.26_NRA_model_for_NEMO2 (EMC Update) v0.29.5" xfId="415" xr:uid="{00000000-0005-0000-0000-00009F010000}"/>
    <cellStyle name="%_NRA_model_for_NEMO2 (EMC Update) v0.19_NRA_model_for_NEMO2 (EMC Update) v0.22_NRA_model_for_NEMO2 (EMC Update) v0.26_NRA_model_for_NEMO2 (EMC Update) v0.29.5_NRA_model_for_NEMO2 (EMC Update) v0 30 1" xfId="416" xr:uid="{00000000-0005-0000-0000-0000A0010000}"/>
    <cellStyle name="%_NRA_model_for_NEMO2 (EMC Update) v0.19_NRA_model_for_NEMO2 (EMC Update) v0.22_NRA_model_for_NEMO2 (EMC Update) v0.29" xfId="431" xr:uid="{00000000-0005-0000-0000-0000AF010000}"/>
    <cellStyle name="%_NRA_model_for_NEMO2 (EMC Update) v0.19_NRA_model_for_NEMO2 (EMC Update) v0.22_NRA_model_for_NEMO2 (EMC Update) v0.29_NRA_model_for_NEMO2 (EMC Update) v0 30 1" xfId="454" xr:uid="{00000000-0005-0000-0000-0000C6010000}"/>
    <cellStyle name="%_NRA_model_for_NEMO2 (EMC Update) v0.19_NRA_model_for_NEMO2 (EMC Update) v0.22_NRA_model_for_NEMO2 (EMC Update) v0.29_NRA_model_for_NEMO2 (EMC Update) v0.29.2" xfId="455" xr:uid="{00000000-0005-0000-0000-0000C7010000}"/>
    <cellStyle name="%_NRA_model_for_NEMO2 (EMC Update) v0.19_NRA_model_for_NEMO2 (EMC Update) v0.22_NRA_model_for_NEMO2 (EMC Update) v0.29_NRA_model_for_NEMO2 (EMC Update) v0.29.2_NRA_model_for_NEMO2 (EMC Update) v0 30 1" xfId="456" xr:uid="{00000000-0005-0000-0000-0000C8010000}"/>
    <cellStyle name="%_NRA_model_for_NEMO2 (EMC Update) v0.19_NRA_model_for_NEMO2 (EMC Update) v0.22_NRA_model_for_NEMO2 (EMC Update) v0.29_NRA_model_for_NEMO2 (EMC Update) v0.29.2_NRA_model_for_NEMO2 (EMC Update) v0.29.3" xfId="457" xr:uid="{00000000-0005-0000-0000-0000C9010000}"/>
    <cellStyle name="%_NRA_model_for_NEMO2 (EMC Update) v0.19_NRA_model_for_NEMO2 (EMC Update) v0.22_NRA_model_for_NEMO2 (EMC Update) v0.29_NRA_model_for_NEMO2 (EMC Update) v0.29.2_NRA_model_for_NEMO2 (EMC Update) v0.29.3_NRA_model_for_NEMO2 (EMC Update) v0 30 1" xfId="458" xr:uid="{00000000-0005-0000-0000-0000CA010000}"/>
    <cellStyle name="%_NRA_model_for_NEMO2 (EMC Update) v0.19_NRA_model_for_NEMO2 (EMC Update) v0.22_NRA_model_for_NEMO2 (EMC Update) v0.29_NRA_model_for_NEMO2 (EMC Update) v0.29.2_NRA_model_for_NEMO2 (EMC Update) v0.29.3_NRA_model_for_NEMO2 (EMC Update) v0.29.5" xfId="459" xr:uid="{00000000-0005-0000-0000-0000CB010000}"/>
    <cellStyle name="%_NRA_model_for_NEMO2 (EMC Update) v0.19_NRA_model_for_NEMO2 (EMC Update) v0.22_NRA_model_for_NEMO2 (EMC Update) v0.29_NRA_model_for_NEMO2 (EMC Update) v0.29.2_NRA_model_for_NEMO2 (EMC Update) v0.29.4" xfId="460" xr:uid="{00000000-0005-0000-0000-0000CC010000}"/>
    <cellStyle name="%_NRA_model_for_NEMO2 (EMC Update) v0.19_NRA_model_for_NEMO2 (EMC Update) v0.22_NRA_model_for_NEMO2 (EMC Update) v0.29_NRA_model_for_NEMO2 (EMC Update) v0.29.2_NRA_model_for_NEMO2 (EMC Update) v0.29.4_NRA_model_for_NEMO2 (EMC Update) v0 30 1" xfId="461" xr:uid="{00000000-0005-0000-0000-0000CD010000}"/>
    <cellStyle name="%_NRA_model_for_NEMO2 (EMC Update) v0.19_NRA_model_for_NEMO2 (EMC Update) v0.22_NRA_model_for_NEMO2 (EMC Update) v0.29_NRA_model_for_NEMO2 (EMC Update) v0.29.2_NRA_model_for_NEMO2 (EMC Update) v0.29.4_NRA_model_for_NEMO2 (EMC Update) v0.29.5" xfId="462" xr:uid="{00000000-0005-0000-0000-0000CE010000}"/>
    <cellStyle name="%_NRA_model_for_NEMO2 (EMC Update) v0.19_NRA_model_for_NEMO2 (EMC Update) v0.22_NRA_model_for_NEMO2 (EMC Update) v0.29_NRA_model_for_NEMO2 (EMC Update) v0.29.2_NRA_model_for_NEMO2 (EMC Update) v0.29.5" xfId="463" xr:uid="{00000000-0005-0000-0000-0000CF010000}"/>
    <cellStyle name="%_NRA_model_for_NEMO2 (EMC Update) v0.19_NRA_model_for_NEMO2 (EMC Update) v0.22_NRA_model_for_NEMO2 (EMC Update) v0.29_NRA_model_for_NEMO2 (EMC Update) v0.29.2_NRA_model_for_NEMO2 (EMC Update) v0.29.5_NRA_model_for_NEMO2 (EMC Update) v0 30 1" xfId="464" xr:uid="{00000000-0005-0000-0000-0000D0010000}"/>
    <cellStyle name="%_NRA_model_for_NEMO2 (EMC Update) v0.19_NRA_model_for_NEMO2 (EMC Update) v0.22_NRA_model_for_NEMO2 (EMC Update) v0.29_NRA_model_for_NEMO2 (EMC Update) v0.29.3" xfId="465" xr:uid="{00000000-0005-0000-0000-0000D1010000}"/>
    <cellStyle name="%_NRA_model_for_NEMO2 (EMC Update) v0.19_NRA_model_for_NEMO2 (EMC Update) v0.22_NRA_model_for_NEMO2 (EMC Update) v0.29_NRA_model_for_NEMO2 (EMC Update) v0.29.3_NRA_model_for_NEMO2 (EMC Update) v0 30 1" xfId="466" xr:uid="{00000000-0005-0000-0000-0000D2010000}"/>
    <cellStyle name="%_NRA_model_for_NEMO2 (EMC Update) v0.19_NRA_model_for_NEMO2 (EMC Update) v0.22_NRA_model_for_NEMO2 (EMC Update) v0.29_NRA_model_for_NEMO2 (EMC Update) v0.29.3_NRA_model_for_NEMO2 (EMC Update) v0.29.5" xfId="467" xr:uid="{00000000-0005-0000-0000-0000D3010000}"/>
    <cellStyle name="%_NRA_model_for_NEMO2 (EMC Update) v0.19_NRA_model_for_NEMO2 (EMC Update) v0.22_NRA_model_for_NEMO2 (EMC Update) v0.29_NRA_model_for_NEMO2 (EMC Update) v0.29.3_NRA_model_for_NEMO2 (EMC Update) v0.29.5_NRA_model_for_NEMO2 (EMC Update) v0 30 1" xfId="468" xr:uid="{00000000-0005-0000-0000-0000D4010000}"/>
    <cellStyle name="%_NRA_model_for_NEMO2 (EMC Update) v0.19_NRA_model_for_NEMO2 (EMC Update) v0.22_NRA_model_for_NEMO2 (EMC Update) v0.29_NRA_model_for_NEMO2 (EMC Update) v0.29.4" xfId="469" xr:uid="{00000000-0005-0000-0000-0000D5010000}"/>
    <cellStyle name="%_NRA_model_for_NEMO2 (EMC Update) v0.19_NRA_model_for_NEMO2 (EMC Update) v0.22_NRA_model_for_NEMO2 (EMC Update) v0.29_NRA_model_for_NEMO2 (EMC Update) v0.29.4_NRA_model_for_NEMO2 (EMC Update) v0 30 1" xfId="470" xr:uid="{00000000-0005-0000-0000-0000D6010000}"/>
    <cellStyle name="%_NRA_model_for_NEMO2 (EMC Update) v0.19_NRA_model_for_NEMO2 (EMC Update) v0.22_NRA_model_for_NEMO2 (EMC Update) v0.29_NRA_model_for_NEMO2 (EMC Update) v0.29.4_NRA_model_for_NEMO2 (EMC Update) v0.29.5" xfId="471" xr:uid="{00000000-0005-0000-0000-0000D7010000}"/>
    <cellStyle name="%_NRA_model_for_NEMO2 (EMC Update) v0.19_NRA_model_for_NEMO2 (EMC Update) v0.22_NRA_model_for_NEMO2 (EMC Update) v0.29_NRA_model_for_NEMO2 (EMC Update) v0.29.4_NRA_model_for_NEMO2 (EMC Update) v0.29.5_NRA_model_for_NEMO2 (EMC Update) v0 30 1" xfId="472" xr:uid="{00000000-0005-0000-0000-0000D8010000}"/>
    <cellStyle name="%_NRA_model_for_NEMO2 (EMC Update) v0.19_NRA_model_for_NEMO2 (EMC Update) v0.22_NRA_model_for_NEMO2 (EMC Update) v0.29_NRA_model_for_NEMO2 (EMC Update) v0.29.5" xfId="473" xr:uid="{00000000-0005-0000-0000-0000D9010000}"/>
    <cellStyle name="%_NRA_model_for_NEMO2 (EMC Update) v0.19_NRA_model_for_NEMO2 (EMC Update) v0.22_NRA_model_for_NEMO2 (EMC Update) v0.29_NRA_model_for_NEMO2 (EMC Update) v0.29.5_NRA_model_for_NEMO2 (EMC Update) v0 30 1" xfId="474" xr:uid="{00000000-0005-0000-0000-0000DA010000}"/>
    <cellStyle name="%_NRA_model_for_NEMO2 (EMC Update) v0.19_NRA_model_for_NEMO2 (EMC Update) v0.22_NRA_model_for_NEMO2 (EMC Update) v0.29.2" xfId="432" xr:uid="{00000000-0005-0000-0000-0000B0010000}"/>
    <cellStyle name="%_NRA_model_for_NEMO2 (EMC Update) v0.19_NRA_model_for_NEMO2 (EMC Update) v0.22_NRA_model_for_NEMO2 (EMC Update) v0.29.2_NRA_model_for_NEMO2 (EMC Update) v0 30 1" xfId="433" xr:uid="{00000000-0005-0000-0000-0000B1010000}"/>
    <cellStyle name="%_NRA_model_for_NEMO2 (EMC Update) v0.19_NRA_model_for_NEMO2 (EMC Update) v0.22_NRA_model_for_NEMO2 (EMC Update) v0.29.2_NRA_model_for_NEMO2 (EMC Update) v0.29.3" xfId="434" xr:uid="{00000000-0005-0000-0000-0000B2010000}"/>
    <cellStyle name="%_NRA_model_for_NEMO2 (EMC Update) v0.19_NRA_model_for_NEMO2 (EMC Update) v0.22_NRA_model_for_NEMO2 (EMC Update) v0.29.2_NRA_model_for_NEMO2 (EMC Update) v0.29.3_NRA_model_for_NEMO2 (EMC Update) v0 30 1" xfId="435" xr:uid="{00000000-0005-0000-0000-0000B3010000}"/>
    <cellStyle name="%_NRA_model_for_NEMO2 (EMC Update) v0.19_NRA_model_for_NEMO2 (EMC Update) v0.22_NRA_model_for_NEMO2 (EMC Update) v0.29.2_NRA_model_for_NEMO2 (EMC Update) v0.29.3_NRA_model_for_NEMO2 (EMC Update) v0.29.5" xfId="436" xr:uid="{00000000-0005-0000-0000-0000B4010000}"/>
    <cellStyle name="%_NRA_model_for_NEMO2 (EMC Update) v0.19_NRA_model_for_NEMO2 (EMC Update) v0.22_NRA_model_for_NEMO2 (EMC Update) v0.29.2_NRA_model_for_NEMO2 (EMC Update) v0.29.3_NRA_model_for_NEMO2 (EMC Update) v0.29.5_NRA_model_for_NEMO2 (EMC Update) v0 30 1" xfId="437" xr:uid="{00000000-0005-0000-0000-0000B5010000}"/>
    <cellStyle name="%_NRA_model_for_NEMO2 (EMC Update) v0.19_NRA_model_for_NEMO2 (EMC Update) v0.22_NRA_model_for_NEMO2 (EMC Update) v0.29.2_NRA_model_for_NEMO2 (EMC Update) v0.29.4" xfId="438" xr:uid="{00000000-0005-0000-0000-0000B6010000}"/>
    <cellStyle name="%_NRA_model_for_NEMO2 (EMC Update) v0.19_NRA_model_for_NEMO2 (EMC Update) v0.22_NRA_model_for_NEMO2 (EMC Update) v0.29.2_NRA_model_for_NEMO2 (EMC Update) v0.29.4_NRA_model_for_NEMO2 (EMC Update) v0 30 1" xfId="439" xr:uid="{00000000-0005-0000-0000-0000B7010000}"/>
    <cellStyle name="%_NRA_model_for_NEMO2 (EMC Update) v0.19_NRA_model_for_NEMO2 (EMC Update) v0.22_NRA_model_for_NEMO2 (EMC Update) v0.29.2_NRA_model_for_NEMO2 (EMC Update) v0.29.4_NRA_model_for_NEMO2 (EMC Update) v0.29.5" xfId="440" xr:uid="{00000000-0005-0000-0000-0000B8010000}"/>
    <cellStyle name="%_NRA_model_for_NEMO2 (EMC Update) v0.19_NRA_model_for_NEMO2 (EMC Update) v0.22_NRA_model_for_NEMO2 (EMC Update) v0.29.2_NRA_model_for_NEMO2 (EMC Update) v0.29.4_NRA_model_for_NEMO2 (EMC Update) v0.29.5_NRA_model_for_NEMO2 (EMC Update) v0 30 1" xfId="441" xr:uid="{00000000-0005-0000-0000-0000B9010000}"/>
    <cellStyle name="%_NRA_model_for_NEMO2 (EMC Update) v0.19_NRA_model_for_NEMO2 (EMC Update) v0.22_NRA_model_for_NEMO2 (EMC Update) v0.29.2_NRA_model_for_NEMO2 (EMC Update) v0.29.5" xfId="442" xr:uid="{00000000-0005-0000-0000-0000BA010000}"/>
    <cellStyle name="%_NRA_model_for_NEMO2 (EMC Update) v0.19_NRA_model_for_NEMO2 (EMC Update) v0.22_NRA_model_for_NEMO2 (EMC Update) v0.29.2_NRA_model_for_NEMO2 (EMC Update) v0.29.5_NRA_model_for_NEMO2 (EMC Update) v0 30 1" xfId="443" xr:uid="{00000000-0005-0000-0000-0000BB010000}"/>
    <cellStyle name="%_NRA_model_for_NEMO2 (EMC Update) v0.19_NRA_model_for_NEMO2 (EMC Update) v0.22_NRA_model_for_NEMO2 (EMC Update) v0.29.3" xfId="444" xr:uid="{00000000-0005-0000-0000-0000BC010000}"/>
    <cellStyle name="%_NRA_model_for_NEMO2 (EMC Update) v0.19_NRA_model_for_NEMO2 (EMC Update) v0.22_NRA_model_for_NEMO2 (EMC Update) v0.29.3_NRA_model_for_NEMO2 (EMC Update) v0 30 1" xfId="445" xr:uid="{00000000-0005-0000-0000-0000BD010000}"/>
    <cellStyle name="%_NRA_model_for_NEMO2 (EMC Update) v0.19_NRA_model_for_NEMO2 (EMC Update) v0.22_NRA_model_for_NEMO2 (EMC Update) v0.29.3_NRA_model_for_NEMO2 (EMC Update) v0.29.5" xfId="446" xr:uid="{00000000-0005-0000-0000-0000BE010000}"/>
    <cellStyle name="%_NRA_model_for_NEMO2 (EMC Update) v0.19_NRA_model_for_NEMO2 (EMC Update) v0.22_NRA_model_for_NEMO2 (EMC Update) v0.29.3_NRA_model_for_NEMO2 (EMC Update) v0.29.5_NRA_model_for_NEMO2 (EMC Update) v0 30 1" xfId="447" xr:uid="{00000000-0005-0000-0000-0000BF010000}"/>
    <cellStyle name="%_NRA_model_for_NEMO2 (EMC Update) v0.19_NRA_model_for_NEMO2 (EMC Update) v0.22_NRA_model_for_NEMO2 (EMC Update) v0.29.4" xfId="448" xr:uid="{00000000-0005-0000-0000-0000C0010000}"/>
    <cellStyle name="%_NRA_model_for_NEMO2 (EMC Update) v0.19_NRA_model_for_NEMO2 (EMC Update) v0.22_NRA_model_for_NEMO2 (EMC Update) v0.29.4_NRA_model_for_NEMO2 (EMC Update) v0 30 1" xfId="449" xr:uid="{00000000-0005-0000-0000-0000C1010000}"/>
    <cellStyle name="%_NRA_model_for_NEMO2 (EMC Update) v0.19_NRA_model_for_NEMO2 (EMC Update) v0.22_NRA_model_for_NEMO2 (EMC Update) v0.29.4_NRA_model_for_NEMO2 (EMC Update) v0.29.5" xfId="450" xr:uid="{00000000-0005-0000-0000-0000C2010000}"/>
    <cellStyle name="%_NRA_model_for_NEMO2 (EMC Update) v0.19_NRA_model_for_NEMO2 (EMC Update) v0.22_NRA_model_for_NEMO2 (EMC Update) v0.29.4_NRA_model_for_NEMO2 (EMC Update) v0.29.5_NRA_model_for_NEMO2 (EMC Update) v0 30 1" xfId="451" xr:uid="{00000000-0005-0000-0000-0000C3010000}"/>
    <cellStyle name="%_NRA_model_for_NEMO2 (EMC Update) v0.19_NRA_model_for_NEMO2 (EMC Update) v0.22_NRA_model_for_NEMO2 (EMC Update) v0.29.5" xfId="452" xr:uid="{00000000-0005-0000-0000-0000C4010000}"/>
    <cellStyle name="%_NRA_model_for_NEMO2 (EMC Update) v0.19_NRA_model_for_NEMO2 (EMC Update) v0.22_NRA_model_for_NEMO2 (EMC Update) v0.29.5_NRA_model_for_NEMO2 (EMC Update) v0 30 1" xfId="453" xr:uid="{00000000-0005-0000-0000-0000C5010000}"/>
    <cellStyle name="%_NRA_model_for_NEMO2 (EMC Update) v0.19_NRA_model_for_NEMO2 (EMC Update) v0.25" xfId="475" xr:uid="{00000000-0005-0000-0000-0000DB010000}"/>
    <cellStyle name="%_NRA_model_for_NEMO2 (EMC Update) v0.19_NRA_model_for_NEMO2 (EMC Update) v0.25_NRA_model_for_NEMO2 (EMC Update) v0 30 1" xfId="476" xr:uid="{00000000-0005-0000-0000-0000DC010000}"/>
    <cellStyle name="%_NRA_model_for_NEMO2 (EMC Update) v0.19_NRA_model_for_NEMO2 (EMC Update) v0.25_NRA_model_for_NEMO2 (EMC Update) v0.26" xfId="477" xr:uid="{00000000-0005-0000-0000-0000DD010000}"/>
    <cellStyle name="%_NRA_model_for_NEMO2 (EMC Update) v0.19_NRA_model_for_NEMO2 (EMC Update) v0.25_NRA_model_for_NEMO2 (EMC Update) v0.26_NRA_model_for_NEMO2 (EMC Update) v0 30 1" xfId="478" xr:uid="{00000000-0005-0000-0000-0000DE010000}"/>
    <cellStyle name="%_NRA_model_for_NEMO2 (EMC Update) v0.19_NRA_model_for_NEMO2 (EMC Update) v0.25_NRA_model_for_NEMO2 (EMC Update) v0.26_NRA_model_for_NEMO2 (EMC Update) v0.29" xfId="479" xr:uid="{00000000-0005-0000-0000-0000DF010000}"/>
    <cellStyle name="%_NRA_model_for_NEMO2 (EMC Update) v0.19_NRA_model_for_NEMO2 (EMC Update) v0.25_NRA_model_for_NEMO2 (EMC Update) v0.26_NRA_model_for_NEMO2 (EMC Update) v0.29_NRA_model_for_NEMO2 (EMC Update) v0 30 1" xfId="500" xr:uid="{00000000-0005-0000-0000-0000F4010000}"/>
    <cellStyle name="%_NRA_model_for_NEMO2 (EMC Update) v0.19_NRA_model_for_NEMO2 (EMC Update) v0.25_NRA_model_for_NEMO2 (EMC Update) v0.26_NRA_model_for_NEMO2 (EMC Update) v0.29_NRA_model_for_NEMO2 (EMC Update) v0.29.2" xfId="501" xr:uid="{00000000-0005-0000-0000-0000F5010000}"/>
    <cellStyle name="%_NRA_model_for_NEMO2 (EMC Update) v0.19_NRA_model_for_NEMO2 (EMC Update) v0.25_NRA_model_for_NEMO2 (EMC Update) v0.26_NRA_model_for_NEMO2 (EMC Update) v0.29_NRA_model_for_NEMO2 (EMC Update) v0.29.2_NRA_model_for_NEMO2 (EMC Update) v0 30 1" xfId="502" xr:uid="{00000000-0005-0000-0000-0000F6010000}"/>
    <cellStyle name="%_NRA_model_for_NEMO2 (EMC Update) v0.19_NRA_model_for_NEMO2 (EMC Update) v0.25_NRA_model_for_NEMO2 (EMC Update) v0.26_NRA_model_for_NEMO2 (EMC Update) v0.29_NRA_model_for_NEMO2 (EMC Update) v0.29.2_NRA_model_for_NEMO2 (EMC Update) v0.29.3" xfId="503" xr:uid="{00000000-0005-0000-0000-0000F7010000}"/>
    <cellStyle name="%_NRA_model_for_NEMO2 (EMC Update) v0.19_NRA_model_for_NEMO2 (EMC Update) v0.25_NRA_model_for_NEMO2 (EMC Update) v0.26_NRA_model_for_NEMO2 (EMC Update) v0.29_NRA_model_for_NEMO2 (EMC Update) v0.29.2_NRA_model_for_NEMO2 (EMC Update) v0.29.4" xfId="504" xr:uid="{00000000-0005-0000-0000-0000F8010000}"/>
    <cellStyle name="%_NRA_model_for_NEMO2 (EMC Update) v0.19_NRA_model_for_NEMO2 (EMC Update) v0.25_NRA_model_for_NEMO2 (EMC Update) v0.26_NRA_model_for_NEMO2 (EMC Update) v0.29_NRA_model_for_NEMO2 (EMC Update) v0.29.2_NRA_model_for_NEMO2 (EMC Update) v0.29.5" xfId="505" xr:uid="{00000000-0005-0000-0000-0000F9010000}"/>
    <cellStyle name="%_NRA_model_for_NEMO2 (EMC Update) v0.19_NRA_model_for_NEMO2 (EMC Update) v0.25_NRA_model_for_NEMO2 (EMC Update) v0.26_NRA_model_for_NEMO2 (EMC Update) v0.29_NRA_model_for_NEMO2 (EMC Update) v0.29.3" xfId="506" xr:uid="{00000000-0005-0000-0000-0000FA010000}"/>
    <cellStyle name="%_NRA_model_for_NEMO2 (EMC Update) v0.19_NRA_model_for_NEMO2 (EMC Update) v0.25_NRA_model_for_NEMO2 (EMC Update) v0.26_NRA_model_for_NEMO2 (EMC Update) v0.29_NRA_model_for_NEMO2 (EMC Update) v0.29.3_NRA_model_for_NEMO2 (EMC Update) v0 30 1" xfId="507" xr:uid="{00000000-0005-0000-0000-0000FB010000}"/>
    <cellStyle name="%_NRA_model_for_NEMO2 (EMC Update) v0.19_NRA_model_for_NEMO2 (EMC Update) v0.25_NRA_model_for_NEMO2 (EMC Update) v0.26_NRA_model_for_NEMO2 (EMC Update) v0.29_NRA_model_for_NEMO2 (EMC Update) v0.29.3_NRA_model_for_NEMO2 (EMC Update) v0.29.5" xfId="508" xr:uid="{00000000-0005-0000-0000-0000FC010000}"/>
    <cellStyle name="%_NRA_model_for_NEMO2 (EMC Update) v0.19_NRA_model_for_NEMO2 (EMC Update) v0.25_NRA_model_for_NEMO2 (EMC Update) v0.26_NRA_model_for_NEMO2 (EMC Update) v0.29_NRA_model_for_NEMO2 (EMC Update) v0.29.4" xfId="509" xr:uid="{00000000-0005-0000-0000-0000FD010000}"/>
    <cellStyle name="%_NRA_model_for_NEMO2 (EMC Update) v0.19_NRA_model_for_NEMO2 (EMC Update) v0.25_NRA_model_for_NEMO2 (EMC Update) v0.26_NRA_model_for_NEMO2 (EMC Update) v0.29_NRA_model_for_NEMO2 (EMC Update) v0.29.4_NRA_model_for_NEMO2 (EMC Update) v0 30 1" xfId="510" xr:uid="{00000000-0005-0000-0000-0000FE010000}"/>
    <cellStyle name="%_NRA_model_for_NEMO2 (EMC Update) v0.19_NRA_model_for_NEMO2 (EMC Update) v0.25_NRA_model_for_NEMO2 (EMC Update) v0.26_NRA_model_for_NEMO2 (EMC Update) v0.29_NRA_model_for_NEMO2 (EMC Update) v0.29.4_NRA_model_for_NEMO2 (EMC Update) v0.29.5" xfId="511" xr:uid="{00000000-0005-0000-0000-0000FF010000}"/>
    <cellStyle name="%_NRA_model_for_NEMO2 (EMC Update) v0.19_NRA_model_for_NEMO2 (EMC Update) v0.25_NRA_model_for_NEMO2 (EMC Update) v0.26_NRA_model_for_NEMO2 (EMC Update) v0.29_NRA_model_for_NEMO2 (EMC Update) v0.29.5" xfId="512" xr:uid="{00000000-0005-0000-0000-000000020000}"/>
    <cellStyle name="%_NRA_model_for_NEMO2 (EMC Update) v0.19_NRA_model_for_NEMO2 (EMC Update) v0.25_NRA_model_for_NEMO2 (EMC Update) v0.26_NRA_model_for_NEMO2 (EMC Update) v0.29_NRA_model_for_NEMO2 (EMC Update) v0.29.5_NRA_model_for_NEMO2 (EMC Update) v0 30 1" xfId="513" xr:uid="{00000000-0005-0000-0000-000001020000}"/>
    <cellStyle name="%_NRA_model_for_NEMO2 (EMC Update) v0.19_NRA_model_for_NEMO2 (EMC Update) v0.25_NRA_model_for_NEMO2 (EMC Update) v0.26_NRA_model_for_NEMO2 (EMC Update) v0.29.2" xfId="480" xr:uid="{00000000-0005-0000-0000-0000E0010000}"/>
    <cellStyle name="%_NRA_model_for_NEMO2 (EMC Update) v0.19_NRA_model_for_NEMO2 (EMC Update) v0.25_NRA_model_for_NEMO2 (EMC Update) v0.26_NRA_model_for_NEMO2 (EMC Update) v0.29.2_NRA_model_for_NEMO2 (EMC Update) v0 30 1" xfId="481" xr:uid="{00000000-0005-0000-0000-0000E1010000}"/>
    <cellStyle name="%_NRA_model_for_NEMO2 (EMC Update) v0.19_NRA_model_for_NEMO2 (EMC Update) v0.25_NRA_model_for_NEMO2 (EMC Update) v0.26_NRA_model_for_NEMO2 (EMC Update) v0.29.2_NRA_model_for_NEMO2 (EMC Update) v0.29.3" xfId="482" xr:uid="{00000000-0005-0000-0000-0000E2010000}"/>
    <cellStyle name="%_NRA_model_for_NEMO2 (EMC Update) v0.19_NRA_model_for_NEMO2 (EMC Update) v0.25_NRA_model_for_NEMO2 (EMC Update) v0.26_NRA_model_for_NEMO2 (EMC Update) v0.29.2_NRA_model_for_NEMO2 (EMC Update) v0.29.3_NRA_model_for_NEMO2 (EMC Update) v0 30 1" xfId="483" xr:uid="{00000000-0005-0000-0000-0000E3010000}"/>
    <cellStyle name="%_NRA_model_for_NEMO2 (EMC Update) v0.19_NRA_model_for_NEMO2 (EMC Update) v0.25_NRA_model_for_NEMO2 (EMC Update) v0.26_NRA_model_for_NEMO2 (EMC Update) v0.29.2_NRA_model_for_NEMO2 (EMC Update) v0.29.3_NRA_model_for_NEMO2 (EMC Update) v0.29.5" xfId="484" xr:uid="{00000000-0005-0000-0000-0000E4010000}"/>
    <cellStyle name="%_NRA_model_for_NEMO2 (EMC Update) v0.19_NRA_model_for_NEMO2 (EMC Update) v0.25_NRA_model_for_NEMO2 (EMC Update) v0.26_NRA_model_for_NEMO2 (EMC Update) v0.29.2_NRA_model_for_NEMO2 (EMC Update) v0.29.4" xfId="485" xr:uid="{00000000-0005-0000-0000-0000E5010000}"/>
    <cellStyle name="%_NRA_model_for_NEMO2 (EMC Update) v0.19_NRA_model_for_NEMO2 (EMC Update) v0.25_NRA_model_for_NEMO2 (EMC Update) v0.26_NRA_model_for_NEMO2 (EMC Update) v0.29.2_NRA_model_for_NEMO2 (EMC Update) v0.29.4_NRA_model_for_NEMO2 (EMC Update) v0 30 1" xfId="486" xr:uid="{00000000-0005-0000-0000-0000E6010000}"/>
    <cellStyle name="%_NRA_model_for_NEMO2 (EMC Update) v0.19_NRA_model_for_NEMO2 (EMC Update) v0.25_NRA_model_for_NEMO2 (EMC Update) v0.26_NRA_model_for_NEMO2 (EMC Update) v0.29.2_NRA_model_for_NEMO2 (EMC Update) v0.29.4_NRA_model_for_NEMO2 (EMC Update) v0.29.5" xfId="487" xr:uid="{00000000-0005-0000-0000-0000E7010000}"/>
    <cellStyle name="%_NRA_model_for_NEMO2 (EMC Update) v0.19_NRA_model_for_NEMO2 (EMC Update) v0.25_NRA_model_for_NEMO2 (EMC Update) v0.26_NRA_model_for_NEMO2 (EMC Update) v0.29.2_NRA_model_for_NEMO2 (EMC Update) v0.29.5" xfId="488" xr:uid="{00000000-0005-0000-0000-0000E8010000}"/>
    <cellStyle name="%_NRA_model_for_NEMO2 (EMC Update) v0.19_NRA_model_for_NEMO2 (EMC Update) v0.25_NRA_model_for_NEMO2 (EMC Update) v0.26_NRA_model_for_NEMO2 (EMC Update) v0.29.2_NRA_model_for_NEMO2 (EMC Update) v0.29.5_NRA_model_for_NEMO2 (EMC Update) v0 30 1" xfId="489" xr:uid="{00000000-0005-0000-0000-0000E9010000}"/>
    <cellStyle name="%_NRA_model_for_NEMO2 (EMC Update) v0.19_NRA_model_for_NEMO2 (EMC Update) v0.25_NRA_model_for_NEMO2 (EMC Update) v0.26_NRA_model_for_NEMO2 (EMC Update) v0.29.3" xfId="490" xr:uid="{00000000-0005-0000-0000-0000EA010000}"/>
    <cellStyle name="%_NRA_model_for_NEMO2 (EMC Update) v0.19_NRA_model_for_NEMO2 (EMC Update) v0.25_NRA_model_for_NEMO2 (EMC Update) v0.26_NRA_model_for_NEMO2 (EMC Update) v0.29.3_NRA_model_for_NEMO2 (EMC Update) v0 30 1" xfId="491" xr:uid="{00000000-0005-0000-0000-0000EB010000}"/>
    <cellStyle name="%_NRA_model_for_NEMO2 (EMC Update) v0.19_NRA_model_for_NEMO2 (EMC Update) v0.25_NRA_model_for_NEMO2 (EMC Update) v0.26_NRA_model_for_NEMO2 (EMC Update) v0.29.3_NRA_model_for_NEMO2 (EMC Update) v0.29.5" xfId="492" xr:uid="{00000000-0005-0000-0000-0000EC010000}"/>
    <cellStyle name="%_NRA_model_for_NEMO2 (EMC Update) v0.19_NRA_model_for_NEMO2 (EMC Update) v0.25_NRA_model_for_NEMO2 (EMC Update) v0.26_NRA_model_for_NEMO2 (EMC Update) v0.29.3_NRA_model_for_NEMO2 (EMC Update) v0.29.5_NRA_model_for_NEMO2 (EMC Update) v0 30 1" xfId="493" xr:uid="{00000000-0005-0000-0000-0000ED010000}"/>
    <cellStyle name="%_NRA_model_for_NEMO2 (EMC Update) v0.19_NRA_model_for_NEMO2 (EMC Update) v0.25_NRA_model_for_NEMO2 (EMC Update) v0.26_NRA_model_for_NEMO2 (EMC Update) v0.29.4" xfId="494" xr:uid="{00000000-0005-0000-0000-0000EE010000}"/>
    <cellStyle name="%_NRA_model_for_NEMO2 (EMC Update) v0.19_NRA_model_for_NEMO2 (EMC Update) v0.25_NRA_model_for_NEMO2 (EMC Update) v0.26_NRA_model_for_NEMO2 (EMC Update) v0.29.4_NRA_model_for_NEMO2 (EMC Update) v0 30 1" xfId="495" xr:uid="{00000000-0005-0000-0000-0000EF010000}"/>
    <cellStyle name="%_NRA_model_for_NEMO2 (EMC Update) v0.19_NRA_model_for_NEMO2 (EMC Update) v0.25_NRA_model_for_NEMO2 (EMC Update) v0.26_NRA_model_for_NEMO2 (EMC Update) v0.29.4_NRA_model_for_NEMO2 (EMC Update) v0.29.5" xfId="496" xr:uid="{00000000-0005-0000-0000-0000F0010000}"/>
    <cellStyle name="%_NRA_model_for_NEMO2 (EMC Update) v0.19_NRA_model_for_NEMO2 (EMC Update) v0.25_NRA_model_for_NEMO2 (EMC Update) v0.26_NRA_model_for_NEMO2 (EMC Update) v0.29.4_NRA_model_for_NEMO2 (EMC Update) v0.29.5_NRA_model_for_NEMO2 (EMC Update) v0 30 1" xfId="497" xr:uid="{00000000-0005-0000-0000-0000F1010000}"/>
    <cellStyle name="%_NRA_model_for_NEMO2 (EMC Update) v0.19_NRA_model_for_NEMO2 (EMC Update) v0.25_NRA_model_for_NEMO2 (EMC Update) v0.26_NRA_model_for_NEMO2 (EMC Update) v0.29.5" xfId="498" xr:uid="{00000000-0005-0000-0000-0000F2010000}"/>
    <cellStyle name="%_NRA_model_for_NEMO2 (EMC Update) v0.19_NRA_model_for_NEMO2 (EMC Update) v0.25_NRA_model_for_NEMO2 (EMC Update) v0.26_NRA_model_for_NEMO2 (EMC Update) v0.29.5_NRA_model_for_NEMO2 (EMC Update) v0 30 1" xfId="499" xr:uid="{00000000-0005-0000-0000-0000F3010000}"/>
    <cellStyle name="%_NRA_model_for_NEMO2 (EMC Update) v0.19_NRA_model_for_NEMO2 (EMC Update) v0.25_NRA_model_for_NEMO2 (EMC Update) v0.29" xfId="514" xr:uid="{00000000-0005-0000-0000-000002020000}"/>
    <cellStyle name="%_NRA_model_for_NEMO2 (EMC Update) v0.19_NRA_model_for_NEMO2 (EMC Update) v0.25_NRA_model_for_NEMO2 (EMC Update) v0.29_NRA_model_for_NEMO2 (EMC Update) v0 30 1" xfId="537" xr:uid="{00000000-0005-0000-0000-000019020000}"/>
    <cellStyle name="%_NRA_model_for_NEMO2 (EMC Update) v0.19_NRA_model_for_NEMO2 (EMC Update) v0.25_NRA_model_for_NEMO2 (EMC Update) v0.29_NRA_model_for_NEMO2 (EMC Update) v0.29.2" xfId="538" xr:uid="{00000000-0005-0000-0000-00001A020000}"/>
    <cellStyle name="%_NRA_model_for_NEMO2 (EMC Update) v0.19_NRA_model_for_NEMO2 (EMC Update) v0.25_NRA_model_for_NEMO2 (EMC Update) v0.29_NRA_model_for_NEMO2 (EMC Update) v0.29.2_NRA_model_for_NEMO2 (EMC Update) v0 30 1" xfId="539" xr:uid="{00000000-0005-0000-0000-00001B020000}"/>
    <cellStyle name="%_NRA_model_for_NEMO2 (EMC Update) v0.19_NRA_model_for_NEMO2 (EMC Update) v0.25_NRA_model_for_NEMO2 (EMC Update) v0.29_NRA_model_for_NEMO2 (EMC Update) v0.29.2_NRA_model_for_NEMO2 (EMC Update) v0.29.3" xfId="540" xr:uid="{00000000-0005-0000-0000-00001C020000}"/>
    <cellStyle name="%_NRA_model_for_NEMO2 (EMC Update) v0.19_NRA_model_for_NEMO2 (EMC Update) v0.25_NRA_model_for_NEMO2 (EMC Update) v0.29_NRA_model_for_NEMO2 (EMC Update) v0.29.2_NRA_model_for_NEMO2 (EMC Update) v0.29.3_NRA_model_for_NEMO2 (EMC Update) v0 30 1" xfId="541" xr:uid="{00000000-0005-0000-0000-00001D020000}"/>
    <cellStyle name="%_NRA_model_for_NEMO2 (EMC Update) v0.19_NRA_model_for_NEMO2 (EMC Update) v0.25_NRA_model_for_NEMO2 (EMC Update) v0.29_NRA_model_for_NEMO2 (EMC Update) v0.29.2_NRA_model_for_NEMO2 (EMC Update) v0.29.3_NRA_model_for_NEMO2 (EMC Update) v0.29.5" xfId="542" xr:uid="{00000000-0005-0000-0000-00001E020000}"/>
    <cellStyle name="%_NRA_model_for_NEMO2 (EMC Update) v0.19_NRA_model_for_NEMO2 (EMC Update) v0.25_NRA_model_for_NEMO2 (EMC Update) v0.29_NRA_model_for_NEMO2 (EMC Update) v0.29.2_NRA_model_for_NEMO2 (EMC Update) v0.29.4" xfId="543" xr:uid="{00000000-0005-0000-0000-00001F020000}"/>
    <cellStyle name="%_NRA_model_for_NEMO2 (EMC Update) v0.19_NRA_model_for_NEMO2 (EMC Update) v0.25_NRA_model_for_NEMO2 (EMC Update) v0.29_NRA_model_for_NEMO2 (EMC Update) v0.29.2_NRA_model_for_NEMO2 (EMC Update) v0.29.4_NRA_model_for_NEMO2 (EMC Update) v0 30 1" xfId="544" xr:uid="{00000000-0005-0000-0000-000020020000}"/>
    <cellStyle name="%_NRA_model_for_NEMO2 (EMC Update) v0.19_NRA_model_for_NEMO2 (EMC Update) v0.25_NRA_model_for_NEMO2 (EMC Update) v0.29_NRA_model_for_NEMO2 (EMC Update) v0.29.2_NRA_model_for_NEMO2 (EMC Update) v0.29.4_NRA_model_for_NEMO2 (EMC Update) v0.29.5" xfId="545" xr:uid="{00000000-0005-0000-0000-000021020000}"/>
    <cellStyle name="%_NRA_model_for_NEMO2 (EMC Update) v0.19_NRA_model_for_NEMO2 (EMC Update) v0.25_NRA_model_for_NEMO2 (EMC Update) v0.29_NRA_model_for_NEMO2 (EMC Update) v0.29.2_NRA_model_for_NEMO2 (EMC Update) v0.29.5" xfId="546" xr:uid="{00000000-0005-0000-0000-000022020000}"/>
    <cellStyle name="%_NRA_model_for_NEMO2 (EMC Update) v0.19_NRA_model_for_NEMO2 (EMC Update) v0.25_NRA_model_for_NEMO2 (EMC Update) v0.29_NRA_model_for_NEMO2 (EMC Update) v0.29.2_NRA_model_for_NEMO2 (EMC Update) v0.29.5_NRA_model_for_NEMO2 (EMC Update) v0 30 1" xfId="547" xr:uid="{00000000-0005-0000-0000-000023020000}"/>
    <cellStyle name="%_NRA_model_for_NEMO2 (EMC Update) v0.19_NRA_model_for_NEMO2 (EMC Update) v0.25_NRA_model_for_NEMO2 (EMC Update) v0.29_NRA_model_for_NEMO2 (EMC Update) v0.29.3" xfId="548" xr:uid="{00000000-0005-0000-0000-000024020000}"/>
    <cellStyle name="%_NRA_model_for_NEMO2 (EMC Update) v0.19_NRA_model_for_NEMO2 (EMC Update) v0.25_NRA_model_for_NEMO2 (EMC Update) v0.29_NRA_model_for_NEMO2 (EMC Update) v0.29.3_NRA_model_for_NEMO2 (EMC Update) v0 30 1" xfId="549" xr:uid="{00000000-0005-0000-0000-000025020000}"/>
    <cellStyle name="%_NRA_model_for_NEMO2 (EMC Update) v0.19_NRA_model_for_NEMO2 (EMC Update) v0.25_NRA_model_for_NEMO2 (EMC Update) v0.29_NRA_model_for_NEMO2 (EMC Update) v0.29.3_NRA_model_for_NEMO2 (EMC Update) v0.29.5" xfId="550" xr:uid="{00000000-0005-0000-0000-000026020000}"/>
    <cellStyle name="%_NRA_model_for_NEMO2 (EMC Update) v0.19_NRA_model_for_NEMO2 (EMC Update) v0.25_NRA_model_for_NEMO2 (EMC Update) v0.29_NRA_model_for_NEMO2 (EMC Update) v0.29.3_NRA_model_for_NEMO2 (EMC Update) v0.29.5_NRA_model_for_NEMO2 (EMC Update) v0 30 1" xfId="551" xr:uid="{00000000-0005-0000-0000-000027020000}"/>
    <cellStyle name="%_NRA_model_for_NEMO2 (EMC Update) v0.19_NRA_model_for_NEMO2 (EMC Update) v0.25_NRA_model_for_NEMO2 (EMC Update) v0.29_NRA_model_for_NEMO2 (EMC Update) v0.29.4" xfId="552" xr:uid="{00000000-0005-0000-0000-000028020000}"/>
    <cellStyle name="%_NRA_model_for_NEMO2 (EMC Update) v0.19_NRA_model_for_NEMO2 (EMC Update) v0.25_NRA_model_for_NEMO2 (EMC Update) v0.29_NRA_model_for_NEMO2 (EMC Update) v0.29.4_NRA_model_for_NEMO2 (EMC Update) v0 30 1" xfId="553" xr:uid="{00000000-0005-0000-0000-000029020000}"/>
    <cellStyle name="%_NRA_model_for_NEMO2 (EMC Update) v0.19_NRA_model_for_NEMO2 (EMC Update) v0.25_NRA_model_for_NEMO2 (EMC Update) v0.29_NRA_model_for_NEMO2 (EMC Update) v0.29.4_NRA_model_for_NEMO2 (EMC Update) v0.29.5" xfId="554" xr:uid="{00000000-0005-0000-0000-00002A020000}"/>
    <cellStyle name="%_NRA_model_for_NEMO2 (EMC Update) v0.19_NRA_model_for_NEMO2 (EMC Update) v0.25_NRA_model_for_NEMO2 (EMC Update) v0.29_NRA_model_for_NEMO2 (EMC Update) v0.29.4_NRA_model_for_NEMO2 (EMC Update) v0.29.5_NRA_model_for_NEMO2 (EMC Update) v0 30 1" xfId="555" xr:uid="{00000000-0005-0000-0000-00002B020000}"/>
    <cellStyle name="%_NRA_model_for_NEMO2 (EMC Update) v0.19_NRA_model_for_NEMO2 (EMC Update) v0.25_NRA_model_for_NEMO2 (EMC Update) v0.29_NRA_model_for_NEMO2 (EMC Update) v0.29.5" xfId="556" xr:uid="{00000000-0005-0000-0000-00002C020000}"/>
    <cellStyle name="%_NRA_model_for_NEMO2 (EMC Update) v0.19_NRA_model_for_NEMO2 (EMC Update) v0.25_NRA_model_for_NEMO2 (EMC Update) v0.29_NRA_model_for_NEMO2 (EMC Update) v0.29.5_NRA_model_for_NEMO2 (EMC Update) v0 30 1" xfId="557" xr:uid="{00000000-0005-0000-0000-00002D020000}"/>
    <cellStyle name="%_NRA_model_for_NEMO2 (EMC Update) v0.19_NRA_model_for_NEMO2 (EMC Update) v0.25_NRA_model_for_NEMO2 (EMC Update) v0.29.2" xfId="515" xr:uid="{00000000-0005-0000-0000-000003020000}"/>
    <cellStyle name="%_NRA_model_for_NEMO2 (EMC Update) v0.19_NRA_model_for_NEMO2 (EMC Update) v0.25_NRA_model_for_NEMO2 (EMC Update) v0.29.2_NRA_model_for_NEMO2 (EMC Update) v0 30 1" xfId="516" xr:uid="{00000000-0005-0000-0000-000004020000}"/>
    <cellStyle name="%_NRA_model_for_NEMO2 (EMC Update) v0.19_NRA_model_for_NEMO2 (EMC Update) v0.25_NRA_model_for_NEMO2 (EMC Update) v0.29.2_NRA_model_for_NEMO2 (EMC Update) v0.29.3" xfId="517" xr:uid="{00000000-0005-0000-0000-000005020000}"/>
    <cellStyle name="%_NRA_model_for_NEMO2 (EMC Update) v0.19_NRA_model_for_NEMO2 (EMC Update) v0.25_NRA_model_for_NEMO2 (EMC Update) v0.29.2_NRA_model_for_NEMO2 (EMC Update) v0.29.3_NRA_model_for_NEMO2 (EMC Update) v0 30 1" xfId="518" xr:uid="{00000000-0005-0000-0000-000006020000}"/>
    <cellStyle name="%_NRA_model_for_NEMO2 (EMC Update) v0.19_NRA_model_for_NEMO2 (EMC Update) v0.25_NRA_model_for_NEMO2 (EMC Update) v0.29.2_NRA_model_for_NEMO2 (EMC Update) v0.29.3_NRA_model_for_NEMO2 (EMC Update) v0.29.5" xfId="519" xr:uid="{00000000-0005-0000-0000-000007020000}"/>
    <cellStyle name="%_NRA_model_for_NEMO2 (EMC Update) v0.19_NRA_model_for_NEMO2 (EMC Update) v0.25_NRA_model_for_NEMO2 (EMC Update) v0.29.2_NRA_model_for_NEMO2 (EMC Update) v0.29.3_NRA_model_for_NEMO2 (EMC Update) v0.29.5_NRA_model_for_NEMO2 (EMC Update) v0 30 1" xfId="520" xr:uid="{00000000-0005-0000-0000-000008020000}"/>
    <cellStyle name="%_NRA_model_for_NEMO2 (EMC Update) v0.19_NRA_model_for_NEMO2 (EMC Update) v0.25_NRA_model_for_NEMO2 (EMC Update) v0.29.2_NRA_model_for_NEMO2 (EMC Update) v0.29.4" xfId="521" xr:uid="{00000000-0005-0000-0000-000009020000}"/>
    <cellStyle name="%_NRA_model_for_NEMO2 (EMC Update) v0.19_NRA_model_for_NEMO2 (EMC Update) v0.25_NRA_model_for_NEMO2 (EMC Update) v0.29.2_NRA_model_for_NEMO2 (EMC Update) v0.29.4_NRA_model_for_NEMO2 (EMC Update) v0 30 1" xfId="522" xr:uid="{00000000-0005-0000-0000-00000A020000}"/>
    <cellStyle name="%_NRA_model_for_NEMO2 (EMC Update) v0.19_NRA_model_for_NEMO2 (EMC Update) v0.25_NRA_model_for_NEMO2 (EMC Update) v0.29.2_NRA_model_for_NEMO2 (EMC Update) v0.29.4_NRA_model_for_NEMO2 (EMC Update) v0.29.5" xfId="523" xr:uid="{00000000-0005-0000-0000-00000B020000}"/>
    <cellStyle name="%_NRA_model_for_NEMO2 (EMC Update) v0.19_NRA_model_for_NEMO2 (EMC Update) v0.25_NRA_model_for_NEMO2 (EMC Update) v0.29.2_NRA_model_for_NEMO2 (EMC Update) v0.29.4_NRA_model_for_NEMO2 (EMC Update) v0.29.5_NRA_model_for_NEMO2 (EMC Update) v0 30 1" xfId="524" xr:uid="{00000000-0005-0000-0000-00000C020000}"/>
    <cellStyle name="%_NRA_model_for_NEMO2 (EMC Update) v0.19_NRA_model_for_NEMO2 (EMC Update) v0.25_NRA_model_for_NEMO2 (EMC Update) v0.29.2_NRA_model_for_NEMO2 (EMC Update) v0.29.5" xfId="525" xr:uid="{00000000-0005-0000-0000-00000D020000}"/>
    <cellStyle name="%_NRA_model_for_NEMO2 (EMC Update) v0.19_NRA_model_for_NEMO2 (EMC Update) v0.25_NRA_model_for_NEMO2 (EMC Update) v0.29.2_NRA_model_for_NEMO2 (EMC Update) v0.29.5_NRA_model_for_NEMO2 (EMC Update) v0 30 1" xfId="526" xr:uid="{00000000-0005-0000-0000-00000E020000}"/>
    <cellStyle name="%_NRA_model_for_NEMO2 (EMC Update) v0.19_NRA_model_for_NEMO2 (EMC Update) v0.25_NRA_model_for_NEMO2 (EMC Update) v0.29.3" xfId="527" xr:uid="{00000000-0005-0000-0000-00000F020000}"/>
    <cellStyle name="%_NRA_model_for_NEMO2 (EMC Update) v0.19_NRA_model_for_NEMO2 (EMC Update) v0.25_NRA_model_for_NEMO2 (EMC Update) v0.29.3_NRA_model_for_NEMO2 (EMC Update) v0 30 1" xfId="528" xr:uid="{00000000-0005-0000-0000-000010020000}"/>
    <cellStyle name="%_NRA_model_for_NEMO2 (EMC Update) v0.19_NRA_model_for_NEMO2 (EMC Update) v0.25_NRA_model_for_NEMO2 (EMC Update) v0.29.3_NRA_model_for_NEMO2 (EMC Update) v0.29.5" xfId="529" xr:uid="{00000000-0005-0000-0000-000011020000}"/>
    <cellStyle name="%_NRA_model_for_NEMO2 (EMC Update) v0.19_NRA_model_for_NEMO2 (EMC Update) v0.25_NRA_model_for_NEMO2 (EMC Update) v0.29.3_NRA_model_for_NEMO2 (EMC Update) v0.29.5_NRA_model_for_NEMO2 (EMC Update) v0 30 1" xfId="530" xr:uid="{00000000-0005-0000-0000-000012020000}"/>
    <cellStyle name="%_NRA_model_for_NEMO2 (EMC Update) v0.19_NRA_model_for_NEMO2 (EMC Update) v0.25_NRA_model_for_NEMO2 (EMC Update) v0.29.4" xfId="531" xr:uid="{00000000-0005-0000-0000-000013020000}"/>
    <cellStyle name="%_NRA_model_for_NEMO2 (EMC Update) v0.19_NRA_model_for_NEMO2 (EMC Update) v0.25_NRA_model_for_NEMO2 (EMC Update) v0.29.4_NRA_model_for_NEMO2 (EMC Update) v0 30 1" xfId="532" xr:uid="{00000000-0005-0000-0000-000014020000}"/>
    <cellStyle name="%_NRA_model_for_NEMO2 (EMC Update) v0.19_NRA_model_for_NEMO2 (EMC Update) v0.25_NRA_model_for_NEMO2 (EMC Update) v0.29.4_NRA_model_for_NEMO2 (EMC Update) v0.29.5" xfId="533" xr:uid="{00000000-0005-0000-0000-000015020000}"/>
    <cellStyle name="%_NRA_model_for_NEMO2 (EMC Update) v0.19_NRA_model_for_NEMO2 (EMC Update) v0.25_NRA_model_for_NEMO2 (EMC Update) v0.29.4_NRA_model_for_NEMO2 (EMC Update) v0.29.5_NRA_model_for_NEMO2 (EMC Update) v0 30 1" xfId="534" xr:uid="{00000000-0005-0000-0000-000016020000}"/>
    <cellStyle name="%_NRA_model_for_NEMO2 (EMC Update) v0.19_NRA_model_for_NEMO2 (EMC Update) v0.25_NRA_model_for_NEMO2 (EMC Update) v0.29.5" xfId="535" xr:uid="{00000000-0005-0000-0000-000017020000}"/>
    <cellStyle name="%_NRA_model_for_NEMO2 (EMC Update) v0.19_NRA_model_for_NEMO2 (EMC Update) v0.25_NRA_model_for_NEMO2 (EMC Update) v0.29.5_NRA_model_for_NEMO2 (EMC Update) v0 30 1" xfId="536" xr:uid="{00000000-0005-0000-0000-000018020000}"/>
    <cellStyle name="%_NRA_model_for_NEMO2 (EMC Update) v0.19_NRA_model_for_NEMO2 (EMC Update) v0.26" xfId="558" xr:uid="{00000000-0005-0000-0000-00002E020000}"/>
    <cellStyle name="%_NRA_model_for_NEMO2 (EMC Update) v0.19_NRA_model_for_NEMO2 (EMC Update) v0.26_NRA_model_for_NEMO2 (EMC Update) v0 30 1" xfId="559" xr:uid="{00000000-0005-0000-0000-00002F020000}"/>
    <cellStyle name="%_NRA_model_for_NEMO2 (EMC Update) v0.19_NRA_model_for_NEMO2 (EMC Update) v0.26_NRA_model_for_NEMO2 (EMC Update) v0.29" xfId="560" xr:uid="{00000000-0005-0000-0000-000030020000}"/>
    <cellStyle name="%_NRA_model_for_NEMO2 (EMC Update) v0.19_NRA_model_for_NEMO2 (EMC Update) v0.26_NRA_model_for_NEMO2 (EMC Update) v0.29_NRA_model_for_NEMO2 (EMC Update) v0 30 1" xfId="583" xr:uid="{00000000-0005-0000-0000-000047020000}"/>
    <cellStyle name="%_NRA_model_for_NEMO2 (EMC Update) v0.19_NRA_model_for_NEMO2 (EMC Update) v0.26_NRA_model_for_NEMO2 (EMC Update) v0.29_NRA_model_for_NEMO2 (EMC Update) v0.29.2" xfId="584" xr:uid="{00000000-0005-0000-0000-000048020000}"/>
    <cellStyle name="%_NRA_model_for_NEMO2 (EMC Update) v0.19_NRA_model_for_NEMO2 (EMC Update) v0.26_NRA_model_for_NEMO2 (EMC Update) v0.29_NRA_model_for_NEMO2 (EMC Update) v0.29.2_NRA_model_for_NEMO2 (EMC Update) v0 30 1" xfId="585" xr:uid="{00000000-0005-0000-0000-000049020000}"/>
    <cellStyle name="%_NRA_model_for_NEMO2 (EMC Update) v0.19_NRA_model_for_NEMO2 (EMC Update) v0.26_NRA_model_for_NEMO2 (EMC Update) v0.29_NRA_model_for_NEMO2 (EMC Update) v0.29.2_NRA_model_for_NEMO2 (EMC Update) v0.29.3" xfId="586" xr:uid="{00000000-0005-0000-0000-00004A020000}"/>
    <cellStyle name="%_NRA_model_for_NEMO2 (EMC Update) v0.19_NRA_model_for_NEMO2 (EMC Update) v0.26_NRA_model_for_NEMO2 (EMC Update) v0.29_NRA_model_for_NEMO2 (EMC Update) v0.29.2_NRA_model_for_NEMO2 (EMC Update) v0.29.3_NRA_model_for_NEMO2 (EMC Update) v0 30 1" xfId="587" xr:uid="{00000000-0005-0000-0000-00004B020000}"/>
    <cellStyle name="%_NRA_model_for_NEMO2 (EMC Update) v0.19_NRA_model_for_NEMO2 (EMC Update) v0.26_NRA_model_for_NEMO2 (EMC Update) v0.29_NRA_model_for_NEMO2 (EMC Update) v0.29.2_NRA_model_for_NEMO2 (EMC Update) v0.29.3_NRA_model_for_NEMO2 (EMC Update) v0.29.5" xfId="588" xr:uid="{00000000-0005-0000-0000-00004C020000}"/>
    <cellStyle name="%_NRA_model_for_NEMO2 (EMC Update) v0.19_NRA_model_for_NEMO2 (EMC Update) v0.26_NRA_model_for_NEMO2 (EMC Update) v0.29_NRA_model_for_NEMO2 (EMC Update) v0.29.2_NRA_model_for_NEMO2 (EMC Update) v0.29.4" xfId="589" xr:uid="{00000000-0005-0000-0000-00004D020000}"/>
    <cellStyle name="%_NRA_model_for_NEMO2 (EMC Update) v0.19_NRA_model_for_NEMO2 (EMC Update) v0.26_NRA_model_for_NEMO2 (EMC Update) v0.29_NRA_model_for_NEMO2 (EMC Update) v0.29.2_NRA_model_for_NEMO2 (EMC Update) v0.29.4_NRA_model_for_NEMO2 (EMC Update) v0 30 1" xfId="590" xr:uid="{00000000-0005-0000-0000-00004E020000}"/>
    <cellStyle name="%_NRA_model_for_NEMO2 (EMC Update) v0.19_NRA_model_for_NEMO2 (EMC Update) v0.26_NRA_model_for_NEMO2 (EMC Update) v0.29_NRA_model_for_NEMO2 (EMC Update) v0.29.2_NRA_model_for_NEMO2 (EMC Update) v0.29.4_NRA_model_for_NEMO2 (EMC Update) v0.29.5" xfId="591" xr:uid="{00000000-0005-0000-0000-00004F020000}"/>
    <cellStyle name="%_NRA_model_for_NEMO2 (EMC Update) v0.19_NRA_model_for_NEMO2 (EMC Update) v0.26_NRA_model_for_NEMO2 (EMC Update) v0.29_NRA_model_for_NEMO2 (EMC Update) v0.29.2_NRA_model_for_NEMO2 (EMC Update) v0.29.5" xfId="592" xr:uid="{00000000-0005-0000-0000-000050020000}"/>
    <cellStyle name="%_NRA_model_for_NEMO2 (EMC Update) v0.19_NRA_model_for_NEMO2 (EMC Update) v0.26_NRA_model_for_NEMO2 (EMC Update) v0.29_NRA_model_for_NEMO2 (EMC Update) v0.29.2_NRA_model_for_NEMO2 (EMC Update) v0.29.5_NRA_model_for_NEMO2 (EMC Update) v0 30 1" xfId="593" xr:uid="{00000000-0005-0000-0000-000051020000}"/>
    <cellStyle name="%_NRA_model_for_NEMO2 (EMC Update) v0.19_NRA_model_for_NEMO2 (EMC Update) v0.26_NRA_model_for_NEMO2 (EMC Update) v0.29_NRA_model_for_NEMO2 (EMC Update) v0.29.3" xfId="594" xr:uid="{00000000-0005-0000-0000-000052020000}"/>
    <cellStyle name="%_NRA_model_for_NEMO2 (EMC Update) v0.19_NRA_model_for_NEMO2 (EMC Update) v0.26_NRA_model_for_NEMO2 (EMC Update) v0.29_NRA_model_for_NEMO2 (EMC Update) v0.29.3_NRA_model_for_NEMO2 (EMC Update) v0 30 1" xfId="595" xr:uid="{00000000-0005-0000-0000-000053020000}"/>
    <cellStyle name="%_NRA_model_for_NEMO2 (EMC Update) v0.19_NRA_model_for_NEMO2 (EMC Update) v0.26_NRA_model_for_NEMO2 (EMC Update) v0.29_NRA_model_for_NEMO2 (EMC Update) v0.29.3_NRA_model_for_NEMO2 (EMC Update) v0.29.5" xfId="596" xr:uid="{00000000-0005-0000-0000-000054020000}"/>
    <cellStyle name="%_NRA_model_for_NEMO2 (EMC Update) v0.19_NRA_model_for_NEMO2 (EMC Update) v0.26_NRA_model_for_NEMO2 (EMC Update) v0.29_NRA_model_for_NEMO2 (EMC Update) v0.29.3_NRA_model_for_NEMO2 (EMC Update) v0.29.5_NRA_model_for_NEMO2 (EMC Update) v0 30 1" xfId="597" xr:uid="{00000000-0005-0000-0000-000055020000}"/>
    <cellStyle name="%_NRA_model_for_NEMO2 (EMC Update) v0.19_NRA_model_for_NEMO2 (EMC Update) v0.26_NRA_model_for_NEMO2 (EMC Update) v0.29_NRA_model_for_NEMO2 (EMC Update) v0.29.4" xfId="598" xr:uid="{00000000-0005-0000-0000-000056020000}"/>
    <cellStyle name="%_NRA_model_for_NEMO2 (EMC Update) v0.19_NRA_model_for_NEMO2 (EMC Update) v0.26_NRA_model_for_NEMO2 (EMC Update) v0.29_NRA_model_for_NEMO2 (EMC Update) v0.29.4_NRA_model_for_NEMO2 (EMC Update) v0 30 1" xfId="599" xr:uid="{00000000-0005-0000-0000-000057020000}"/>
    <cellStyle name="%_NRA_model_for_NEMO2 (EMC Update) v0.19_NRA_model_for_NEMO2 (EMC Update) v0.26_NRA_model_for_NEMO2 (EMC Update) v0.29_NRA_model_for_NEMO2 (EMC Update) v0.29.4_NRA_model_for_NEMO2 (EMC Update) v0.29.5" xfId="600" xr:uid="{00000000-0005-0000-0000-000058020000}"/>
    <cellStyle name="%_NRA_model_for_NEMO2 (EMC Update) v0.19_NRA_model_for_NEMO2 (EMC Update) v0.26_NRA_model_for_NEMO2 (EMC Update) v0.29_NRA_model_for_NEMO2 (EMC Update) v0.29.4_NRA_model_for_NEMO2 (EMC Update) v0.29.5_NRA_model_for_NEMO2 (EMC Update) v0 30 1" xfId="601" xr:uid="{00000000-0005-0000-0000-000059020000}"/>
    <cellStyle name="%_NRA_model_for_NEMO2 (EMC Update) v0.19_NRA_model_for_NEMO2 (EMC Update) v0.26_NRA_model_for_NEMO2 (EMC Update) v0.29_NRA_model_for_NEMO2 (EMC Update) v0.29.5" xfId="602" xr:uid="{00000000-0005-0000-0000-00005A020000}"/>
    <cellStyle name="%_NRA_model_for_NEMO2 (EMC Update) v0.19_NRA_model_for_NEMO2 (EMC Update) v0.26_NRA_model_for_NEMO2 (EMC Update) v0.29_NRA_model_for_NEMO2 (EMC Update) v0.29.5_NRA_model_for_NEMO2 (EMC Update) v0 30 1" xfId="603" xr:uid="{00000000-0005-0000-0000-00005B020000}"/>
    <cellStyle name="%_NRA_model_for_NEMO2 (EMC Update) v0.19_NRA_model_for_NEMO2 (EMC Update) v0.26_NRA_model_for_NEMO2 (EMC Update) v0.29.2" xfId="561" xr:uid="{00000000-0005-0000-0000-000031020000}"/>
    <cellStyle name="%_NRA_model_for_NEMO2 (EMC Update) v0.19_NRA_model_for_NEMO2 (EMC Update) v0.26_NRA_model_for_NEMO2 (EMC Update) v0.29.2_NRA_model_for_NEMO2 (EMC Update) v0 30 1" xfId="562" xr:uid="{00000000-0005-0000-0000-000032020000}"/>
    <cellStyle name="%_NRA_model_for_NEMO2 (EMC Update) v0.19_NRA_model_for_NEMO2 (EMC Update) v0.26_NRA_model_for_NEMO2 (EMC Update) v0.29.2_NRA_model_for_NEMO2 (EMC Update) v0.29.3" xfId="563" xr:uid="{00000000-0005-0000-0000-000033020000}"/>
    <cellStyle name="%_NRA_model_for_NEMO2 (EMC Update) v0.19_NRA_model_for_NEMO2 (EMC Update) v0.26_NRA_model_for_NEMO2 (EMC Update) v0.29.2_NRA_model_for_NEMO2 (EMC Update) v0.29.3_NRA_model_for_NEMO2 (EMC Update) v0 30 1" xfId="564" xr:uid="{00000000-0005-0000-0000-000034020000}"/>
    <cellStyle name="%_NRA_model_for_NEMO2 (EMC Update) v0.19_NRA_model_for_NEMO2 (EMC Update) v0.26_NRA_model_for_NEMO2 (EMC Update) v0.29.2_NRA_model_for_NEMO2 (EMC Update) v0.29.3_NRA_model_for_NEMO2 (EMC Update) v0.29.5" xfId="565" xr:uid="{00000000-0005-0000-0000-000035020000}"/>
    <cellStyle name="%_NRA_model_for_NEMO2 (EMC Update) v0.19_NRA_model_for_NEMO2 (EMC Update) v0.26_NRA_model_for_NEMO2 (EMC Update) v0.29.2_NRA_model_for_NEMO2 (EMC Update) v0.29.3_NRA_model_for_NEMO2 (EMC Update) v0.29.5_NRA_model_for_NEMO2 (EMC Update) v0 30 1" xfId="566" xr:uid="{00000000-0005-0000-0000-000036020000}"/>
    <cellStyle name="%_NRA_model_for_NEMO2 (EMC Update) v0.19_NRA_model_for_NEMO2 (EMC Update) v0.26_NRA_model_for_NEMO2 (EMC Update) v0.29.2_NRA_model_for_NEMO2 (EMC Update) v0.29.4" xfId="567" xr:uid="{00000000-0005-0000-0000-000037020000}"/>
    <cellStyle name="%_NRA_model_for_NEMO2 (EMC Update) v0.19_NRA_model_for_NEMO2 (EMC Update) v0.26_NRA_model_for_NEMO2 (EMC Update) v0.29.2_NRA_model_for_NEMO2 (EMC Update) v0.29.4_NRA_model_for_NEMO2 (EMC Update) v0 30 1" xfId="568" xr:uid="{00000000-0005-0000-0000-000038020000}"/>
    <cellStyle name="%_NRA_model_for_NEMO2 (EMC Update) v0.19_NRA_model_for_NEMO2 (EMC Update) v0.26_NRA_model_for_NEMO2 (EMC Update) v0.29.2_NRA_model_for_NEMO2 (EMC Update) v0.29.4_NRA_model_for_NEMO2 (EMC Update) v0.29.5" xfId="569" xr:uid="{00000000-0005-0000-0000-000039020000}"/>
    <cellStyle name="%_NRA_model_for_NEMO2 (EMC Update) v0.19_NRA_model_for_NEMO2 (EMC Update) v0.26_NRA_model_for_NEMO2 (EMC Update) v0.29.2_NRA_model_for_NEMO2 (EMC Update) v0.29.4_NRA_model_for_NEMO2 (EMC Update) v0.29.5_NRA_model_for_NEMO2 (EMC Update) v0 30 1" xfId="570" xr:uid="{00000000-0005-0000-0000-00003A020000}"/>
    <cellStyle name="%_NRA_model_for_NEMO2 (EMC Update) v0.19_NRA_model_for_NEMO2 (EMC Update) v0.26_NRA_model_for_NEMO2 (EMC Update) v0.29.2_NRA_model_for_NEMO2 (EMC Update) v0.29.5" xfId="571" xr:uid="{00000000-0005-0000-0000-00003B020000}"/>
    <cellStyle name="%_NRA_model_for_NEMO2 (EMC Update) v0.19_NRA_model_for_NEMO2 (EMC Update) v0.26_NRA_model_for_NEMO2 (EMC Update) v0.29.2_NRA_model_for_NEMO2 (EMC Update) v0.29.5_NRA_model_for_NEMO2 (EMC Update) v0 30 1" xfId="572" xr:uid="{00000000-0005-0000-0000-00003C020000}"/>
    <cellStyle name="%_NRA_model_for_NEMO2 (EMC Update) v0.19_NRA_model_for_NEMO2 (EMC Update) v0.26_NRA_model_for_NEMO2 (EMC Update) v0.29.3" xfId="573" xr:uid="{00000000-0005-0000-0000-00003D020000}"/>
    <cellStyle name="%_NRA_model_for_NEMO2 (EMC Update) v0.19_NRA_model_for_NEMO2 (EMC Update) v0.26_NRA_model_for_NEMO2 (EMC Update) v0.29.3_NRA_model_for_NEMO2 (EMC Update) v0 30 1" xfId="574" xr:uid="{00000000-0005-0000-0000-00003E020000}"/>
    <cellStyle name="%_NRA_model_for_NEMO2 (EMC Update) v0.19_NRA_model_for_NEMO2 (EMC Update) v0.26_NRA_model_for_NEMO2 (EMC Update) v0.29.3_NRA_model_for_NEMO2 (EMC Update) v0.29.5" xfId="575" xr:uid="{00000000-0005-0000-0000-00003F020000}"/>
    <cellStyle name="%_NRA_model_for_NEMO2 (EMC Update) v0.19_NRA_model_for_NEMO2 (EMC Update) v0.26_NRA_model_for_NEMO2 (EMC Update) v0.29.3_NRA_model_for_NEMO2 (EMC Update) v0.29.5_NRA_model_for_NEMO2 (EMC Update) v0 30 1" xfId="576" xr:uid="{00000000-0005-0000-0000-000040020000}"/>
    <cellStyle name="%_NRA_model_for_NEMO2 (EMC Update) v0.19_NRA_model_for_NEMO2 (EMC Update) v0.26_NRA_model_for_NEMO2 (EMC Update) v0.29.4" xfId="577" xr:uid="{00000000-0005-0000-0000-000041020000}"/>
    <cellStyle name="%_NRA_model_for_NEMO2 (EMC Update) v0.19_NRA_model_for_NEMO2 (EMC Update) v0.26_NRA_model_for_NEMO2 (EMC Update) v0.29.4_NRA_model_for_NEMO2 (EMC Update) v0 30 1" xfId="578" xr:uid="{00000000-0005-0000-0000-000042020000}"/>
    <cellStyle name="%_NRA_model_for_NEMO2 (EMC Update) v0.19_NRA_model_for_NEMO2 (EMC Update) v0.26_NRA_model_for_NEMO2 (EMC Update) v0.29.4_NRA_model_for_NEMO2 (EMC Update) v0.29.5" xfId="579" xr:uid="{00000000-0005-0000-0000-000043020000}"/>
    <cellStyle name="%_NRA_model_for_NEMO2 (EMC Update) v0.19_NRA_model_for_NEMO2 (EMC Update) v0.26_NRA_model_for_NEMO2 (EMC Update) v0.29.4_NRA_model_for_NEMO2 (EMC Update) v0.29.5_NRA_model_for_NEMO2 (EMC Update) v0 30 1" xfId="580" xr:uid="{00000000-0005-0000-0000-000044020000}"/>
    <cellStyle name="%_NRA_model_for_NEMO2 (EMC Update) v0.19_NRA_model_for_NEMO2 (EMC Update) v0.26_NRA_model_for_NEMO2 (EMC Update) v0.29.5" xfId="581" xr:uid="{00000000-0005-0000-0000-000045020000}"/>
    <cellStyle name="%_NRA_model_for_NEMO2 (EMC Update) v0.19_NRA_model_for_NEMO2 (EMC Update) v0.26_NRA_model_for_NEMO2 (EMC Update) v0.29.5_NRA_model_for_NEMO2 (EMC Update) v0 30 1" xfId="582" xr:uid="{00000000-0005-0000-0000-000046020000}"/>
    <cellStyle name="%_NRA_model_for_NEMO2 (EMC Update) v0.19_NRA_model_for_NEMO2 (EMC Update) v0.29" xfId="604" xr:uid="{00000000-0005-0000-0000-00005C020000}"/>
    <cellStyle name="%_NRA_model_for_NEMO2 (EMC Update) v0.19_NRA_model_for_NEMO2 (EMC Update) v0.29_NRA_model_for_NEMO2 (EMC Update) v0 30 1" xfId="627" xr:uid="{00000000-0005-0000-0000-000073020000}"/>
    <cellStyle name="%_NRA_model_for_NEMO2 (EMC Update) v0.19_NRA_model_for_NEMO2 (EMC Update) v0.29_NRA_model_for_NEMO2 (EMC Update) v0.29.2" xfId="628" xr:uid="{00000000-0005-0000-0000-000074020000}"/>
    <cellStyle name="%_NRA_model_for_NEMO2 (EMC Update) v0.19_NRA_model_for_NEMO2 (EMC Update) v0.29_NRA_model_for_NEMO2 (EMC Update) v0.29.2_NRA_model_for_NEMO2 (EMC Update) v0 30 1" xfId="629" xr:uid="{00000000-0005-0000-0000-000075020000}"/>
    <cellStyle name="%_NRA_model_for_NEMO2 (EMC Update) v0.19_NRA_model_for_NEMO2 (EMC Update) v0.29_NRA_model_for_NEMO2 (EMC Update) v0.29.2_NRA_model_for_NEMO2 (EMC Update) v0.29.3" xfId="630" xr:uid="{00000000-0005-0000-0000-000076020000}"/>
    <cellStyle name="%_NRA_model_for_NEMO2 (EMC Update) v0.19_NRA_model_for_NEMO2 (EMC Update) v0.29_NRA_model_for_NEMO2 (EMC Update) v0.29.2_NRA_model_for_NEMO2 (EMC Update) v0.29.3_NRA_model_for_NEMO2 (EMC Update) v0 30 1" xfId="631" xr:uid="{00000000-0005-0000-0000-000077020000}"/>
    <cellStyle name="%_NRA_model_for_NEMO2 (EMC Update) v0.19_NRA_model_for_NEMO2 (EMC Update) v0.29_NRA_model_for_NEMO2 (EMC Update) v0.29.2_NRA_model_for_NEMO2 (EMC Update) v0.29.3_NRA_model_for_NEMO2 (EMC Update) v0.29.5" xfId="632" xr:uid="{00000000-0005-0000-0000-000078020000}"/>
    <cellStyle name="%_NRA_model_for_NEMO2 (EMC Update) v0.19_NRA_model_for_NEMO2 (EMC Update) v0.29_NRA_model_for_NEMO2 (EMC Update) v0.29.2_NRA_model_for_NEMO2 (EMC Update) v0.29.3_NRA_model_for_NEMO2 (EMC Update) v0.29.5_NRA_model_for_NEMO2 (EMC Update) v0 30 1" xfId="633" xr:uid="{00000000-0005-0000-0000-000079020000}"/>
    <cellStyle name="%_NRA_model_for_NEMO2 (EMC Update) v0.19_NRA_model_for_NEMO2 (EMC Update) v0.29_NRA_model_for_NEMO2 (EMC Update) v0.29.2_NRA_model_for_NEMO2 (EMC Update) v0.29.4" xfId="634" xr:uid="{00000000-0005-0000-0000-00007A020000}"/>
    <cellStyle name="%_NRA_model_for_NEMO2 (EMC Update) v0.19_NRA_model_for_NEMO2 (EMC Update) v0.29_NRA_model_for_NEMO2 (EMC Update) v0.29.2_NRA_model_for_NEMO2 (EMC Update) v0.29.4_NRA_model_for_NEMO2 (EMC Update) v0 30 1" xfId="635" xr:uid="{00000000-0005-0000-0000-00007B020000}"/>
    <cellStyle name="%_NRA_model_for_NEMO2 (EMC Update) v0.19_NRA_model_for_NEMO2 (EMC Update) v0.29_NRA_model_for_NEMO2 (EMC Update) v0.29.2_NRA_model_for_NEMO2 (EMC Update) v0.29.4_NRA_model_for_NEMO2 (EMC Update) v0.29.5" xfId="636" xr:uid="{00000000-0005-0000-0000-00007C020000}"/>
    <cellStyle name="%_NRA_model_for_NEMO2 (EMC Update) v0.19_NRA_model_for_NEMO2 (EMC Update) v0.29_NRA_model_for_NEMO2 (EMC Update) v0.29.2_NRA_model_for_NEMO2 (EMC Update) v0.29.4_NRA_model_for_NEMO2 (EMC Update) v0.29.5_NRA_model_for_NEMO2 (EMC Update) v0 30 1" xfId="637" xr:uid="{00000000-0005-0000-0000-00007D020000}"/>
    <cellStyle name="%_NRA_model_for_NEMO2 (EMC Update) v0.19_NRA_model_for_NEMO2 (EMC Update) v0.29_NRA_model_for_NEMO2 (EMC Update) v0.29.2_NRA_model_for_NEMO2 (EMC Update) v0.29.5" xfId="638" xr:uid="{00000000-0005-0000-0000-00007E020000}"/>
    <cellStyle name="%_NRA_model_for_NEMO2 (EMC Update) v0.19_NRA_model_for_NEMO2 (EMC Update) v0.29_NRA_model_for_NEMO2 (EMC Update) v0.29.2_NRA_model_for_NEMO2 (EMC Update) v0.29.5_NRA_model_for_NEMO2 (EMC Update) v0 30 1" xfId="639" xr:uid="{00000000-0005-0000-0000-00007F020000}"/>
    <cellStyle name="%_NRA_model_for_NEMO2 (EMC Update) v0.19_NRA_model_for_NEMO2 (EMC Update) v0.29_NRA_model_for_NEMO2 (EMC Update) v0.29.3" xfId="640" xr:uid="{00000000-0005-0000-0000-000080020000}"/>
    <cellStyle name="%_NRA_model_for_NEMO2 (EMC Update) v0.19_NRA_model_for_NEMO2 (EMC Update) v0.29_NRA_model_for_NEMO2 (EMC Update) v0.29.3_NRA_model_for_NEMO2 (EMC Update) v0 30 1" xfId="641" xr:uid="{00000000-0005-0000-0000-000081020000}"/>
    <cellStyle name="%_NRA_model_for_NEMO2 (EMC Update) v0.19_NRA_model_for_NEMO2 (EMC Update) v0.29_NRA_model_for_NEMO2 (EMC Update) v0.29.3_NRA_model_for_NEMO2 (EMC Update) v0.29.5" xfId="642" xr:uid="{00000000-0005-0000-0000-000082020000}"/>
    <cellStyle name="%_NRA_model_for_NEMO2 (EMC Update) v0.19_NRA_model_for_NEMO2 (EMC Update) v0.29_NRA_model_for_NEMO2 (EMC Update) v0.29.3_NRA_model_for_NEMO2 (EMC Update) v0.29.5_NRA_model_for_NEMO2 (EMC Update) v0 30 1" xfId="643" xr:uid="{00000000-0005-0000-0000-000083020000}"/>
    <cellStyle name="%_NRA_model_for_NEMO2 (EMC Update) v0.19_NRA_model_for_NEMO2 (EMC Update) v0.29_NRA_model_for_NEMO2 (EMC Update) v0.29.4" xfId="644" xr:uid="{00000000-0005-0000-0000-000084020000}"/>
    <cellStyle name="%_NRA_model_for_NEMO2 (EMC Update) v0.19_NRA_model_for_NEMO2 (EMC Update) v0.29_NRA_model_for_NEMO2 (EMC Update) v0.29.4_NRA_model_for_NEMO2 (EMC Update) v0 30 1" xfId="645" xr:uid="{00000000-0005-0000-0000-000085020000}"/>
    <cellStyle name="%_NRA_model_for_NEMO2 (EMC Update) v0.19_NRA_model_for_NEMO2 (EMC Update) v0.29_NRA_model_for_NEMO2 (EMC Update) v0.29.4_NRA_model_for_NEMO2 (EMC Update) v0.29.5" xfId="646" xr:uid="{00000000-0005-0000-0000-000086020000}"/>
    <cellStyle name="%_NRA_model_for_NEMO2 (EMC Update) v0.19_NRA_model_for_NEMO2 (EMC Update) v0.29_NRA_model_for_NEMO2 (EMC Update) v0.29.4_NRA_model_for_NEMO2 (EMC Update) v0.29.5_NRA_model_for_NEMO2 (EMC Update) v0 30 1" xfId="647" xr:uid="{00000000-0005-0000-0000-000087020000}"/>
    <cellStyle name="%_NRA_model_for_NEMO2 (EMC Update) v0.19_NRA_model_for_NEMO2 (EMC Update) v0.29_NRA_model_for_NEMO2 (EMC Update) v0.29.5" xfId="648" xr:uid="{00000000-0005-0000-0000-000088020000}"/>
    <cellStyle name="%_NRA_model_for_NEMO2 (EMC Update) v0.19_NRA_model_for_NEMO2 (EMC Update) v0.29_NRA_model_for_NEMO2 (EMC Update) v0.29.5_NRA_model_for_NEMO2 (EMC Update) v0 30 1" xfId="649" xr:uid="{00000000-0005-0000-0000-000089020000}"/>
    <cellStyle name="%_NRA_model_for_NEMO2 (EMC Update) v0.19_NRA_model_for_NEMO2 (EMC Update) v0.29.2" xfId="605" xr:uid="{00000000-0005-0000-0000-00005D020000}"/>
    <cellStyle name="%_NRA_model_for_NEMO2 (EMC Update) v0.19_NRA_model_for_NEMO2 (EMC Update) v0.29.2_NRA_model_for_NEMO2 (EMC Update) v0 30 1" xfId="606" xr:uid="{00000000-0005-0000-0000-00005E020000}"/>
    <cellStyle name="%_NRA_model_for_NEMO2 (EMC Update) v0.19_NRA_model_for_NEMO2 (EMC Update) v0.29.2_NRA_model_for_NEMO2 (EMC Update) v0.29.3" xfId="607" xr:uid="{00000000-0005-0000-0000-00005F020000}"/>
    <cellStyle name="%_NRA_model_for_NEMO2 (EMC Update) v0.19_NRA_model_for_NEMO2 (EMC Update) v0.29.2_NRA_model_for_NEMO2 (EMC Update) v0.29.3_NRA_model_for_NEMO2 (EMC Update) v0 30 1" xfId="608" xr:uid="{00000000-0005-0000-0000-000060020000}"/>
    <cellStyle name="%_NRA_model_for_NEMO2 (EMC Update) v0.19_NRA_model_for_NEMO2 (EMC Update) v0.29.2_NRA_model_for_NEMO2 (EMC Update) v0.29.3_NRA_model_for_NEMO2 (EMC Update) v0.29.5" xfId="609" xr:uid="{00000000-0005-0000-0000-000061020000}"/>
    <cellStyle name="%_NRA_model_for_NEMO2 (EMC Update) v0.19_NRA_model_for_NEMO2 (EMC Update) v0.29.2_NRA_model_for_NEMO2 (EMC Update) v0.29.3_NRA_model_for_NEMO2 (EMC Update) v0.29.5_NRA_model_for_NEMO2 (EMC Update) v0 30 1" xfId="610" xr:uid="{00000000-0005-0000-0000-000062020000}"/>
    <cellStyle name="%_NRA_model_for_NEMO2 (EMC Update) v0.19_NRA_model_for_NEMO2 (EMC Update) v0.29.2_NRA_model_for_NEMO2 (EMC Update) v0.29.4" xfId="611" xr:uid="{00000000-0005-0000-0000-000063020000}"/>
    <cellStyle name="%_NRA_model_for_NEMO2 (EMC Update) v0.19_NRA_model_for_NEMO2 (EMC Update) v0.29.2_NRA_model_for_NEMO2 (EMC Update) v0.29.4_NRA_model_for_NEMO2 (EMC Update) v0 30 1" xfId="612" xr:uid="{00000000-0005-0000-0000-000064020000}"/>
    <cellStyle name="%_NRA_model_for_NEMO2 (EMC Update) v0.19_NRA_model_for_NEMO2 (EMC Update) v0.29.2_NRA_model_for_NEMO2 (EMC Update) v0.29.4_NRA_model_for_NEMO2 (EMC Update) v0.29.5" xfId="613" xr:uid="{00000000-0005-0000-0000-000065020000}"/>
    <cellStyle name="%_NRA_model_for_NEMO2 (EMC Update) v0.19_NRA_model_for_NEMO2 (EMC Update) v0.29.2_NRA_model_for_NEMO2 (EMC Update) v0.29.4_NRA_model_for_NEMO2 (EMC Update) v0.29.5_NRA_model_for_NEMO2 (EMC Update) v0 30 1" xfId="614" xr:uid="{00000000-0005-0000-0000-000066020000}"/>
    <cellStyle name="%_NRA_model_for_NEMO2 (EMC Update) v0.19_NRA_model_for_NEMO2 (EMC Update) v0.29.2_NRA_model_for_NEMO2 (EMC Update) v0.29.5" xfId="615" xr:uid="{00000000-0005-0000-0000-000067020000}"/>
    <cellStyle name="%_NRA_model_for_NEMO2 (EMC Update) v0.19_NRA_model_for_NEMO2 (EMC Update) v0.29.2_NRA_model_for_NEMO2 (EMC Update) v0.29.5_NRA_model_for_NEMO2 (EMC Update) v0 30 1" xfId="616" xr:uid="{00000000-0005-0000-0000-000068020000}"/>
    <cellStyle name="%_NRA_model_for_NEMO2 (EMC Update) v0.19_NRA_model_for_NEMO2 (EMC Update) v0.29.3" xfId="617" xr:uid="{00000000-0005-0000-0000-000069020000}"/>
    <cellStyle name="%_NRA_model_for_NEMO2 (EMC Update) v0.19_NRA_model_for_NEMO2 (EMC Update) v0.29.3_NRA_model_for_NEMO2 (EMC Update) v0 30 1" xfId="618" xr:uid="{00000000-0005-0000-0000-00006A020000}"/>
    <cellStyle name="%_NRA_model_for_NEMO2 (EMC Update) v0.19_NRA_model_for_NEMO2 (EMC Update) v0.29.3_NRA_model_for_NEMO2 (EMC Update) v0.29.5" xfId="619" xr:uid="{00000000-0005-0000-0000-00006B020000}"/>
    <cellStyle name="%_NRA_model_for_NEMO2 (EMC Update) v0.19_NRA_model_for_NEMO2 (EMC Update) v0.29.3_NRA_model_for_NEMO2 (EMC Update) v0.29.5_NRA_model_for_NEMO2 (EMC Update) v0 30 1" xfId="620" xr:uid="{00000000-0005-0000-0000-00006C020000}"/>
    <cellStyle name="%_NRA_model_for_NEMO2 (EMC Update) v0.19_NRA_model_for_NEMO2 (EMC Update) v0.29.4" xfId="621" xr:uid="{00000000-0005-0000-0000-00006D020000}"/>
    <cellStyle name="%_NRA_model_for_NEMO2 (EMC Update) v0.19_NRA_model_for_NEMO2 (EMC Update) v0.29.4_NRA_model_for_NEMO2 (EMC Update) v0 30 1" xfId="622" xr:uid="{00000000-0005-0000-0000-00006E020000}"/>
    <cellStyle name="%_NRA_model_for_NEMO2 (EMC Update) v0.19_NRA_model_for_NEMO2 (EMC Update) v0.29.4_NRA_model_for_NEMO2 (EMC Update) v0.29.5" xfId="623" xr:uid="{00000000-0005-0000-0000-00006F020000}"/>
    <cellStyle name="%_NRA_model_for_NEMO2 (EMC Update) v0.19_NRA_model_for_NEMO2 (EMC Update) v0.29.4_NRA_model_for_NEMO2 (EMC Update) v0.29.5_NRA_model_for_NEMO2 (EMC Update) v0 30 1" xfId="624" xr:uid="{00000000-0005-0000-0000-000070020000}"/>
    <cellStyle name="%_NRA_model_for_NEMO2 (EMC Update) v0.19_NRA_model_for_NEMO2 (EMC Update) v0.29.5" xfId="625" xr:uid="{00000000-0005-0000-0000-000071020000}"/>
    <cellStyle name="%_NRA_model_for_NEMO2 (EMC Update) v0.19_NRA_model_for_NEMO2 (EMC Update) v0.29.5_NRA_model_for_NEMO2 (EMC Update) v0 30 1" xfId="626" xr:uid="{00000000-0005-0000-0000-000072020000}"/>
    <cellStyle name="%_NRA_model_for_NEMO2 (EMC Update) v0.20" xfId="650" xr:uid="{00000000-0005-0000-0000-00008A020000}"/>
    <cellStyle name="%_NRA_model_for_NEMO2 (EMC Update) v0.20_NRA_model_for_NEMO2 (EMC Update) v0 30 1" xfId="651" xr:uid="{00000000-0005-0000-0000-00008B020000}"/>
    <cellStyle name="%_NRA_model_for_NEMO2 (EMC Update) v0.20_NRA_model_for_NEMO2 (EMC Update) v0.21" xfId="652" xr:uid="{00000000-0005-0000-0000-00008C020000}"/>
    <cellStyle name="%_NRA_model_for_NEMO2 (EMC Update) v0.20_NRA_model_for_NEMO2 (EMC Update) v0.21_NRA_model_for_NEMO2 (EMC Update) v0 30 1" xfId="653" xr:uid="{00000000-0005-0000-0000-00008D020000}"/>
    <cellStyle name="%_NRA_model_for_NEMO2 (EMC Update) v0.20_NRA_model_for_NEMO2 (EMC Update) v0.21_NRA_model_for_NEMO2 (EMC Update) v0.22" xfId="654" xr:uid="{00000000-0005-0000-0000-00008E020000}"/>
    <cellStyle name="%_NRA_model_for_NEMO2 (EMC Update) v0.20_NRA_model_for_NEMO2 (EMC Update) v0.21_NRA_model_for_NEMO2 (EMC Update) v0.22_NRA_model_for_NEMO2 (EMC Update) v0 30 1" xfId="655" xr:uid="{00000000-0005-0000-0000-00008F020000}"/>
    <cellStyle name="%_NRA_model_for_NEMO2 (EMC Update) v0.20_NRA_model_for_NEMO2 (EMC Update) v0.21_NRA_model_for_NEMO2 (EMC Update) v0.22_NRA_model_for_NEMO2 (EMC Update) v0.25" xfId="656" xr:uid="{00000000-0005-0000-0000-000090020000}"/>
    <cellStyle name="%_NRA_model_for_NEMO2 (EMC Update) v0.20_NRA_model_for_NEMO2 (EMC Update) v0.21_NRA_model_for_NEMO2 (EMC Update) v0.22_NRA_model_for_NEMO2 (EMC Update) v0.25_NRA_model_for_NEMO2 (EMC Update) v0 30 1" xfId="657" xr:uid="{00000000-0005-0000-0000-000091020000}"/>
    <cellStyle name="%_NRA_model_for_NEMO2 (EMC Update) v0.20_NRA_model_for_NEMO2 (EMC Update) v0.21_NRA_model_for_NEMO2 (EMC Update) v0.22_NRA_model_for_NEMO2 (EMC Update) v0.25_NRA_model_for_NEMO2 (EMC Update) v0.26" xfId="658" xr:uid="{00000000-0005-0000-0000-000092020000}"/>
    <cellStyle name="%_NRA_model_for_NEMO2 (EMC Update) v0.20_NRA_model_for_NEMO2 (EMC Update) v0.21_NRA_model_for_NEMO2 (EMC Update) v0.22_NRA_model_for_NEMO2 (EMC Update) v0.25_NRA_model_for_NEMO2 (EMC Update) v0.26_NRA_model_for_NEMO2 (EMC Update) v0 30 1" xfId="659" xr:uid="{00000000-0005-0000-0000-000093020000}"/>
    <cellStyle name="%_NRA_model_for_NEMO2 (EMC Update) v0.20_NRA_model_for_NEMO2 (EMC Update) v0.21_NRA_model_for_NEMO2 (EMC Update) v0.22_NRA_model_for_NEMO2 (EMC Update) v0.25_NRA_model_for_NEMO2 (EMC Update) v0.26_NRA_model_for_NEMO2 (EMC Update) v0.29" xfId="660" xr:uid="{00000000-0005-0000-0000-000094020000}"/>
    <cellStyle name="%_NRA_model_for_NEMO2 (EMC Update) v0.20_NRA_model_for_NEMO2 (EMC Update) v0.21_NRA_model_for_NEMO2 (EMC Update) v0.22_NRA_model_for_NEMO2 (EMC Update) v0.25_NRA_model_for_NEMO2 (EMC Update) v0.26_NRA_model_for_NEMO2 (EMC Update) v0.29.2" xfId="661" xr:uid="{00000000-0005-0000-0000-000095020000}"/>
    <cellStyle name="%_NRA_model_for_NEMO2 (EMC Update) v0.20_NRA_model_for_NEMO2 (EMC Update) v0.21_NRA_model_for_NEMO2 (EMC Update) v0.22_NRA_model_for_NEMO2 (EMC Update) v0.25_NRA_model_for_NEMO2 (EMC Update) v0.26_NRA_model_for_NEMO2 (EMC Update) v0.29.3" xfId="662" xr:uid="{00000000-0005-0000-0000-000096020000}"/>
    <cellStyle name="%_NRA_model_for_NEMO2 (EMC Update) v0.20_NRA_model_for_NEMO2 (EMC Update) v0.21_NRA_model_for_NEMO2 (EMC Update) v0.22_NRA_model_for_NEMO2 (EMC Update) v0.25_NRA_model_for_NEMO2 (EMC Update) v0.26_NRA_model_for_NEMO2 (EMC Update) v0.29.4" xfId="663" xr:uid="{00000000-0005-0000-0000-000097020000}"/>
    <cellStyle name="%_NRA_model_for_NEMO2 (EMC Update) v0.20_NRA_model_for_NEMO2 (EMC Update) v0.21_NRA_model_for_NEMO2 (EMC Update) v0.22_NRA_model_for_NEMO2 (EMC Update) v0.25_NRA_model_for_NEMO2 (EMC Update) v0.26_NRA_model_for_NEMO2 (EMC Update) v0.29.5" xfId="664" xr:uid="{00000000-0005-0000-0000-000098020000}"/>
    <cellStyle name="%_NRA_model_for_NEMO2 (EMC Update) v0.20_NRA_model_for_NEMO2 (EMC Update) v0.21_NRA_model_for_NEMO2 (EMC Update) v0.22_NRA_model_for_NEMO2 (EMC Update) v0.25_NRA_model_for_NEMO2 (EMC Update) v0.29" xfId="665" xr:uid="{00000000-0005-0000-0000-000099020000}"/>
    <cellStyle name="%_NRA_model_for_NEMO2 (EMC Update) v0.20_NRA_model_for_NEMO2 (EMC Update) v0.21_NRA_model_for_NEMO2 (EMC Update) v0.22_NRA_model_for_NEMO2 (EMC Update) v0.25_NRA_model_for_NEMO2 (EMC Update) v0.29_NRA_model_for_NEMO2 (EMC Update) v0 30 1" xfId="679" xr:uid="{00000000-0005-0000-0000-0000A7020000}"/>
    <cellStyle name="%_NRA_model_for_NEMO2 (EMC Update) v0.20_NRA_model_for_NEMO2 (EMC Update) v0.21_NRA_model_for_NEMO2 (EMC Update) v0.22_NRA_model_for_NEMO2 (EMC Update) v0.25_NRA_model_for_NEMO2 (EMC Update) v0.29_NRA_model_for_NEMO2 (EMC Update) v0.29.2" xfId="680" xr:uid="{00000000-0005-0000-0000-0000A8020000}"/>
    <cellStyle name="%_NRA_model_for_NEMO2 (EMC Update) v0.20_NRA_model_for_NEMO2 (EMC Update) v0.21_NRA_model_for_NEMO2 (EMC Update) v0.22_NRA_model_for_NEMO2 (EMC Update) v0.25_NRA_model_for_NEMO2 (EMC Update) v0.29_NRA_model_for_NEMO2 (EMC Update) v0.29.3" xfId="681" xr:uid="{00000000-0005-0000-0000-0000A9020000}"/>
    <cellStyle name="%_NRA_model_for_NEMO2 (EMC Update) v0.20_NRA_model_for_NEMO2 (EMC Update) v0.21_NRA_model_for_NEMO2 (EMC Update) v0.22_NRA_model_for_NEMO2 (EMC Update) v0.25_NRA_model_for_NEMO2 (EMC Update) v0.29_NRA_model_for_NEMO2 (EMC Update) v0.29.4" xfId="682" xr:uid="{00000000-0005-0000-0000-0000AA020000}"/>
    <cellStyle name="%_NRA_model_for_NEMO2 (EMC Update) v0.20_NRA_model_for_NEMO2 (EMC Update) v0.21_NRA_model_for_NEMO2 (EMC Update) v0.22_NRA_model_for_NEMO2 (EMC Update) v0.25_NRA_model_for_NEMO2 (EMC Update) v0.29_NRA_model_for_NEMO2 (EMC Update) v0.29.5" xfId="683" xr:uid="{00000000-0005-0000-0000-0000AB020000}"/>
    <cellStyle name="%_NRA_model_for_NEMO2 (EMC Update) v0.20_NRA_model_for_NEMO2 (EMC Update) v0.21_NRA_model_for_NEMO2 (EMC Update) v0.22_NRA_model_for_NEMO2 (EMC Update) v0.25_NRA_model_for_NEMO2 (EMC Update) v0.29.2" xfId="666" xr:uid="{00000000-0005-0000-0000-00009A020000}"/>
    <cellStyle name="%_NRA_model_for_NEMO2 (EMC Update) v0.20_NRA_model_for_NEMO2 (EMC Update) v0.21_NRA_model_for_NEMO2 (EMC Update) v0.22_NRA_model_for_NEMO2 (EMC Update) v0.25_NRA_model_for_NEMO2 (EMC Update) v0.29.2_NRA_model_for_NEMO2 (EMC Update) v0 30 1" xfId="667" xr:uid="{00000000-0005-0000-0000-00009B020000}"/>
    <cellStyle name="%_NRA_model_for_NEMO2 (EMC Update) v0.20_NRA_model_for_NEMO2 (EMC Update) v0.21_NRA_model_for_NEMO2 (EMC Update) v0.22_NRA_model_for_NEMO2 (EMC Update) v0.25_NRA_model_for_NEMO2 (EMC Update) v0.29.2_NRA_model_for_NEMO2 (EMC Update) v0.29.3" xfId="668" xr:uid="{00000000-0005-0000-0000-00009C020000}"/>
    <cellStyle name="%_NRA_model_for_NEMO2 (EMC Update) v0.20_NRA_model_for_NEMO2 (EMC Update) v0.21_NRA_model_for_NEMO2 (EMC Update) v0.22_NRA_model_for_NEMO2 (EMC Update) v0.25_NRA_model_for_NEMO2 (EMC Update) v0.29.2_NRA_model_for_NEMO2 (EMC Update) v0.29.4" xfId="669" xr:uid="{00000000-0005-0000-0000-00009D020000}"/>
    <cellStyle name="%_NRA_model_for_NEMO2 (EMC Update) v0.20_NRA_model_for_NEMO2 (EMC Update) v0.21_NRA_model_for_NEMO2 (EMC Update) v0.22_NRA_model_for_NEMO2 (EMC Update) v0.25_NRA_model_for_NEMO2 (EMC Update) v0.29.2_NRA_model_for_NEMO2 (EMC Update) v0.29.5" xfId="670" xr:uid="{00000000-0005-0000-0000-00009E020000}"/>
    <cellStyle name="%_NRA_model_for_NEMO2 (EMC Update) v0.20_NRA_model_for_NEMO2 (EMC Update) v0.21_NRA_model_for_NEMO2 (EMC Update) v0.22_NRA_model_for_NEMO2 (EMC Update) v0.25_NRA_model_for_NEMO2 (EMC Update) v0.29.3" xfId="671" xr:uid="{00000000-0005-0000-0000-00009F020000}"/>
    <cellStyle name="%_NRA_model_for_NEMO2 (EMC Update) v0.20_NRA_model_for_NEMO2 (EMC Update) v0.21_NRA_model_for_NEMO2 (EMC Update) v0.22_NRA_model_for_NEMO2 (EMC Update) v0.25_NRA_model_for_NEMO2 (EMC Update) v0.29.3_NRA_model_for_NEMO2 (EMC Update) v0 30 1" xfId="672" xr:uid="{00000000-0005-0000-0000-0000A0020000}"/>
    <cellStyle name="%_NRA_model_for_NEMO2 (EMC Update) v0.20_NRA_model_for_NEMO2 (EMC Update) v0.21_NRA_model_for_NEMO2 (EMC Update) v0.22_NRA_model_for_NEMO2 (EMC Update) v0.25_NRA_model_for_NEMO2 (EMC Update) v0.29.3_NRA_model_for_NEMO2 (EMC Update) v0.29.5" xfId="673" xr:uid="{00000000-0005-0000-0000-0000A1020000}"/>
    <cellStyle name="%_NRA_model_for_NEMO2 (EMC Update) v0.20_NRA_model_for_NEMO2 (EMC Update) v0.21_NRA_model_for_NEMO2 (EMC Update) v0.22_NRA_model_for_NEMO2 (EMC Update) v0.25_NRA_model_for_NEMO2 (EMC Update) v0.29.4" xfId="674" xr:uid="{00000000-0005-0000-0000-0000A2020000}"/>
    <cellStyle name="%_NRA_model_for_NEMO2 (EMC Update) v0.20_NRA_model_for_NEMO2 (EMC Update) v0.21_NRA_model_for_NEMO2 (EMC Update) v0.22_NRA_model_for_NEMO2 (EMC Update) v0.25_NRA_model_for_NEMO2 (EMC Update) v0.29.4_NRA_model_for_NEMO2 (EMC Update) v0 30 1" xfId="675" xr:uid="{00000000-0005-0000-0000-0000A3020000}"/>
    <cellStyle name="%_NRA_model_for_NEMO2 (EMC Update) v0.20_NRA_model_for_NEMO2 (EMC Update) v0.21_NRA_model_for_NEMO2 (EMC Update) v0.22_NRA_model_for_NEMO2 (EMC Update) v0.25_NRA_model_for_NEMO2 (EMC Update) v0.29.4_NRA_model_for_NEMO2 (EMC Update) v0.29.5" xfId="676" xr:uid="{00000000-0005-0000-0000-0000A4020000}"/>
    <cellStyle name="%_NRA_model_for_NEMO2 (EMC Update) v0.20_NRA_model_for_NEMO2 (EMC Update) v0.21_NRA_model_for_NEMO2 (EMC Update) v0.22_NRA_model_for_NEMO2 (EMC Update) v0.25_NRA_model_for_NEMO2 (EMC Update) v0.29.5" xfId="677" xr:uid="{00000000-0005-0000-0000-0000A5020000}"/>
    <cellStyle name="%_NRA_model_for_NEMO2 (EMC Update) v0.20_NRA_model_for_NEMO2 (EMC Update) v0.21_NRA_model_for_NEMO2 (EMC Update) v0.22_NRA_model_for_NEMO2 (EMC Update) v0.25_NRA_model_for_NEMO2 (EMC Update) v0.29.5_NRA_model_for_NEMO2 (EMC Update) v0 30 1" xfId="678" xr:uid="{00000000-0005-0000-0000-0000A6020000}"/>
    <cellStyle name="%_NRA_model_for_NEMO2 (EMC Update) v0.20_NRA_model_for_NEMO2 (EMC Update) v0.21_NRA_model_for_NEMO2 (EMC Update) v0.22_NRA_model_for_NEMO2 (EMC Update) v0.26" xfId="684" xr:uid="{00000000-0005-0000-0000-0000AC020000}"/>
    <cellStyle name="%_NRA_model_for_NEMO2 (EMC Update) v0.20_NRA_model_for_NEMO2 (EMC Update) v0.21_NRA_model_for_NEMO2 (EMC Update) v0.22_NRA_model_for_NEMO2 (EMC Update) v0.26_NRA_model_for_NEMO2 (EMC Update) v0 30 1" xfId="685" xr:uid="{00000000-0005-0000-0000-0000AD020000}"/>
    <cellStyle name="%_NRA_model_for_NEMO2 (EMC Update) v0.20_NRA_model_for_NEMO2 (EMC Update) v0.21_NRA_model_for_NEMO2 (EMC Update) v0.22_NRA_model_for_NEMO2 (EMC Update) v0.26_NRA_model_for_NEMO2 (EMC Update) v0.29" xfId="686" xr:uid="{00000000-0005-0000-0000-0000AE020000}"/>
    <cellStyle name="%_NRA_model_for_NEMO2 (EMC Update) v0.20_NRA_model_for_NEMO2 (EMC Update) v0.21_NRA_model_for_NEMO2 (EMC Update) v0.22_NRA_model_for_NEMO2 (EMC Update) v0.26_NRA_model_for_NEMO2 (EMC Update) v0.29_NRA_model_for_NEMO2 (EMC Update) v0 30 1" xfId="700" xr:uid="{00000000-0005-0000-0000-0000BC020000}"/>
    <cellStyle name="%_NRA_model_for_NEMO2 (EMC Update) v0.20_NRA_model_for_NEMO2 (EMC Update) v0.21_NRA_model_for_NEMO2 (EMC Update) v0.22_NRA_model_for_NEMO2 (EMC Update) v0.26_NRA_model_for_NEMO2 (EMC Update) v0.29_NRA_model_for_NEMO2 (EMC Update) v0.29.2" xfId="701" xr:uid="{00000000-0005-0000-0000-0000BD020000}"/>
    <cellStyle name="%_NRA_model_for_NEMO2 (EMC Update) v0.20_NRA_model_for_NEMO2 (EMC Update) v0.21_NRA_model_for_NEMO2 (EMC Update) v0.22_NRA_model_for_NEMO2 (EMC Update) v0.26_NRA_model_for_NEMO2 (EMC Update) v0.29_NRA_model_for_NEMO2 (EMC Update) v0.29.3" xfId="702" xr:uid="{00000000-0005-0000-0000-0000BE020000}"/>
    <cellStyle name="%_NRA_model_for_NEMO2 (EMC Update) v0.20_NRA_model_for_NEMO2 (EMC Update) v0.21_NRA_model_for_NEMO2 (EMC Update) v0.22_NRA_model_for_NEMO2 (EMC Update) v0.26_NRA_model_for_NEMO2 (EMC Update) v0.29_NRA_model_for_NEMO2 (EMC Update) v0.29.4" xfId="703" xr:uid="{00000000-0005-0000-0000-0000BF020000}"/>
    <cellStyle name="%_NRA_model_for_NEMO2 (EMC Update) v0.20_NRA_model_for_NEMO2 (EMC Update) v0.21_NRA_model_for_NEMO2 (EMC Update) v0.22_NRA_model_for_NEMO2 (EMC Update) v0.26_NRA_model_for_NEMO2 (EMC Update) v0.29_NRA_model_for_NEMO2 (EMC Update) v0.29.5" xfId="704" xr:uid="{00000000-0005-0000-0000-0000C0020000}"/>
    <cellStyle name="%_NRA_model_for_NEMO2 (EMC Update) v0.20_NRA_model_for_NEMO2 (EMC Update) v0.21_NRA_model_for_NEMO2 (EMC Update) v0.22_NRA_model_for_NEMO2 (EMC Update) v0.26_NRA_model_for_NEMO2 (EMC Update) v0.29.2" xfId="687" xr:uid="{00000000-0005-0000-0000-0000AF020000}"/>
    <cellStyle name="%_NRA_model_for_NEMO2 (EMC Update) v0.20_NRA_model_for_NEMO2 (EMC Update) v0.21_NRA_model_for_NEMO2 (EMC Update) v0.22_NRA_model_for_NEMO2 (EMC Update) v0.26_NRA_model_for_NEMO2 (EMC Update) v0.29.2_NRA_model_for_NEMO2 (EMC Update) v0 30 1" xfId="688" xr:uid="{00000000-0005-0000-0000-0000B0020000}"/>
    <cellStyle name="%_NRA_model_for_NEMO2 (EMC Update) v0.20_NRA_model_for_NEMO2 (EMC Update) v0.21_NRA_model_for_NEMO2 (EMC Update) v0.22_NRA_model_for_NEMO2 (EMC Update) v0.26_NRA_model_for_NEMO2 (EMC Update) v0.29.2_NRA_model_for_NEMO2 (EMC Update) v0.29.3" xfId="689" xr:uid="{00000000-0005-0000-0000-0000B1020000}"/>
    <cellStyle name="%_NRA_model_for_NEMO2 (EMC Update) v0.20_NRA_model_for_NEMO2 (EMC Update) v0.21_NRA_model_for_NEMO2 (EMC Update) v0.22_NRA_model_for_NEMO2 (EMC Update) v0.26_NRA_model_for_NEMO2 (EMC Update) v0.29.2_NRA_model_for_NEMO2 (EMC Update) v0.29.4" xfId="690" xr:uid="{00000000-0005-0000-0000-0000B2020000}"/>
    <cellStyle name="%_NRA_model_for_NEMO2 (EMC Update) v0.20_NRA_model_for_NEMO2 (EMC Update) v0.21_NRA_model_for_NEMO2 (EMC Update) v0.22_NRA_model_for_NEMO2 (EMC Update) v0.26_NRA_model_for_NEMO2 (EMC Update) v0.29.2_NRA_model_for_NEMO2 (EMC Update) v0.29.5" xfId="691" xr:uid="{00000000-0005-0000-0000-0000B3020000}"/>
    <cellStyle name="%_NRA_model_for_NEMO2 (EMC Update) v0.20_NRA_model_for_NEMO2 (EMC Update) v0.21_NRA_model_for_NEMO2 (EMC Update) v0.22_NRA_model_for_NEMO2 (EMC Update) v0.26_NRA_model_for_NEMO2 (EMC Update) v0.29.3" xfId="692" xr:uid="{00000000-0005-0000-0000-0000B4020000}"/>
    <cellStyle name="%_NRA_model_for_NEMO2 (EMC Update) v0.20_NRA_model_for_NEMO2 (EMC Update) v0.21_NRA_model_for_NEMO2 (EMC Update) v0.22_NRA_model_for_NEMO2 (EMC Update) v0.26_NRA_model_for_NEMO2 (EMC Update) v0.29.3_NRA_model_for_NEMO2 (EMC Update) v0 30 1" xfId="693" xr:uid="{00000000-0005-0000-0000-0000B5020000}"/>
    <cellStyle name="%_NRA_model_for_NEMO2 (EMC Update) v0.20_NRA_model_for_NEMO2 (EMC Update) v0.21_NRA_model_for_NEMO2 (EMC Update) v0.22_NRA_model_for_NEMO2 (EMC Update) v0.26_NRA_model_for_NEMO2 (EMC Update) v0.29.3_NRA_model_for_NEMO2 (EMC Update) v0.29.5" xfId="694" xr:uid="{00000000-0005-0000-0000-0000B6020000}"/>
    <cellStyle name="%_NRA_model_for_NEMO2 (EMC Update) v0.20_NRA_model_for_NEMO2 (EMC Update) v0.21_NRA_model_for_NEMO2 (EMC Update) v0.22_NRA_model_for_NEMO2 (EMC Update) v0.26_NRA_model_for_NEMO2 (EMC Update) v0.29.4" xfId="695" xr:uid="{00000000-0005-0000-0000-0000B7020000}"/>
    <cellStyle name="%_NRA_model_for_NEMO2 (EMC Update) v0.20_NRA_model_for_NEMO2 (EMC Update) v0.21_NRA_model_for_NEMO2 (EMC Update) v0.22_NRA_model_for_NEMO2 (EMC Update) v0.26_NRA_model_for_NEMO2 (EMC Update) v0.29.4_NRA_model_for_NEMO2 (EMC Update) v0 30 1" xfId="696" xr:uid="{00000000-0005-0000-0000-0000B8020000}"/>
    <cellStyle name="%_NRA_model_for_NEMO2 (EMC Update) v0.20_NRA_model_for_NEMO2 (EMC Update) v0.21_NRA_model_for_NEMO2 (EMC Update) v0.22_NRA_model_for_NEMO2 (EMC Update) v0.26_NRA_model_for_NEMO2 (EMC Update) v0.29.4_NRA_model_for_NEMO2 (EMC Update) v0.29.5" xfId="697" xr:uid="{00000000-0005-0000-0000-0000B9020000}"/>
    <cellStyle name="%_NRA_model_for_NEMO2 (EMC Update) v0.20_NRA_model_for_NEMO2 (EMC Update) v0.21_NRA_model_for_NEMO2 (EMC Update) v0.22_NRA_model_for_NEMO2 (EMC Update) v0.26_NRA_model_for_NEMO2 (EMC Update) v0.29.5" xfId="698" xr:uid="{00000000-0005-0000-0000-0000BA020000}"/>
    <cellStyle name="%_NRA_model_for_NEMO2 (EMC Update) v0.20_NRA_model_for_NEMO2 (EMC Update) v0.21_NRA_model_for_NEMO2 (EMC Update) v0.22_NRA_model_for_NEMO2 (EMC Update) v0.26_NRA_model_for_NEMO2 (EMC Update) v0.29.5_NRA_model_for_NEMO2 (EMC Update) v0 30 1" xfId="699" xr:uid="{00000000-0005-0000-0000-0000BB020000}"/>
    <cellStyle name="%_NRA_model_for_NEMO2 (EMC Update) v0.20_NRA_model_for_NEMO2 (EMC Update) v0.21_NRA_model_for_NEMO2 (EMC Update) v0.22_NRA_model_for_NEMO2 (EMC Update) v0.29" xfId="705" xr:uid="{00000000-0005-0000-0000-0000C1020000}"/>
    <cellStyle name="%_NRA_model_for_NEMO2 (EMC Update) v0.20_NRA_model_for_NEMO2 (EMC Update) v0.21_NRA_model_for_NEMO2 (EMC Update) v0.22_NRA_model_for_NEMO2 (EMC Update) v0.29_NRA_model_for_NEMO2 (EMC Update) v0 30 1" xfId="726" xr:uid="{00000000-0005-0000-0000-0000D6020000}"/>
    <cellStyle name="%_NRA_model_for_NEMO2 (EMC Update) v0.20_NRA_model_for_NEMO2 (EMC Update) v0.21_NRA_model_for_NEMO2 (EMC Update) v0.22_NRA_model_for_NEMO2 (EMC Update) v0.29_NRA_model_for_NEMO2 (EMC Update) v0.29.2" xfId="727" xr:uid="{00000000-0005-0000-0000-0000D7020000}"/>
    <cellStyle name="%_NRA_model_for_NEMO2 (EMC Update) v0.20_NRA_model_for_NEMO2 (EMC Update) v0.21_NRA_model_for_NEMO2 (EMC Update) v0.22_NRA_model_for_NEMO2 (EMC Update) v0.29_NRA_model_for_NEMO2 (EMC Update) v0.29.2_NRA_model_for_NEMO2 (EMC Update) v0 30 1" xfId="728" xr:uid="{00000000-0005-0000-0000-0000D8020000}"/>
    <cellStyle name="%_NRA_model_for_NEMO2 (EMC Update) v0.20_NRA_model_for_NEMO2 (EMC Update) v0.21_NRA_model_for_NEMO2 (EMC Update) v0.22_NRA_model_for_NEMO2 (EMC Update) v0.29_NRA_model_for_NEMO2 (EMC Update) v0.29.2_NRA_model_for_NEMO2 (EMC Update) v0.29.3" xfId="729" xr:uid="{00000000-0005-0000-0000-0000D9020000}"/>
    <cellStyle name="%_NRA_model_for_NEMO2 (EMC Update) v0.20_NRA_model_for_NEMO2 (EMC Update) v0.21_NRA_model_for_NEMO2 (EMC Update) v0.22_NRA_model_for_NEMO2 (EMC Update) v0.29_NRA_model_for_NEMO2 (EMC Update) v0.29.2_NRA_model_for_NEMO2 (EMC Update) v0.29.4" xfId="730" xr:uid="{00000000-0005-0000-0000-0000DA020000}"/>
    <cellStyle name="%_NRA_model_for_NEMO2 (EMC Update) v0.20_NRA_model_for_NEMO2 (EMC Update) v0.21_NRA_model_for_NEMO2 (EMC Update) v0.22_NRA_model_for_NEMO2 (EMC Update) v0.29_NRA_model_for_NEMO2 (EMC Update) v0.29.2_NRA_model_for_NEMO2 (EMC Update) v0.29.5" xfId="731" xr:uid="{00000000-0005-0000-0000-0000DB020000}"/>
    <cellStyle name="%_NRA_model_for_NEMO2 (EMC Update) v0.20_NRA_model_for_NEMO2 (EMC Update) v0.21_NRA_model_for_NEMO2 (EMC Update) v0.22_NRA_model_for_NEMO2 (EMC Update) v0.29_NRA_model_for_NEMO2 (EMC Update) v0.29.3" xfId="732" xr:uid="{00000000-0005-0000-0000-0000DC020000}"/>
    <cellStyle name="%_NRA_model_for_NEMO2 (EMC Update) v0.20_NRA_model_for_NEMO2 (EMC Update) v0.21_NRA_model_for_NEMO2 (EMC Update) v0.22_NRA_model_for_NEMO2 (EMC Update) v0.29_NRA_model_for_NEMO2 (EMC Update) v0.29.3_NRA_model_for_NEMO2 (EMC Update) v0 30 1" xfId="733" xr:uid="{00000000-0005-0000-0000-0000DD020000}"/>
    <cellStyle name="%_NRA_model_for_NEMO2 (EMC Update) v0.20_NRA_model_for_NEMO2 (EMC Update) v0.21_NRA_model_for_NEMO2 (EMC Update) v0.22_NRA_model_for_NEMO2 (EMC Update) v0.29_NRA_model_for_NEMO2 (EMC Update) v0.29.3_NRA_model_for_NEMO2 (EMC Update) v0.29.5" xfId="734" xr:uid="{00000000-0005-0000-0000-0000DE020000}"/>
    <cellStyle name="%_NRA_model_for_NEMO2 (EMC Update) v0.20_NRA_model_for_NEMO2 (EMC Update) v0.21_NRA_model_for_NEMO2 (EMC Update) v0.22_NRA_model_for_NEMO2 (EMC Update) v0.29_NRA_model_for_NEMO2 (EMC Update) v0.29.4" xfId="735" xr:uid="{00000000-0005-0000-0000-0000DF020000}"/>
    <cellStyle name="%_NRA_model_for_NEMO2 (EMC Update) v0.20_NRA_model_for_NEMO2 (EMC Update) v0.21_NRA_model_for_NEMO2 (EMC Update) v0.22_NRA_model_for_NEMO2 (EMC Update) v0.29_NRA_model_for_NEMO2 (EMC Update) v0.29.4_NRA_model_for_NEMO2 (EMC Update) v0 30 1" xfId="736" xr:uid="{00000000-0005-0000-0000-0000E0020000}"/>
    <cellStyle name="%_NRA_model_for_NEMO2 (EMC Update) v0.20_NRA_model_for_NEMO2 (EMC Update) v0.21_NRA_model_for_NEMO2 (EMC Update) v0.22_NRA_model_for_NEMO2 (EMC Update) v0.29_NRA_model_for_NEMO2 (EMC Update) v0.29.4_NRA_model_for_NEMO2 (EMC Update) v0.29.5" xfId="737" xr:uid="{00000000-0005-0000-0000-0000E1020000}"/>
    <cellStyle name="%_NRA_model_for_NEMO2 (EMC Update) v0.20_NRA_model_for_NEMO2 (EMC Update) v0.21_NRA_model_for_NEMO2 (EMC Update) v0.22_NRA_model_for_NEMO2 (EMC Update) v0.29_NRA_model_for_NEMO2 (EMC Update) v0.29.5" xfId="738" xr:uid="{00000000-0005-0000-0000-0000E2020000}"/>
    <cellStyle name="%_NRA_model_for_NEMO2 (EMC Update) v0.20_NRA_model_for_NEMO2 (EMC Update) v0.21_NRA_model_for_NEMO2 (EMC Update) v0.22_NRA_model_for_NEMO2 (EMC Update) v0.29_NRA_model_for_NEMO2 (EMC Update) v0.29.5_NRA_model_for_NEMO2 (EMC Update) v0 30 1" xfId="739" xr:uid="{00000000-0005-0000-0000-0000E3020000}"/>
    <cellStyle name="%_NRA_model_for_NEMO2 (EMC Update) v0.20_NRA_model_for_NEMO2 (EMC Update) v0.21_NRA_model_for_NEMO2 (EMC Update) v0.22_NRA_model_for_NEMO2 (EMC Update) v0.29.2" xfId="706" xr:uid="{00000000-0005-0000-0000-0000C2020000}"/>
    <cellStyle name="%_NRA_model_for_NEMO2 (EMC Update) v0.20_NRA_model_for_NEMO2 (EMC Update) v0.21_NRA_model_for_NEMO2 (EMC Update) v0.22_NRA_model_for_NEMO2 (EMC Update) v0.29.2_NRA_model_for_NEMO2 (EMC Update) v0 30 1" xfId="707" xr:uid="{00000000-0005-0000-0000-0000C3020000}"/>
    <cellStyle name="%_NRA_model_for_NEMO2 (EMC Update) v0.20_NRA_model_for_NEMO2 (EMC Update) v0.21_NRA_model_for_NEMO2 (EMC Update) v0.22_NRA_model_for_NEMO2 (EMC Update) v0.29.2_NRA_model_for_NEMO2 (EMC Update) v0.29.3" xfId="708" xr:uid="{00000000-0005-0000-0000-0000C4020000}"/>
    <cellStyle name="%_NRA_model_for_NEMO2 (EMC Update) v0.20_NRA_model_for_NEMO2 (EMC Update) v0.21_NRA_model_for_NEMO2 (EMC Update) v0.22_NRA_model_for_NEMO2 (EMC Update) v0.29.2_NRA_model_for_NEMO2 (EMC Update) v0.29.3_NRA_model_for_NEMO2 (EMC Update) v0 30 1" xfId="709" xr:uid="{00000000-0005-0000-0000-0000C5020000}"/>
    <cellStyle name="%_NRA_model_for_NEMO2 (EMC Update) v0.20_NRA_model_for_NEMO2 (EMC Update) v0.21_NRA_model_for_NEMO2 (EMC Update) v0.22_NRA_model_for_NEMO2 (EMC Update) v0.29.2_NRA_model_for_NEMO2 (EMC Update) v0.29.3_NRA_model_for_NEMO2 (EMC Update) v0.29.5" xfId="710" xr:uid="{00000000-0005-0000-0000-0000C6020000}"/>
    <cellStyle name="%_NRA_model_for_NEMO2 (EMC Update) v0.20_NRA_model_for_NEMO2 (EMC Update) v0.21_NRA_model_for_NEMO2 (EMC Update) v0.22_NRA_model_for_NEMO2 (EMC Update) v0.29.2_NRA_model_for_NEMO2 (EMC Update) v0.29.4" xfId="711" xr:uid="{00000000-0005-0000-0000-0000C7020000}"/>
    <cellStyle name="%_NRA_model_for_NEMO2 (EMC Update) v0.20_NRA_model_for_NEMO2 (EMC Update) v0.21_NRA_model_for_NEMO2 (EMC Update) v0.22_NRA_model_for_NEMO2 (EMC Update) v0.29.2_NRA_model_for_NEMO2 (EMC Update) v0.29.4_NRA_model_for_NEMO2 (EMC Update) v0 30 1" xfId="712" xr:uid="{00000000-0005-0000-0000-0000C8020000}"/>
    <cellStyle name="%_NRA_model_for_NEMO2 (EMC Update) v0.20_NRA_model_for_NEMO2 (EMC Update) v0.21_NRA_model_for_NEMO2 (EMC Update) v0.22_NRA_model_for_NEMO2 (EMC Update) v0.29.2_NRA_model_for_NEMO2 (EMC Update) v0.29.4_NRA_model_for_NEMO2 (EMC Update) v0.29.5" xfId="713" xr:uid="{00000000-0005-0000-0000-0000C9020000}"/>
    <cellStyle name="%_NRA_model_for_NEMO2 (EMC Update) v0.20_NRA_model_for_NEMO2 (EMC Update) v0.21_NRA_model_for_NEMO2 (EMC Update) v0.22_NRA_model_for_NEMO2 (EMC Update) v0.29.2_NRA_model_for_NEMO2 (EMC Update) v0.29.5" xfId="714" xr:uid="{00000000-0005-0000-0000-0000CA020000}"/>
    <cellStyle name="%_NRA_model_for_NEMO2 (EMC Update) v0.20_NRA_model_for_NEMO2 (EMC Update) v0.21_NRA_model_for_NEMO2 (EMC Update) v0.22_NRA_model_for_NEMO2 (EMC Update) v0.29.2_NRA_model_for_NEMO2 (EMC Update) v0.29.5_NRA_model_for_NEMO2 (EMC Update) v0 30 1" xfId="715" xr:uid="{00000000-0005-0000-0000-0000CB020000}"/>
    <cellStyle name="%_NRA_model_for_NEMO2 (EMC Update) v0.20_NRA_model_for_NEMO2 (EMC Update) v0.21_NRA_model_for_NEMO2 (EMC Update) v0.22_NRA_model_for_NEMO2 (EMC Update) v0.29.3" xfId="716" xr:uid="{00000000-0005-0000-0000-0000CC020000}"/>
    <cellStyle name="%_NRA_model_for_NEMO2 (EMC Update) v0.20_NRA_model_for_NEMO2 (EMC Update) v0.21_NRA_model_for_NEMO2 (EMC Update) v0.22_NRA_model_for_NEMO2 (EMC Update) v0.29.3_NRA_model_for_NEMO2 (EMC Update) v0 30 1" xfId="717" xr:uid="{00000000-0005-0000-0000-0000CD020000}"/>
    <cellStyle name="%_NRA_model_for_NEMO2 (EMC Update) v0.20_NRA_model_for_NEMO2 (EMC Update) v0.21_NRA_model_for_NEMO2 (EMC Update) v0.22_NRA_model_for_NEMO2 (EMC Update) v0.29.3_NRA_model_for_NEMO2 (EMC Update) v0.29.5" xfId="718" xr:uid="{00000000-0005-0000-0000-0000CE020000}"/>
    <cellStyle name="%_NRA_model_for_NEMO2 (EMC Update) v0.20_NRA_model_for_NEMO2 (EMC Update) v0.21_NRA_model_for_NEMO2 (EMC Update) v0.22_NRA_model_for_NEMO2 (EMC Update) v0.29.3_NRA_model_for_NEMO2 (EMC Update) v0.29.5_NRA_model_for_NEMO2 (EMC Update) v0 30 1" xfId="719" xr:uid="{00000000-0005-0000-0000-0000CF020000}"/>
    <cellStyle name="%_NRA_model_for_NEMO2 (EMC Update) v0.20_NRA_model_for_NEMO2 (EMC Update) v0.21_NRA_model_for_NEMO2 (EMC Update) v0.22_NRA_model_for_NEMO2 (EMC Update) v0.29.4" xfId="720" xr:uid="{00000000-0005-0000-0000-0000D0020000}"/>
    <cellStyle name="%_NRA_model_for_NEMO2 (EMC Update) v0.20_NRA_model_for_NEMO2 (EMC Update) v0.21_NRA_model_for_NEMO2 (EMC Update) v0.22_NRA_model_for_NEMO2 (EMC Update) v0.29.4_NRA_model_for_NEMO2 (EMC Update) v0 30 1" xfId="721" xr:uid="{00000000-0005-0000-0000-0000D1020000}"/>
    <cellStyle name="%_NRA_model_for_NEMO2 (EMC Update) v0.20_NRA_model_for_NEMO2 (EMC Update) v0.21_NRA_model_for_NEMO2 (EMC Update) v0.22_NRA_model_for_NEMO2 (EMC Update) v0.29.4_NRA_model_for_NEMO2 (EMC Update) v0.29.5" xfId="722" xr:uid="{00000000-0005-0000-0000-0000D2020000}"/>
    <cellStyle name="%_NRA_model_for_NEMO2 (EMC Update) v0.20_NRA_model_for_NEMO2 (EMC Update) v0.21_NRA_model_for_NEMO2 (EMC Update) v0.22_NRA_model_for_NEMO2 (EMC Update) v0.29.4_NRA_model_for_NEMO2 (EMC Update) v0.29.5_NRA_model_for_NEMO2 (EMC Update) v0 30 1" xfId="723" xr:uid="{00000000-0005-0000-0000-0000D3020000}"/>
    <cellStyle name="%_NRA_model_for_NEMO2 (EMC Update) v0.20_NRA_model_for_NEMO2 (EMC Update) v0.21_NRA_model_for_NEMO2 (EMC Update) v0.22_NRA_model_for_NEMO2 (EMC Update) v0.29.5" xfId="724" xr:uid="{00000000-0005-0000-0000-0000D4020000}"/>
    <cellStyle name="%_NRA_model_for_NEMO2 (EMC Update) v0.20_NRA_model_for_NEMO2 (EMC Update) v0.21_NRA_model_for_NEMO2 (EMC Update) v0.22_NRA_model_for_NEMO2 (EMC Update) v0.29.5_NRA_model_for_NEMO2 (EMC Update) v0 30 1" xfId="725" xr:uid="{00000000-0005-0000-0000-0000D5020000}"/>
    <cellStyle name="%_NRA_model_for_NEMO2 (EMC Update) v0.20_NRA_model_for_NEMO2 (EMC Update) v0.21_NRA_model_for_NEMO2 (EMC Update) v0.25" xfId="740" xr:uid="{00000000-0005-0000-0000-0000E4020000}"/>
    <cellStyle name="%_NRA_model_for_NEMO2 (EMC Update) v0.20_NRA_model_for_NEMO2 (EMC Update) v0.21_NRA_model_for_NEMO2 (EMC Update) v0.25_NRA_model_for_NEMO2 (EMC Update) v0 30 1" xfId="741" xr:uid="{00000000-0005-0000-0000-0000E5020000}"/>
    <cellStyle name="%_NRA_model_for_NEMO2 (EMC Update) v0.20_NRA_model_for_NEMO2 (EMC Update) v0.21_NRA_model_for_NEMO2 (EMC Update) v0.25_NRA_model_for_NEMO2 (EMC Update) v0.26" xfId="742" xr:uid="{00000000-0005-0000-0000-0000E6020000}"/>
    <cellStyle name="%_NRA_model_for_NEMO2 (EMC Update) v0.20_NRA_model_for_NEMO2 (EMC Update) v0.21_NRA_model_for_NEMO2 (EMC Update) v0.25_NRA_model_for_NEMO2 (EMC Update) v0.26_NRA_model_for_NEMO2 (EMC Update) v0 30 1" xfId="743" xr:uid="{00000000-0005-0000-0000-0000E7020000}"/>
    <cellStyle name="%_NRA_model_for_NEMO2 (EMC Update) v0.20_NRA_model_for_NEMO2 (EMC Update) v0.21_NRA_model_for_NEMO2 (EMC Update) v0.25_NRA_model_for_NEMO2 (EMC Update) v0.26_NRA_model_for_NEMO2 (EMC Update) v0.29" xfId="744" xr:uid="{00000000-0005-0000-0000-0000E8020000}"/>
    <cellStyle name="%_NRA_model_for_NEMO2 (EMC Update) v0.20_NRA_model_for_NEMO2 (EMC Update) v0.21_NRA_model_for_NEMO2 (EMC Update) v0.25_NRA_model_for_NEMO2 (EMC Update) v0.26_NRA_model_for_NEMO2 (EMC Update) v0.29_NRA_model_for_NEMO2 (EMC Update) v0 30 1" xfId="758" xr:uid="{00000000-0005-0000-0000-0000F6020000}"/>
    <cellStyle name="%_NRA_model_for_NEMO2 (EMC Update) v0.20_NRA_model_for_NEMO2 (EMC Update) v0.21_NRA_model_for_NEMO2 (EMC Update) v0.25_NRA_model_for_NEMO2 (EMC Update) v0.26_NRA_model_for_NEMO2 (EMC Update) v0.29_NRA_model_for_NEMO2 (EMC Update) v0.29.2" xfId="759" xr:uid="{00000000-0005-0000-0000-0000F7020000}"/>
    <cellStyle name="%_NRA_model_for_NEMO2 (EMC Update) v0.20_NRA_model_for_NEMO2 (EMC Update) v0.21_NRA_model_for_NEMO2 (EMC Update) v0.25_NRA_model_for_NEMO2 (EMC Update) v0.26_NRA_model_for_NEMO2 (EMC Update) v0.29_NRA_model_for_NEMO2 (EMC Update) v0.29.3" xfId="760" xr:uid="{00000000-0005-0000-0000-0000F8020000}"/>
    <cellStyle name="%_NRA_model_for_NEMO2 (EMC Update) v0.20_NRA_model_for_NEMO2 (EMC Update) v0.21_NRA_model_for_NEMO2 (EMC Update) v0.25_NRA_model_for_NEMO2 (EMC Update) v0.26_NRA_model_for_NEMO2 (EMC Update) v0.29_NRA_model_for_NEMO2 (EMC Update) v0.29.4" xfId="761" xr:uid="{00000000-0005-0000-0000-0000F9020000}"/>
    <cellStyle name="%_NRA_model_for_NEMO2 (EMC Update) v0.20_NRA_model_for_NEMO2 (EMC Update) v0.21_NRA_model_for_NEMO2 (EMC Update) v0.25_NRA_model_for_NEMO2 (EMC Update) v0.26_NRA_model_for_NEMO2 (EMC Update) v0.29_NRA_model_for_NEMO2 (EMC Update) v0.29.5" xfId="762" xr:uid="{00000000-0005-0000-0000-0000FA020000}"/>
    <cellStyle name="%_NRA_model_for_NEMO2 (EMC Update) v0.20_NRA_model_for_NEMO2 (EMC Update) v0.21_NRA_model_for_NEMO2 (EMC Update) v0.25_NRA_model_for_NEMO2 (EMC Update) v0.26_NRA_model_for_NEMO2 (EMC Update) v0.29.2" xfId="745" xr:uid="{00000000-0005-0000-0000-0000E9020000}"/>
    <cellStyle name="%_NRA_model_for_NEMO2 (EMC Update) v0.20_NRA_model_for_NEMO2 (EMC Update) v0.21_NRA_model_for_NEMO2 (EMC Update) v0.25_NRA_model_for_NEMO2 (EMC Update) v0.26_NRA_model_for_NEMO2 (EMC Update) v0.29.2_NRA_model_for_NEMO2 (EMC Update) v0 30 1" xfId="746" xr:uid="{00000000-0005-0000-0000-0000EA020000}"/>
    <cellStyle name="%_NRA_model_for_NEMO2 (EMC Update) v0.20_NRA_model_for_NEMO2 (EMC Update) v0.21_NRA_model_for_NEMO2 (EMC Update) v0.25_NRA_model_for_NEMO2 (EMC Update) v0.26_NRA_model_for_NEMO2 (EMC Update) v0.29.2_NRA_model_for_NEMO2 (EMC Update) v0.29.3" xfId="747" xr:uid="{00000000-0005-0000-0000-0000EB020000}"/>
    <cellStyle name="%_NRA_model_for_NEMO2 (EMC Update) v0.20_NRA_model_for_NEMO2 (EMC Update) v0.21_NRA_model_for_NEMO2 (EMC Update) v0.25_NRA_model_for_NEMO2 (EMC Update) v0.26_NRA_model_for_NEMO2 (EMC Update) v0.29.2_NRA_model_for_NEMO2 (EMC Update) v0.29.4" xfId="748" xr:uid="{00000000-0005-0000-0000-0000EC020000}"/>
    <cellStyle name="%_NRA_model_for_NEMO2 (EMC Update) v0.20_NRA_model_for_NEMO2 (EMC Update) v0.21_NRA_model_for_NEMO2 (EMC Update) v0.25_NRA_model_for_NEMO2 (EMC Update) v0.26_NRA_model_for_NEMO2 (EMC Update) v0.29.2_NRA_model_for_NEMO2 (EMC Update) v0.29.5" xfId="749" xr:uid="{00000000-0005-0000-0000-0000ED020000}"/>
    <cellStyle name="%_NRA_model_for_NEMO2 (EMC Update) v0.20_NRA_model_for_NEMO2 (EMC Update) v0.21_NRA_model_for_NEMO2 (EMC Update) v0.25_NRA_model_for_NEMO2 (EMC Update) v0.26_NRA_model_for_NEMO2 (EMC Update) v0.29.3" xfId="750" xr:uid="{00000000-0005-0000-0000-0000EE020000}"/>
    <cellStyle name="%_NRA_model_for_NEMO2 (EMC Update) v0.20_NRA_model_for_NEMO2 (EMC Update) v0.21_NRA_model_for_NEMO2 (EMC Update) v0.25_NRA_model_for_NEMO2 (EMC Update) v0.26_NRA_model_for_NEMO2 (EMC Update) v0.29.3_NRA_model_for_NEMO2 (EMC Update) v0 30 1" xfId="751" xr:uid="{00000000-0005-0000-0000-0000EF020000}"/>
    <cellStyle name="%_NRA_model_for_NEMO2 (EMC Update) v0.20_NRA_model_for_NEMO2 (EMC Update) v0.21_NRA_model_for_NEMO2 (EMC Update) v0.25_NRA_model_for_NEMO2 (EMC Update) v0.26_NRA_model_for_NEMO2 (EMC Update) v0.29.3_NRA_model_for_NEMO2 (EMC Update) v0.29.5" xfId="752" xr:uid="{00000000-0005-0000-0000-0000F0020000}"/>
    <cellStyle name="%_NRA_model_for_NEMO2 (EMC Update) v0.20_NRA_model_for_NEMO2 (EMC Update) v0.21_NRA_model_for_NEMO2 (EMC Update) v0.25_NRA_model_for_NEMO2 (EMC Update) v0.26_NRA_model_for_NEMO2 (EMC Update) v0.29.4" xfId="753" xr:uid="{00000000-0005-0000-0000-0000F1020000}"/>
    <cellStyle name="%_NRA_model_for_NEMO2 (EMC Update) v0.20_NRA_model_for_NEMO2 (EMC Update) v0.21_NRA_model_for_NEMO2 (EMC Update) v0.25_NRA_model_for_NEMO2 (EMC Update) v0.26_NRA_model_for_NEMO2 (EMC Update) v0.29.4_NRA_model_for_NEMO2 (EMC Update) v0 30 1" xfId="754" xr:uid="{00000000-0005-0000-0000-0000F2020000}"/>
    <cellStyle name="%_NRA_model_for_NEMO2 (EMC Update) v0.20_NRA_model_for_NEMO2 (EMC Update) v0.21_NRA_model_for_NEMO2 (EMC Update) v0.25_NRA_model_for_NEMO2 (EMC Update) v0.26_NRA_model_for_NEMO2 (EMC Update) v0.29.4_NRA_model_for_NEMO2 (EMC Update) v0.29.5" xfId="755" xr:uid="{00000000-0005-0000-0000-0000F3020000}"/>
    <cellStyle name="%_NRA_model_for_NEMO2 (EMC Update) v0.20_NRA_model_for_NEMO2 (EMC Update) v0.21_NRA_model_for_NEMO2 (EMC Update) v0.25_NRA_model_for_NEMO2 (EMC Update) v0.26_NRA_model_for_NEMO2 (EMC Update) v0.29.5" xfId="756" xr:uid="{00000000-0005-0000-0000-0000F4020000}"/>
    <cellStyle name="%_NRA_model_for_NEMO2 (EMC Update) v0.20_NRA_model_for_NEMO2 (EMC Update) v0.21_NRA_model_for_NEMO2 (EMC Update) v0.25_NRA_model_for_NEMO2 (EMC Update) v0.26_NRA_model_for_NEMO2 (EMC Update) v0.29.5_NRA_model_for_NEMO2 (EMC Update) v0 30 1" xfId="757" xr:uid="{00000000-0005-0000-0000-0000F5020000}"/>
    <cellStyle name="%_NRA_model_for_NEMO2 (EMC Update) v0.20_NRA_model_for_NEMO2 (EMC Update) v0.21_NRA_model_for_NEMO2 (EMC Update) v0.25_NRA_model_for_NEMO2 (EMC Update) v0.29" xfId="763" xr:uid="{00000000-0005-0000-0000-0000FB020000}"/>
    <cellStyle name="%_NRA_model_for_NEMO2 (EMC Update) v0.20_NRA_model_for_NEMO2 (EMC Update) v0.21_NRA_model_for_NEMO2 (EMC Update) v0.25_NRA_model_for_NEMO2 (EMC Update) v0.29_NRA_model_for_NEMO2 (EMC Update) v0 30 1" xfId="784" xr:uid="{00000000-0005-0000-0000-000010030000}"/>
    <cellStyle name="%_NRA_model_for_NEMO2 (EMC Update) v0.20_NRA_model_for_NEMO2 (EMC Update) v0.21_NRA_model_for_NEMO2 (EMC Update) v0.25_NRA_model_for_NEMO2 (EMC Update) v0.29_NRA_model_for_NEMO2 (EMC Update) v0.29.2" xfId="785" xr:uid="{00000000-0005-0000-0000-000011030000}"/>
    <cellStyle name="%_NRA_model_for_NEMO2 (EMC Update) v0.20_NRA_model_for_NEMO2 (EMC Update) v0.21_NRA_model_for_NEMO2 (EMC Update) v0.25_NRA_model_for_NEMO2 (EMC Update) v0.29_NRA_model_for_NEMO2 (EMC Update) v0.29.2_NRA_model_for_NEMO2 (EMC Update) v0 30 1" xfId="786" xr:uid="{00000000-0005-0000-0000-000012030000}"/>
    <cellStyle name="%_NRA_model_for_NEMO2 (EMC Update) v0.20_NRA_model_for_NEMO2 (EMC Update) v0.21_NRA_model_for_NEMO2 (EMC Update) v0.25_NRA_model_for_NEMO2 (EMC Update) v0.29_NRA_model_for_NEMO2 (EMC Update) v0.29.2_NRA_model_for_NEMO2 (EMC Update) v0.29.3" xfId="787" xr:uid="{00000000-0005-0000-0000-000013030000}"/>
    <cellStyle name="%_NRA_model_for_NEMO2 (EMC Update) v0.20_NRA_model_for_NEMO2 (EMC Update) v0.21_NRA_model_for_NEMO2 (EMC Update) v0.25_NRA_model_for_NEMO2 (EMC Update) v0.29_NRA_model_for_NEMO2 (EMC Update) v0.29.2_NRA_model_for_NEMO2 (EMC Update) v0.29.4" xfId="788" xr:uid="{00000000-0005-0000-0000-000014030000}"/>
    <cellStyle name="%_NRA_model_for_NEMO2 (EMC Update) v0.20_NRA_model_for_NEMO2 (EMC Update) v0.21_NRA_model_for_NEMO2 (EMC Update) v0.25_NRA_model_for_NEMO2 (EMC Update) v0.29_NRA_model_for_NEMO2 (EMC Update) v0.29.2_NRA_model_for_NEMO2 (EMC Update) v0.29.5" xfId="789" xr:uid="{00000000-0005-0000-0000-000015030000}"/>
    <cellStyle name="%_NRA_model_for_NEMO2 (EMC Update) v0.20_NRA_model_for_NEMO2 (EMC Update) v0.21_NRA_model_for_NEMO2 (EMC Update) v0.25_NRA_model_for_NEMO2 (EMC Update) v0.29_NRA_model_for_NEMO2 (EMC Update) v0.29.3" xfId="790" xr:uid="{00000000-0005-0000-0000-000016030000}"/>
    <cellStyle name="%_NRA_model_for_NEMO2 (EMC Update) v0.20_NRA_model_for_NEMO2 (EMC Update) v0.21_NRA_model_for_NEMO2 (EMC Update) v0.25_NRA_model_for_NEMO2 (EMC Update) v0.29_NRA_model_for_NEMO2 (EMC Update) v0.29.3_NRA_model_for_NEMO2 (EMC Update) v0 30 1" xfId="791" xr:uid="{00000000-0005-0000-0000-000017030000}"/>
    <cellStyle name="%_NRA_model_for_NEMO2 (EMC Update) v0.20_NRA_model_for_NEMO2 (EMC Update) v0.21_NRA_model_for_NEMO2 (EMC Update) v0.25_NRA_model_for_NEMO2 (EMC Update) v0.29_NRA_model_for_NEMO2 (EMC Update) v0.29.3_NRA_model_for_NEMO2 (EMC Update) v0.29.5" xfId="792" xr:uid="{00000000-0005-0000-0000-000018030000}"/>
    <cellStyle name="%_NRA_model_for_NEMO2 (EMC Update) v0.20_NRA_model_for_NEMO2 (EMC Update) v0.21_NRA_model_for_NEMO2 (EMC Update) v0.25_NRA_model_for_NEMO2 (EMC Update) v0.29_NRA_model_for_NEMO2 (EMC Update) v0.29.4" xfId="793" xr:uid="{00000000-0005-0000-0000-000019030000}"/>
    <cellStyle name="%_NRA_model_for_NEMO2 (EMC Update) v0.20_NRA_model_for_NEMO2 (EMC Update) v0.21_NRA_model_for_NEMO2 (EMC Update) v0.25_NRA_model_for_NEMO2 (EMC Update) v0.29_NRA_model_for_NEMO2 (EMC Update) v0.29.4_NRA_model_for_NEMO2 (EMC Update) v0 30 1" xfId="794" xr:uid="{00000000-0005-0000-0000-00001A030000}"/>
    <cellStyle name="%_NRA_model_for_NEMO2 (EMC Update) v0.20_NRA_model_for_NEMO2 (EMC Update) v0.21_NRA_model_for_NEMO2 (EMC Update) v0.25_NRA_model_for_NEMO2 (EMC Update) v0.29_NRA_model_for_NEMO2 (EMC Update) v0.29.4_NRA_model_for_NEMO2 (EMC Update) v0.29.5" xfId="795" xr:uid="{00000000-0005-0000-0000-00001B030000}"/>
    <cellStyle name="%_NRA_model_for_NEMO2 (EMC Update) v0.20_NRA_model_for_NEMO2 (EMC Update) v0.21_NRA_model_for_NEMO2 (EMC Update) v0.25_NRA_model_for_NEMO2 (EMC Update) v0.29_NRA_model_for_NEMO2 (EMC Update) v0.29.5" xfId="796" xr:uid="{00000000-0005-0000-0000-00001C030000}"/>
    <cellStyle name="%_NRA_model_for_NEMO2 (EMC Update) v0.20_NRA_model_for_NEMO2 (EMC Update) v0.21_NRA_model_for_NEMO2 (EMC Update) v0.25_NRA_model_for_NEMO2 (EMC Update) v0.29_NRA_model_for_NEMO2 (EMC Update) v0.29.5_NRA_model_for_NEMO2 (EMC Update) v0 30 1" xfId="797" xr:uid="{00000000-0005-0000-0000-00001D030000}"/>
    <cellStyle name="%_NRA_model_for_NEMO2 (EMC Update) v0.20_NRA_model_for_NEMO2 (EMC Update) v0.21_NRA_model_for_NEMO2 (EMC Update) v0.25_NRA_model_for_NEMO2 (EMC Update) v0.29.2" xfId="764" xr:uid="{00000000-0005-0000-0000-0000FC020000}"/>
    <cellStyle name="%_NRA_model_for_NEMO2 (EMC Update) v0.20_NRA_model_for_NEMO2 (EMC Update) v0.21_NRA_model_for_NEMO2 (EMC Update) v0.25_NRA_model_for_NEMO2 (EMC Update) v0.29.2_NRA_model_for_NEMO2 (EMC Update) v0 30 1" xfId="765" xr:uid="{00000000-0005-0000-0000-0000FD020000}"/>
    <cellStyle name="%_NRA_model_for_NEMO2 (EMC Update) v0.20_NRA_model_for_NEMO2 (EMC Update) v0.21_NRA_model_for_NEMO2 (EMC Update) v0.25_NRA_model_for_NEMO2 (EMC Update) v0.29.2_NRA_model_for_NEMO2 (EMC Update) v0.29.3" xfId="766" xr:uid="{00000000-0005-0000-0000-0000FE020000}"/>
    <cellStyle name="%_NRA_model_for_NEMO2 (EMC Update) v0.20_NRA_model_for_NEMO2 (EMC Update) v0.21_NRA_model_for_NEMO2 (EMC Update) v0.25_NRA_model_for_NEMO2 (EMC Update) v0.29.2_NRA_model_for_NEMO2 (EMC Update) v0.29.3_NRA_model_for_NEMO2 (EMC Update) v0 30 1" xfId="767" xr:uid="{00000000-0005-0000-0000-0000FF020000}"/>
    <cellStyle name="%_NRA_model_for_NEMO2 (EMC Update) v0.20_NRA_model_for_NEMO2 (EMC Update) v0.21_NRA_model_for_NEMO2 (EMC Update) v0.25_NRA_model_for_NEMO2 (EMC Update) v0.29.2_NRA_model_for_NEMO2 (EMC Update) v0.29.3_NRA_model_for_NEMO2 (EMC Update) v0.29.5" xfId="768" xr:uid="{00000000-0005-0000-0000-000000030000}"/>
    <cellStyle name="%_NRA_model_for_NEMO2 (EMC Update) v0.20_NRA_model_for_NEMO2 (EMC Update) v0.21_NRA_model_for_NEMO2 (EMC Update) v0.25_NRA_model_for_NEMO2 (EMC Update) v0.29.2_NRA_model_for_NEMO2 (EMC Update) v0.29.4" xfId="769" xr:uid="{00000000-0005-0000-0000-000001030000}"/>
    <cellStyle name="%_NRA_model_for_NEMO2 (EMC Update) v0.20_NRA_model_for_NEMO2 (EMC Update) v0.21_NRA_model_for_NEMO2 (EMC Update) v0.25_NRA_model_for_NEMO2 (EMC Update) v0.29.2_NRA_model_for_NEMO2 (EMC Update) v0.29.4_NRA_model_for_NEMO2 (EMC Update) v0 30 1" xfId="770" xr:uid="{00000000-0005-0000-0000-000002030000}"/>
    <cellStyle name="%_NRA_model_for_NEMO2 (EMC Update) v0.20_NRA_model_for_NEMO2 (EMC Update) v0.21_NRA_model_for_NEMO2 (EMC Update) v0.25_NRA_model_for_NEMO2 (EMC Update) v0.29.2_NRA_model_for_NEMO2 (EMC Update) v0.29.4_NRA_model_for_NEMO2 (EMC Update) v0.29.5" xfId="771" xr:uid="{00000000-0005-0000-0000-000003030000}"/>
    <cellStyle name="%_NRA_model_for_NEMO2 (EMC Update) v0.20_NRA_model_for_NEMO2 (EMC Update) v0.21_NRA_model_for_NEMO2 (EMC Update) v0.25_NRA_model_for_NEMO2 (EMC Update) v0.29.2_NRA_model_for_NEMO2 (EMC Update) v0.29.5" xfId="772" xr:uid="{00000000-0005-0000-0000-000004030000}"/>
    <cellStyle name="%_NRA_model_for_NEMO2 (EMC Update) v0.20_NRA_model_for_NEMO2 (EMC Update) v0.21_NRA_model_for_NEMO2 (EMC Update) v0.25_NRA_model_for_NEMO2 (EMC Update) v0.29.2_NRA_model_for_NEMO2 (EMC Update) v0.29.5_NRA_model_for_NEMO2 (EMC Update) v0 30 1" xfId="773" xr:uid="{00000000-0005-0000-0000-000005030000}"/>
    <cellStyle name="%_NRA_model_for_NEMO2 (EMC Update) v0.20_NRA_model_for_NEMO2 (EMC Update) v0.21_NRA_model_for_NEMO2 (EMC Update) v0.25_NRA_model_for_NEMO2 (EMC Update) v0.29.3" xfId="774" xr:uid="{00000000-0005-0000-0000-000006030000}"/>
    <cellStyle name="%_NRA_model_for_NEMO2 (EMC Update) v0.20_NRA_model_for_NEMO2 (EMC Update) v0.21_NRA_model_for_NEMO2 (EMC Update) v0.25_NRA_model_for_NEMO2 (EMC Update) v0.29.3_NRA_model_for_NEMO2 (EMC Update) v0 30 1" xfId="775" xr:uid="{00000000-0005-0000-0000-000007030000}"/>
    <cellStyle name="%_NRA_model_for_NEMO2 (EMC Update) v0.20_NRA_model_for_NEMO2 (EMC Update) v0.21_NRA_model_for_NEMO2 (EMC Update) v0.25_NRA_model_for_NEMO2 (EMC Update) v0.29.3_NRA_model_for_NEMO2 (EMC Update) v0.29.5" xfId="776" xr:uid="{00000000-0005-0000-0000-000008030000}"/>
    <cellStyle name="%_NRA_model_for_NEMO2 (EMC Update) v0.20_NRA_model_for_NEMO2 (EMC Update) v0.21_NRA_model_for_NEMO2 (EMC Update) v0.25_NRA_model_for_NEMO2 (EMC Update) v0.29.3_NRA_model_for_NEMO2 (EMC Update) v0.29.5_NRA_model_for_NEMO2 (EMC Update) v0 30 1" xfId="777" xr:uid="{00000000-0005-0000-0000-000009030000}"/>
    <cellStyle name="%_NRA_model_for_NEMO2 (EMC Update) v0.20_NRA_model_for_NEMO2 (EMC Update) v0.21_NRA_model_for_NEMO2 (EMC Update) v0.25_NRA_model_for_NEMO2 (EMC Update) v0.29.4" xfId="778" xr:uid="{00000000-0005-0000-0000-00000A030000}"/>
    <cellStyle name="%_NRA_model_for_NEMO2 (EMC Update) v0.20_NRA_model_for_NEMO2 (EMC Update) v0.21_NRA_model_for_NEMO2 (EMC Update) v0.25_NRA_model_for_NEMO2 (EMC Update) v0.29.4_NRA_model_for_NEMO2 (EMC Update) v0 30 1" xfId="779" xr:uid="{00000000-0005-0000-0000-00000B030000}"/>
    <cellStyle name="%_NRA_model_for_NEMO2 (EMC Update) v0.20_NRA_model_for_NEMO2 (EMC Update) v0.21_NRA_model_for_NEMO2 (EMC Update) v0.25_NRA_model_for_NEMO2 (EMC Update) v0.29.4_NRA_model_for_NEMO2 (EMC Update) v0.29.5" xfId="780" xr:uid="{00000000-0005-0000-0000-00000C030000}"/>
    <cellStyle name="%_NRA_model_for_NEMO2 (EMC Update) v0.20_NRA_model_for_NEMO2 (EMC Update) v0.21_NRA_model_for_NEMO2 (EMC Update) v0.25_NRA_model_for_NEMO2 (EMC Update) v0.29.4_NRA_model_for_NEMO2 (EMC Update) v0.29.5_NRA_model_for_NEMO2 (EMC Update) v0 30 1" xfId="781" xr:uid="{00000000-0005-0000-0000-00000D030000}"/>
    <cellStyle name="%_NRA_model_for_NEMO2 (EMC Update) v0.20_NRA_model_for_NEMO2 (EMC Update) v0.21_NRA_model_for_NEMO2 (EMC Update) v0.25_NRA_model_for_NEMO2 (EMC Update) v0.29.5" xfId="782" xr:uid="{00000000-0005-0000-0000-00000E030000}"/>
    <cellStyle name="%_NRA_model_for_NEMO2 (EMC Update) v0.20_NRA_model_for_NEMO2 (EMC Update) v0.21_NRA_model_for_NEMO2 (EMC Update) v0.25_NRA_model_for_NEMO2 (EMC Update) v0.29.5_NRA_model_for_NEMO2 (EMC Update) v0 30 1" xfId="783" xr:uid="{00000000-0005-0000-0000-00000F030000}"/>
    <cellStyle name="%_NRA_model_for_NEMO2 (EMC Update) v0.20_NRA_model_for_NEMO2 (EMC Update) v0.21_NRA_model_for_NEMO2 (EMC Update) v0.26" xfId="798" xr:uid="{00000000-0005-0000-0000-00001E030000}"/>
    <cellStyle name="%_NRA_model_for_NEMO2 (EMC Update) v0.20_NRA_model_for_NEMO2 (EMC Update) v0.21_NRA_model_for_NEMO2 (EMC Update) v0.26_NRA_model_for_NEMO2 (EMC Update) v0 30 1" xfId="799" xr:uid="{00000000-0005-0000-0000-00001F030000}"/>
    <cellStyle name="%_NRA_model_for_NEMO2 (EMC Update) v0.20_NRA_model_for_NEMO2 (EMC Update) v0.21_NRA_model_for_NEMO2 (EMC Update) v0.26_NRA_model_for_NEMO2 (EMC Update) v0.29" xfId="800" xr:uid="{00000000-0005-0000-0000-000020030000}"/>
    <cellStyle name="%_NRA_model_for_NEMO2 (EMC Update) v0.20_NRA_model_for_NEMO2 (EMC Update) v0.21_NRA_model_for_NEMO2 (EMC Update) v0.26_NRA_model_for_NEMO2 (EMC Update) v0.29_NRA_model_for_NEMO2 (EMC Update) v0 30 1" xfId="821" xr:uid="{00000000-0005-0000-0000-000035030000}"/>
    <cellStyle name="%_NRA_model_for_NEMO2 (EMC Update) v0.20_NRA_model_for_NEMO2 (EMC Update) v0.21_NRA_model_for_NEMO2 (EMC Update) v0.26_NRA_model_for_NEMO2 (EMC Update) v0.29_NRA_model_for_NEMO2 (EMC Update) v0.29.2" xfId="822" xr:uid="{00000000-0005-0000-0000-000036030000}"/>
    <cellStyle name="%_NRA_model_for_NEMO2 (EMC Update) v0.20_NRA_model_for_NEMO2 (EMC Update) v0.21_NRA_model_for_NEMO2 (EMC Update) v0.26_NRA_model_for_NEMO2 (EMC Update) v0.29_NRA_model_for_NEMO2 (EMC Update) v0.29.2_NRA_model_for_NEMO2 (EMC Update) v0 30 1" xfId="823" xr:uid="{00000000-0005-0000-0000-000037030000}"/>
    <cellStyle name="%_NRA_model_for_NEMO2 (EMC Update) v0.20_NRA_model_for_NEMO2 (EMC Update) v0.21_NRA_model_for_NEMO2 (EMC Update) v0.26_NRA_model_for_NEMO2 (EMC Update) v0.29_NRA_model_for_NEMO2 (EMC Update) v0.29.2_NRA_model_for_NEMO2 (EMC Update) v0.29.3" xfId="824" xr:uid="{00000000-0005-0000-0000-000038030000}"/>
    <cellStyle name="%_NRA_model_for_NEMO2 (EMC Update) v0.20_NRA_model_for_NEMO2 (EMC Update) v0.21_NRA_model_for_NEMO2 (EMC Update) v0.26_NRA_model_for_NEMO2 (EMC Update) v0.29_NRA_model_for_NEMO2 (EMC Update) v0.29.2_NRA_model_for_NEMO2 (EMC Update) v0.29.4" xfId="825" xr:uid="{00000000-0005-0000-0000-000039030000}"/>
    <cellStyle name="%_NRA_model_for_NEMO2 (EMC Update) v0.20_NRA_model_for_NEMO2 (EMC Update) v0.21_NRA_model_for_NEMO2 (EMC Update) v0.26_NRA_model_for_NEMO2 (EMC Update) v0.29_NRA_model_for_NEMO2 (EMC Update) v0.29.2_NRA_model_for_NEMO2 (EMC Update) v0.29.5" xfId="826" xr:uid="{00000000-0005-0000-0000-00003A030000}"/>
    <cellStyle name="%_NRA_model_for_NEMO2 (EMC Update) v0.20_NRA_model_for_NEMO2 (EMC Update) v0.21_NRA_model_for_NEMO2 (EMC Update) v0.26_NRA_model_for_NEMO2 (EMC Update) v0.29_NRA_model_for_NEMO2 (EMC Update) v0.29.3" xfId="827" xr:uid="{00000000-0005-0000-0000-00003B030000}"/>
    <cellStyle name="%_NRA_model_for_NEMO2 (EMC Update) v0.20_NRA_model_for_NEMO2 (EMC Update) v0.21_NRA_model_for_NEMO2 (EMC Update) v0.26_NRA_model_for_NEMO2 (EMC Update) v0.29_NRA_model_for_NEMO2 (EMC Update) v0.29.3_NRA_model_for_NEMO2 (EMC Update) v0 30 1" xfId="828" xr:uid="{00000000-0005-0000-0000-00003C030000}"/>
    <cellStyle name="%_NRA_model_for_NEMO2 (EMC Update) v0.20_NRA_model_for_NEMO2 (EMC Update) v0.21_NRA_model_for_NEMO2 (EMC Update) v0.26_NRA_model_for_NEMO2 (EMC Update) v0.29_NRA_model_for_NEMO2 (EMC Update) v0.29.3_NRA_model_for_NEMO2 (EMC Update) v0.29.5" xfId="829" xr:uid="{00000000-0005-0000-0000-00003D030000}"/>
    <cellStyle name="%_NRA_model_for_NEMO2 (EMC Update) v0.20_NRA_model_for_NEMO2 (EMC Update) v0.21_NRA_model_for_NEMO2 (EMC Update) v0.26_NRA_model_for_NEMO2 (EMC Update) v0.29_NRA_model_for_NEMO2 (EMC Update) v0.29.4" xfId="830" xr:uid="{00000000-0005-0000-0000-00003E030000}"/>
    <cellStyle name="%_NRA_model_for_NEMO2 (EMC Update) v0.20_NRA_model_for_NEMO2 (EMC Update) v0.21_NRA_model_for_NEMO2 (EMC Update) v0.26_NRA_model_for_NEMO2 (EMC Update) v0.29_NRA_model_for_NEMO2 (EMC Update) v0.29.4_NRA_model_for_NEMO2 (EMC Update) v0 30 1" xfId="831" xr:uid="{00000000-0005-0000-0000-00003F030000}"/>
    <cellStyle name="%_NRA_model_for_NEMO2 (EMC Update) v0.20_NRA_model_for_NEMO2 (EMC Update) v0.21_NRA_model_for_NEMO2 (EMC Update) v0.26_NRA_model_for_NEMO2 (EMC Update) v0.29_NRA_model_for_NEMO2 (EMC Update) v0.29.4_NRA_model_for_NEMO2 (EMC Update) v0.29.5" xfId="832" xr:uid="{00000000-0005-0000-0000-000040030000}"/>
    <cellStyle name="%_NRA_model_for_NEMO2 (EMC Update) v0.20_NRA_model_for_NEMO2 (EMC Update) v0.21_NRA_model_for_NEMO2 (EMC Update) v0.26_NRA_model_for_NEMO2 (EMC Update) v0.29_NRA_model_for_NEMO2 (EMC Update) v0.29.5" xfId="833" xr:uid="{00000000-0005-0000-0000-000041030000}"/>
    <cellStyle name="%_NRA_model_for_NEMO2 (EMC Update) v0.20_NRA_model_for_NEMO2 (EMC Update) v0.21_NRA_model_for_NEMO2 (EMC Update) v0.26_NRA_model_for_NEMO2 (EMC Update) v0.29_NRA_model_for_NEMO2 (EMC Update) v0.29.5_NRA_model_for_NEMO2 (EMC Update) v0 30 1" xfId="834" xr:uid="{00000000-0005-0000-0000-000042030000}"/>
    <cellStyle name="%_NRA_model_for_NEMO2 (EMC Update) v0.20_NRA_model_for_NEMO2 (EMC Update) v0.21_NRA_model_for_NEMO2 (EMC Update) v0.26_NRA_model_for_NEMO2 (EMC Update) v0.29.2" xfId="801" xr:uid="{00000000-0005-0000-0000-000021030000}"/>
    <cellStyle name="%_NRA_model_for_NEMO2 (EMC Update) v0.20_NRA_model_for_NEMO2 (EMC Update) v0.21_NRA_model_for_NEMO2 (EMC Update) v0.26_NRA_model_for_NEMO2 (EMC Update) v0.29.2_NRA_model_for_NEMO2 (EMC Update) v0 30 1" xfId="802" xr:uid="{00000000-0005-0000-0000-000022030000}"/>
    <cellStyle name="%_NRA_model_for_NEMO2 (EMC Update) v0.20_NRA_model_for_NEMO2 (EMC Update) v0.21_NRA_model_for_NEMO2 (EMC Update) v0.26_NRA_model_for_NEMO2 (EMC Update) v0.29.2_NRA_model_for_NEMO2 (EMC Update) v0.29.3" xfId="803" xr:uid="{00000000-0005-0000-0000-000023030000}"/>
    <cellStyle name="%_NRA_model_for_NEMO2 (EMC Update) v0.20_NRA_model_for_NEMO2 (EMC Update) v0.21_NRA_model_for_NEMO2 (EMC Update) v0.26_NRA_model_for_NEMO2 (EMC Update) v0.29.2_NRA_model_for_NEMO2 (EMC Update) v0.29.3_NRA_model_for_NEMO2 (EMC Update) v0 30 1" xfId="804" xr:uid="{00000000-0005-0000-0000-000024030000}"/>
    <cellStyle name="%_NRA_model_for_NEMO2 (EMC Update) v0.20_NRA_model_for_NEMO2 (EMC Update) v0.21_NRA_model_for_NEMO2 (EMC Update) v0.26_NRA_model_for_NEMO2 (EMC Update) v0.29.2_NRA_model_for_NEMO2 (EMC Update) v0.29.3_NRA_model_for_NEMO2 (EMC Update) v0.29.5" xfId="805" xr:uid="{00000000-0005-0000-0000-000025030000}"/>
    <cellStyle name="%_NRA_model_for_NEMO2 (EMC Update) v0.20_NRA_model_for_NEMO2 (EMC Update) v0.21_NRA_model_for_NEMO2 (EMC Update) v0.26_NRA_model_for_NEMO2 (EMC Update) v0.29.2_NRA_model_for_NEMO2 (EMC Update) v0.29.4" xfId="806" xr:uid="{00000000-0005-0000-0000-000026030000}"/>
    <cellStyle name="%_NRA_model_for_NEMO2 (EMC Update) v0.20_NRA_model_for_NEMO2 (EMC Update) v0.21_NRA_model_for_NEMO2 (EMC Update) v0.26_NRA_model_for_NEMO2 (EMC Update) v0.29.2_NRA_model_for_NEMO2 (EMC Update) v0.29.4_NRA_model_for_NEMO2 (EMC Update) v0 30 1" xfId="807" xr:uid="{00000000-0005-0000-0000-000027030000}"/>
    <cellStyle name="%_NRA_model_for_NEMO2 (EMC Update) v0.20_NRA_model_for_NEMO2 (EMC Update) v0.21_NRA_model_for_NEMO2 (EMC Update) v0.26_NRA_model_for_NEMO2 (EMC Update) v0.29.2_NRA_model_for_NEMO2 (EMC Update) v0.29.4_NRA_model_for_NEMO2 (EMC Update) v0.29.5" xfId="808" xr:uid="{00000000-0005-0000-0000-000028030000}"/>
    <cellStyle name="%_NRA_model_for_NEMO2 (EMC Update) v0.20_NRA_model_for_NEMO2 (EMC Update) v0.21_NRA_model_for_NEMO2 (EMC Update) v0.26_NRA_model_for_NEMO2 (EMC Update) v0.29.2_NRA_model_for_NEMO2 (EMC Update) v0.29.5" xfId="809" xr:uid="{00000000-0005-0000-0000-000029030000}"/>
    <cellStyle name="%_NRA_model_for_NEMO2 (EMC Update) v0.20_NRA_model_for_NEMO2 (EMC Update) v0.21_NRA_model_for_NEMO2 (EMC Update) v0.26_NRA_model_for_NEMO2 (EMC Update) v0.29.2_NRA_model_for_NEMO2 (EMC Update) v0.29.5_NRA_model_for_NEMO2 (EMC Update) v0 30 1" xfId="810" xr:uid="{00000000-0005-0000-0000-00002A030000}"/>
    <cellStyle name="%_NRA_model_for_NEMO2 (EMC Update) v0.20_NRA_model_for_NEMO2 (EMC Update) v0.21_NRA_model_for_NEMO2 (EMC Update) v0.26_NRA_model_for_NEMO2 (EMC Update) v0.29.3" xfId="811" xr:uid="{00000000-0005-0000-0000-00002B030000}"/>
    <cellStyle name="%_NRA_model_for_NEMO2 (EMC Update) v0.20_NRA_model_for_NEMO2 (EMC Update) v0.21_NRA_model_for_NEMO2 (EMC Update) v0.26_NRA_model_for_NEMO2 (EMC Update) v0.29.3_NRA_model_for_NEMO2 (EMC Update) v0 30 1" xfId="812" xr:uid="{00000000-0005-0000-0000-00002C030000}"/>
    <cellStyle name="%_NRA_model_for_NEMO2 (EMC Update) v0.20_NRA_model_for_NEMO2 (EMC Update) v0.21_NRA_model_for_NEMO2 (EMC Update) v0.26_NRA_model_for_NEMO2 (EMC Update) v0.29.3_NRA_model_for_NEMO2 (EMC Update) v0.29.5" xfId="813" xr:uid="{00000000-0005-0000-0000-00002D030000}"/>
    <cellStyle name="%_NRA_model_for_NEMO2 (EMC Update) v0.20_NRA_model_for_NEMO2 (EMC Update) v0.21_NRA_model_for_NEMO2 (EMC Update) v0.26_NRA_model_for_NEMO2 (EMC Update) v0.29.3_NRA_model_for_NEMO2 (EMC Update) v0.29.5_NRA_model_for_NEMO2 (EMC Update) v0 30 1" xfId="814" xr:uid="{00000000-0005-0000-0000-00002E030000}"/>
    <cellStyle name="%_NRA_model_for_NEMO2 (EMC Update) v0.20_NRA_model_for_NEMO2 (EMC Update) v0.21_NRA_model_for_NEMO2 (EMC Update) v0.26_NRA_model_for_NEMO2 (EMC Update) v0.29.4" xfId="815" xr:uid="{00000000-0005-0000-0000-00002F030000}"/>
    <cellStyle name="%_NRA_model_for_NEMO2 (EMC Update) v0.20_NRA_model_for_NEMO2 (EMC Update) v0.21_NRA_model_for_NEMO2 (EMC Update) v0.26_NRA_model_for_NEMO2 (EMC Update) v0.29.4_NRA_model_for_NEMO2 (EMC Update) v0 30 1" xfId="816" xr:uid="{00000000-0005-0000-0000-000030030000}"/>
    <cellStyle name="%_NRA_model_for_NEMO2 (EMC Update) v0.20_NRA_model_for_NEMO2 (EMC Update) v0.21_NRA_model_for_NEMO2 (EMC Update) v0.26_NRA_model_for_NEMO2 (EMC Update) v0.29.4_NRA_model_for_NEMO2 (EMC Update) v0.29.5" xfId="817" xr:uid="{00000000-0005-0000-0000-000031030000}"/>
    <cellStyle name="%_NRA_model_for_NEMO2 (EMC Update) v0.20_NRA_model_for_NEMO2 (EMC Update) v0.21_NRA_model_for_NEMO2 (EMC Update) v0.26_NRA_model_for_NEMO2 (EMC Update) v0.29.4_NRA_model_for_NEMO2 (EMC Update) v0.29.5_NRA_model_for_NEMO2 (EMC Update) v0 30 1" xfId="818" xr:uid="{00000000-0005-0000-0000-000032030000}"/>
    <cellStyle name="%_NRA_model_for_NEMO2 (EMC Update) v0.20_NRA_model_for_NEMO2 (EMC Update) v0.21_NRA_model_for_NEMO2 (EMC Update) v0.26_NRA_model_for_NEMO2 (EMC Update) v0.29.5" xfId="819" xr:uid="{00000000-0005-0000-0000-000033030000}"/>
    <cellStyle name="%_NRA_model_for_NEMO2 (EMC Update) v0.20_NRA_model_for_NEMO2 (EMC Update) v0.21_NRA_model_for_NEMO2 (EMC Update) v0.26_NRA_model_for_NEMO2 (EMC Update) v0.29.5_NRA_model_for_NEMO2 (EMC Update) v0 30 1" xfId="820" xr:uid="{00000000-0005-0000-0000-000034030000}"/>
    <cellStyle name="%_NRA_model_for_NEMO2 (EMC Update) v0.20_NRA_model_for_NEMO2 (EMC Update) v0.21_NRA_model_for_NEMO2 (EMC Update) v0.29" xfId="835" xr:uid="{00000000-0005-0000-0000-000043030000}"/>
    <cellStyle name="%_NRA_model_for_NEMO2 (EMC Update) v0.20_NRA_model_for_NEMO2 (EMC Update) v0.21_NRA_model_for_NEMO2 (EMC Update) v0.29_NRA_model_for_NEMO2 (EMC Update) v0 30 1" xfId="858" xr:uid="{00000000-0005-0000-0000-00005A030000}"/>
    <cellStyle name="%_NRA_model_for_NEMO2 (EMC Update) v0.20_NRA_model_for_NEMO2 (EMC Update) v0.21_NRA_model_for_NEMO2 (EMC Update) v0.29_NRA_model_for_NEMO2 (EMC Update) v0.29.2" xfId="859" xr:uid="{00000000-0005-0000-0000-00005B030000}"/>
    <cellStyle name="%_NRA_model_for_NEMO2 (EMC Update) v0.20_NRA_model_for_NEMO2 (EMC Update) v0.21_NRA_model_for_NEMO2 (EMC Update) v0.29_NRA_model_for_NEMO2 (EMC Update) v0.29.2_NRA_model_for_NEMO2 (EMC Update) v0 30 1" xfId="860" xr:uid="{00000000-0005-0000-0000-00005C030000}"/>
    <cellStyle name="%_NRA_model_for_NEMO2 (EMC Update) v0.20_NRA_model_for_NEMO2 (EMC Update) v0.21_NRA_model_for_NEMO2 (EMC Update) v0.29_NRA_model_for_NEMO2 (EMC Update) v0.29.2_NRA_model_for_NEMO2 (EMC Update) v0.29.3" xfId="861" xr:uid="{00000000-0005-0000-0000-00005D030000}"/>
    <cellStyle name="%_NRA_model_for_NEMO2 (EMC Update) v0.20_NRA_model_for_NEMO2 (EMC Update) v0.21_NRA_model_for_NEMO2 (EMC Update) v0.29_NRA_model_for_NEMO2 (EMC Update) v0.29.2_NRA_model_for_NEMO2 (EMC Update) v0.29.3_NRA_model_for_NEMO2 (EMC Update) v0 30 1" xfId="862" xr:uid="{00000000-0005-0000-0000-00005E030000}"/>
    <cellStyle name="%_NRA_model_for_NEMO2 (EMC Update) v0.20_NRA_model_for_NEMO2 (EMC Update) v0.21_NRA_model_for_NEMO2 (EMC Update) v0.29_NRA_model_for_NEMO2 (EMC Update) v0.29.2_NRA_model_for_NEMO2 (EMC Update) v0.29.3_NRA_model_for_NEMO2 (EMC Update) v0.29.5" xfId="863" xr:uid="{00000000-0005-0000-0000-00005F030000}"/>
    <cellStyle name="%_NRA_model_for_NEMO2 (EMC Update) v0.20_NRA_model_for_NEMO2 (EMC Update) v0.21_NRA_model_for_NEMO2 (EMC Update) v0.29_NRA_model_for_NEMO2 (EMC Update) v0.29.2_NRA_model_for_NEMO2 (EMC Update) v0.29.4" xfId="864" xr:uid="{00000000-0005-0000-0000-000060030000}"/>
    <cellStyle name="%_NRA_model_for_NEMO2 (EMC Update) v0.20_NRA_model_for_NEMO2 (EMC Update) v0.21_NRA_model_for_NEMO2 (EMC Update) v0.29_NRA_model_for_NEMO2 (EMC Update) v0.29.2_NRA_model_for_NEMO2 (EMC Update) v0.29.4_NRA_model_for_NEMO2 (EMC Update) v0 30 1" xfId="865" xr:uid="{00000000-0005-0000-0000-000061030000}"/>
    <cellStyle name="%_NRA_model_for_NEMO2 (EMC Update) v0.20_NRA_model_for_NEMO2 (EMC Update) v0.21_NRA_model_for_NEMO2 (EMC Update) v0.29_NRA_model_for_NEMO2 (EMC Update) v0.29.2_NRA_model_for_NEMO2 (EMC Update) v0.29.4_NRA_model_for_NEMO2 (EMC Update) v0.29.5" xfId="866" xr:uid="{00000000-0005-0000-0000-000062030000}"/>
    <cellStyle name="%_NRA_model_for_NEMO2 (EMC Update) v0.20_NRA_model_for_NEMO2 (EMC Update) v0.21_NRA_model_for_NEMO2 (EMC Update) v0.29_NRA_model_for_NEMO2 (EMC Update) v0.29.2_NRA_model_for_NEMO2 (EMC Update) v0.29.5" xfId="867" xr:uid="{00000000-0005-0000-0000-000063030000}"/>
    <cellStyle name="%_NRA_model_for_NEMO2 (EMC Update) v0.20_NRA_model_for_NEMO2 (EMC Update) v0.21_NRA_model_for_NEMO2 (EMC Update) v0.29_NRA_model_for_NEMO2 (EMC Update) v0.29.2_NRA_model_for_NEMO2 (EMC Update) v0.29.5_NRA_model_for_NEMO2 (EMC Update) v0 30 1" xfId="868" xr:uid="{00000000-0005-0000-0000-000064030000}"/>
    <cellStyle name="%_NRA_model_for_NEMO2 (EMC Update) v0.20_NRA_model_for_NEMO2 (EMC Update) v0.21_NRA_model_for_NEMO2 (EMC Update) v0.29_NRA_model_for_NEMO2 (EMC Update) v0.29.3" xfId="869" xr:uid="{00000000-0005-0000-0000-000065030000}"/>
    <cellStyle name="%_NRA_model_for_NEMO2 (EMC Update) v0.20_NRA_model_for_NEMO2 (EMC Update) v0.21_NRA_model_for_NEMO2 (EMC Update) v0.29_NRA_model_for_NEMO2 (EMC Update) v0.29.3_NRA_model_for_NEMO2 (EMC Update) v0 30 1" xfId="870" xr:uid="{00000000-0005-0000-0000-000066030000}"/>
    <cellStyle name="%_NRA_model_for_NEMO2 (EMC Update) v0.20_NRA_model_for_NEMO2 (EMC Update) v0.21_NRA_model_for_NEMO2 (EMC Update) v0.29_NRA_model_for_NEMO2 (EMC Update) v0.29.3_NRA_model_for_NEMO2 (EMC Update) v0.29.5" xfId="871" xr:uid="{00000000-0005-0000-0000-000067030000}"/>
    <cellStyle name="%_NRA_model_for_NEMO2 (EMC Update) v0.20_NRA_model_for_NEMO2 (EMC Update) v0.21_NRA_model_for_NEMO2 (EMC Update) v0.29_NRA_model_for_NEMO2 (EMC Update) v0.29.3_NRA_model_for_NEMO2 (EMC Update) v0.29.5_NRA_model_for_NEMO2 (EMC Update) v0 30 1" xfId="872" xr:uid="{00000000-0005-0000-0000-000068030000}"/>
    <cellStyle name="%_NRA_model_for_NEMO2 (EMC Update) v0.20_NRA_model_for_NEMO2 (EMC Update) v0.21_NRA_model_for_NEMO2 (EMC Update) v0.29_NRA_model_for_NEMO2 (EMC Update) v0.29.4" xfId="873" xr:uid="{00000000-0005-0000-0000-000069030000}"/>
    <cellStyle name="%_NRA_model_for_NEMO2 (EMC Update) v0.20_NRA_model_for_NEMO2 (EMC Update) v0.21_NRA_model_for_NEMO2 (EMC Update) v0.29_NRA_model_for_NEMO2 (EMC Update) v0.29.4_NRA_model_for_NEMO2 (EMC Update) v0 30 1" xfId="874" xr:uid="{00000000-0005-0000-0000-00006A030000}"/>
    <cellStyle name="%_NRA_model_for_NEMO2 (EMC Update) v0.20_NRA_model_for_NEMO2 (EMC Update) v0.21_NRA_model_for_NEMO2 (EMC Update) v0.29_NRA_model_for_NEMO2 (EMC Update) v0.29.4_NRA_model_for_NEMO2 (EMC Update) v0.29.5" xfId="875" xr:uid="{00000000-0005-0000-0000-00006B030000}"/>
    <cellStyle name="%_NRA_model_for_NEMO2 (EMC Update) v0.20_NRA_model_for_NEMO2 (EMC Update) v0.21_NRA_model_for_NEMO2 (EMC Update) v0.29_NRA_model_for_NEMO2 (EMC Update) v0.29.4_NRA_model_for_NEMO2 (EMC Update) v0.29.5_NRA_model_for_NEMO2 (EMC Update) v0 30 1" xfId="876" xr:uid="{00000000-0005-0000-0000-00006C030000}"/>
    <cellStyle name="%_NRA_model_for_NEMO2 (EMC Update) v0.20_NRA_model_for_NEMO2 (EMC Update) v0.21_NRA_model_for_NEMO2 (EMC Update) v0.29_NRA_model_for_NEMO2 (EMC Update) v0.29.5" xfId="877" xr:uid="{00000000-0005-0000-0000-00006D030000}"/>
    <cellStyle name="%_NRA_model_for_NEMO2 (EMC Update) v0.20_NRA_model_for_NEMO2 (EMC Update) v0.21_NRA_model_for_NEMO2 (EMC Update) v0.29_NRA_model_for_NEMO2 (EMC Update) v0.29.5_NRA_model_for_NEMO2 (EMC Update) v0 30 1" xfId="878" xr:uid="{00000000-0005-0000-0000-00006E030000}"/>
    <cellStyle name="%_NRA_model_for_NEMO2 (EMC Update) v0.20_NRA_model_for_NEMO2 (EMC Update) v0.21_NRA_model_for_NEMO2 (EMC Update) v0.29.2" xfId="836" xr:uid="{00000000-0005-0000-0000-000044030000}"/>
    <cellStyle name="%_NRA_model_for_NEMO2 (EMC Update) v0.20_NRA_model_for_NEMO2 (EMC Update) v0.21_NRA_model_for_NEMO2 (EMC Update) v0.29.2_NRA_model_for_NEMO2 (EMC Update) v0 30 1" xfId="837" xr:uid="{00000000-0005-0000-0000-000045030000}"/>
    <cellStyle name="%_NRA_model_for_NEMO2 (EMC Update) v0.20_NRA_model_for_NEMO2 (EMC Update) v0.21_NRA_model_for_NEMO2 (EMC Update) v0.29.2_NRA_model_for_NEMO2 (EMC Update) v0.29.3" xfId="838" xr:uid="{00000000-0005-0000-0000-000046030000}"/>
    <cellStyle name="%_NRA_model_for_NEMO2 (EMC Update) v0.20_NRA_model_for_NEMO2 (EMC Update) v0.21_NRA_model_for_NEMO2 (EMC Update) v0.29.2_NRA_model_for_NEMO2 (EMC Update) v0.29.3_NRA_model_for_NEMO2 (EMC Update) v0 30 1" xfId="839" xr:uid="{00000000-0005-0000-0000-000047030000}"/>
    <cellStyle name="%_NRA_model_for_NEMO2 (EMC Update) v0.20_NRA_model_for_NEMO2 (EMC Update) v0.21_NRA_model_for_NEMO2 (EMC Update) v0.29.2_NRA_model_for_NEMO2 (EMC Update) v0.29.3_NRA_model_for_NEMO2 (EMC Update) v0.29.5" xfId="840" xr:uid="{00000000-0005-0000-0000-000048030000}"/>
    <cellStyle name="%_NRA_model_for_NEMO2 (EMC Update) v0.20_NRA_model_for_NEMO2 (EMC Update) v0.21_NRA_model_for_NEMO2 (EMC Update) v0.29.2_NRA_model_for_NEMO2 (EMC Update) v0.29.3_NRA_model_for_NEMO2 (EMC Update) v0.29.5_NRA_model_for_NEMO2 (EMC Update) v0 30 1" xfId="841" xr:uid="{00000000-0005-0000-0000-000049030000}"/>
    <cellStyle name="%_NRA_model_for_NEMO2 (EMC Update) v0.20_NRA_model_for_NEMO2 (EMC Update) v0.21_NRA_model_for_NEMO2 (EMC Update) v0.29.2_NRA_model_for_NEMO2 (EMC Update) v0.29.4" xfId="842" xr:uid="{00000000-0005-0000-0000-00004A030000}"/>
    <cellStyle name="%_NRA_model_for_NEMO2 (EMC Update) v0.20_NRA_model_for_NEMO2 (EMC Update) v0.21_NRA_model_for_NEMO2 (EMC Update) v0.29.2_NRA_model_for_NEMO2 (EMC Update) v0.29.4_NRA_model_for_NEMO2 (EMC Update) v0 30 1" xfId="843" xr:uid="{00000000-0005-0000-0000-00004B030000}"/>
    <cellStyle name="%_NRA_model_for_NEMO2 (EMC Update) v0.20_NRA_model_for_NEMO2 (EMC Update) v0.21_NRA_model_for_NEMO2 (EMC Update) v0.29.2_NRA_model_for_NEMO2 (EMC Update) v0.29.4_NRA_model_for_NEMO2 (EMC Update) v0.29.5" xfId="844" xr:uid="{00000000-0005-0000-0000-00004C030000}"/>
    <cellStyle name="%_NRA_model_for_NEMO2 (EMC Update) v0.20_NRA_model_for_NEMO2 (EMC Update) v0.21_NRA_model_for_NEMO2 (EMC Update) v0.29.2_NRA_model_for_NEMO2 (EMC Update) v0.29.4_NRA_model_for_NEMO2 (EMC Update) v0.29.5_NRA_model_for_NEMO2 (EMC Update) v0 30 1" xfId="845" xr:uid="{00000000-0005-0000-0000-00004D030000}"/>
    <cellStyle name="%_NRA_model_for_NEMO2 (EMC Update) v0.20_NRA_model_for_NEMO2 (EMC Update) v0.21_NRA_model_for_NEMO2 (EMC Update) v0.29.2_NRA_model_for_NEMO2 (EMC Update) v0.29.5" xfId="846" xr:uid="{00000000-0005-0000-0000-00004E030000}"/>
    <cellStyle name="%_NRA_model_for_NEMO2 (EMC Update) v0.20_NRA_model_for_NEMO2 (EMC Update) v0.21_NRA_model_for_NEMO2 (EMC Update) v0.29.2_NRA_model_for_NEMO2 (EMC Update) v0.29.5_NRA_model_for_NEMO2 (EMC Update) v0 30 1" xfId="847" xr:uid="{00000000-0005-0000-0000-00004F030000}"/>
    <cellStyle name="%_NRA_model_for_NEMO2 (EMC Update) v0.20_NRA_model_for_NEMO2 (EMC Update) v0.21_NRA_model_for_NEMO2 (EMC Update) v0.29.3" xfId="848" xr:uid="{00000000-0005-0000-0000-000050030000}"/>
    <cellStyle name="%_NRA_model_for_NEMO2 (EMC Update) v0.20_NRA_model_for_NEMO2 (EMC Update) v0.21_NRA_model_for_NEMO2 (EMC Update) v0.29.3_NRA_model_for_NEMO2 (EMC Update) v0 30 1" xfId="849" xr:uid="{00000000-0005-0000-0000-000051030000}"/>
    <cellStyle name="%_NRA_model_for_NEMO2 (EMC Update) v0.20_NRA_model_for_NEMO2 (EMC Update) v0.21_NRA_model_for_NEMO2 (EMC Update) v0.29.3_NRA_model_for_NEMO2 (EMC Update) v0.29.5" xfId="850" xr:uid="{00000000-0005-0000-0000-000052030000}"/>
    <cellStyle name="%_NRA_model_for_NEMO2 (EMC Update) v0.20_NRA_model_for_NEMO2 (EMC Update) v0.21_NRA_model_for_NEMO2 (EMC Update) v0.29.3_NRA_model_for_NEMO2 (EMC Update) v0.29.5_NRA_model_for_NEMO2 (EMC Update) v0 30 1" xfId="851" xr:uid="{00000000-0005-0000-0000-000053030000}"/>
    <cellStyle name="%_NRA_model_for_NEMO2 (EMC Update) v0.20_NRA_model_for_NEMO2 (EMC Update) v0.21_NRA_model_for_NEMO2 (EMC Update) v0.29.4" xfId="852" xr:uid="{00000000-0005-0000-0000-000054030000}"/>
    <cellStyle name="%_NRA_model_for_NEMO2 (EMC Update) v0.20_NRA_model_for_NEMO2 (EMC Update) v0.21_NRA_model_for_NEMO2 (EMC Update) v0.29.4_NRA_model_for_NEMO2 (EMC Update) v0 30 1" xfId="853" xr:uid="{00000000-0005-0000-0000-000055030000}"/>
    <cellStyle name="%_NRA_model_for_NEMO2 (EMC Update) v0.20_NRA_model_for_NEMO2 (EMC Update) v0.21_NRA_model_for_NEMO2 (EMC Update) v0.29.4_NRA_model_for_NEMO2 (EMC Update) v0.29.5" xfId="854" xr:uid="{00000000-0005-0000-0000-000056030000}"/>
    <cellStyle name="%_NRA_model_for_NEMO2 (EMC Update) v0.20_NRA_model_for_NEMO2 (EMC Update) v0.21_NRA_model_for_NEMO2 (EMC Update) v0.29.4_NRA_model_for_NEMO2 (EMC Update) v0.29.5_NRA_model_for_NEMO2 (EMC Update) v0 30 1" xfId="855" xr:uid="{00000000-0005-0000-0000-000057030000}"/>
    <cellStyle name="%_NRA_model_for_NEMO2 (EMC Update) v0.20_NRA_model_for_NEMO2 (EMC Update) v0.21_NRA_model_for_NEMO2 (EMC Update) v0.29.5" xfId="856" xr:uid="{00000000-0005-0000-0000-000058030000}"/>
    <cellStyle name="%_NRA_model_for_NEMO2 (EMC Update) v0.20_NRA_model_for_NEMO2 (EMC Update) v0.21_NRA_model_for_NEMO2 (EMC Update) v0.29.5_NRA_model_for_NEMO2 (EMC Update) v0 30 1" xfId="857" xr:uid="{00000000-0005-0000-0000-000059030000}"/>
    <cellStyle name="%_NRA_model_for_NEMO2 (EMC Update) v0.20_NRA_model_for_NEMO2 (EMC Update) v0.22" xfId="879" xr:uid="{00000000-0005-0000-0000-00006F030000}"/>
    <cellStyle name="%_NRA_model_for_NEMO2 (EMC Update) v0.20_NRA_model_for_NEMO2 (EMC Update) v0.22_NRA_model_for_NEMO2 (EMC Update) v0 30 1" xfId="880" xr:uid="{00000000-0005-0000-0000-000070030000}"/>
    <cellStyle name="%_NRA_model_for_NEMO2 (EMC Update) v0.20_NRA_model_for_NEMO2 (EMC Update) v0.22_NRA_model_for_NEMO2 (EMC Update) v0.25" xfId="881" xr:uid="{00000000-0005-0000-0000-000071030000}"/>
    <cellStyle name="%_NRA_model_for_NEMO2 (EMC Update) v0.20_NRA_model_for_NEMO2 (EMC Update) v0.22_NRA_model_for_NEMO2 (EMC Update) v0.25_NRA_model_for_NEMO2 (EMC Update) v0 30 1" xfId="882" xr:uid="{00000000-0005-0000-0000-000072030000}"/>
    <cellStyle name="%_NRA_model_for_NEMO2 (EMC Update) v0.20_NRA_model_for_NEMO2 (EMC Update) v0.22_NRA_model_for_NEMO2 (EMC Update) v0.25_NRA_model_for_NEMO2 (EMC Update) v0.26" xfId="883" xr:uid="{00000000-0005-0000-0000-000073030000}"/>
    <cellStyle name="%_NRA_model_for_NEMO2 (EMC Update) v0.20_NRA_model_for_NEMO2 (EMC Update) v0.22_NRA_model_for_NEMO2 (EMC Update) v0.25_NRA_model_for_NEMO2 (EMC Update) v0.26_NRA_model_for_NEMO2 (EMC Update) v0 30 1" xfId="884" xr:uid="{00000000-0005-0000-0000-000074030000}"/>
    <cellStyle name="%_NRA_model_for_NEMO2 (EMC Update) v0.20_NRA_model_for_NEMO2 (EMC Update) v0.22_NRA_model_for_NEMO2 (EMC Update) v0.25_NRA_model_for_NEMO2 (EMC Update) v0.26_NRA_model_for_NEMO2 (EMC Update) v0.29" xfId="885" xr:uid="{00000000-0005-0000-0000-000075030000}"/>
    <cellStyle name="%_NRA_model_for_NEMO2 (EMC Update) v0.20_NRA_model_for_NEMO2 (EMC Update) v0.22_NRA_model_for_NEMO2 (EMC Update) v0.25_NRA_model_for_NEMO2 (EMC Update) v0.26_NRA_model_for_NEMO2 (EMC Update) v0.29_NRA_model_for_NEMO2 (EMC Update) v0 30 1" xfId="899" xr:uid="{00000000-0005-0000-0000-000083030000}"/>
    <cellStyle name="%_NRA_model_for_NEMO2 (EMC Update) v0.20_NRA_model_for_NEMO2 (EMC Update) v0.22_NRA_model_for_NEMO2 (EMC Update) v0.25_NRA_model_for_NEMO2 (EMC Update) v0.26_NRA_model_for_NEMO2 (EMC Update) v0.29_NRA_model_for_NEMO2 (EMC Update) v0.29.2" xfId="900" xr:uid="{00000000-0005-0000-0000-000084030000}"/>
    <cellStyle name="%_NRA_model_for_NEMO2 (EMC Update) v0.20_NRA_model_for_NEMO2 (EMC Update) v0.22_NRA_model_for_NEMO2 (EMC Update) v0.25_NRA_model_for_NEMO2 (EMC Update) v0.26_NRA_model_for_NEMO2 (EMC Update) v0.29_NRA_model_for_NEMO2 (EMC Update) v0.29.3" xfId="901" xr:uid="{00000000-0005-0000-0000-000085030000}"/>
    <cellStyle name="%_NRA_model_for_NEMO2 (EMC Update) v0.20_NRA_model_for_NEMO2 (EMC Update) v0.22_NRA_model_for_NEMO2 (EMC Update) v0.25_NRA_model_for_NEMO2 (EMC Update) v0.26_NRA_model_for_NEMO2 (EMC Update) v0.29_NRA_model_for_NEMO2 (EMC Update) v0.29.4" xfId="902" xr:uid="{00000000-0005-0000-0000-000086030000}"/>
    <cellStyle name="%_NRA_model_for_NEMO2 (EMC Update) v0.20_NRA_model_for_NEMO2 (EMC Update) v0.22_NRA_model_for_NEMO2 (EMC Update) v0.25_NRA_model_for_NEMO2 (EMC Update) v0.26_NRA_model_for_NEMO2 (EMC Update) v0.29_NRA_model_for_NEMO2 (EMC Update) v0.29.5" xfId="903" xr:uid="{00000000-0005-0000-0000-000087030000}"/>
    <cellStyle name="%_NRA_model_for_NEMO2 (EMC Update) v0.20_NRA_model_for_NEMO2 (EMC Update) v0.22_NRA_model_for_NEMO2 (EMC Update) v0.25_NRA_model_for_NEMO2 (EMC Update) v0.26_NRA_model_for_NEMO2 (EMC Update) v0.29.2" xfId="886" xr:uid="{00000000-0005-0000-0000-000076030000}"/>
    <cellStyle name="%_NRA_model_for_NEMO2 (EMC Update) v0.20_NRA_model_for_NEMO2 (EMC Update) v0.22_NRA_model_for_NEMO2 (EMC Update) v0.25_NRA_model_for_NEMO2 (EMC Update) v0.26_NRA_model_for_NEMO2 (EMC Update) v0.29.2_NRA_model_for_NEMO2 (EMC Update) v0 30 1" xfId="887" xr:uid="{00000000-0005-0000-0000-000077030000}"/>
    <cellStyle name="%_NRA_model_for_NEMO2 (EMC Update) v0.20_NRA_model_for_NEMO2 (EMC Update) v0.22_NRA_model_for_NEMO2 (EMC Update) v0.25_NRA_model_for_NEMO2 (EMC Update) v0.26_NRA_model_for_NEMO2 (EMC Update) v0.29.2_NRA_model_for_NEMO2 (EMC Update) v0.29.3" xfId="888" xr:uid="{00000000-0005-0000-0000-000078030000}"/>
    <cellStyle name="%_NRA_model_for_NEMO2 (EMC Update) v0.20_NRA_model_for_NEMO2 (EMC Update) v0.22_NRA_model_for_NEMO2 (EMC Update) v0.25_NRA_model_for_NEMO2 (EMC Update) v0.26_NRA_model_for_NEMO2 (EMC Update) v0.29.2_NRA_model_for_NEMO2 (EMC Update) v0.29.4" xfId="889" xr:uid="{00000000-0005-0000-0000-000079030000}"/>
    <cellStyle name="%_NRA_model_for_NEMO2 (EMC Update) v0.20_NRA_model_for_NEMO2 (EMC Update) v0.22_NRA_model_for_NEMO2 (EMC Update) v0.25_NRA_model_for_NEMO2 (EMC Update) v0.26_NRA_model_for_NEMO2 (EMC Update) v0.29.2_NRA_model_for_NEMO2 (EMC Update) v0.29.5" xfId="890" xr:uid="{00000000-0005-0000-0000-00007A030000}"/>
    <cellStyle name="%_NRA_model_for_NEMO2 (EMC Update) v0.20_NRA_model_for_NEMO2 (EMC Update) v0.22_NRA_model_for_NEMO2 (EMC Update) v0.25_NRA_model_for_NEMO2 (EMC Update) v0.26_NRA_model_for_NEMO2 (EMC Update) v0.29.3" xfId="891" xr:uid="{00000000-0005-0000-0000-00007B030000}"/>
    <cellStyle name="%_NRA_model_for_NEMO2 (EMC Update) v0.20_NRA_model_for_NEMO2 (EMC Update) v0.22_NRA_model_for_NEMO2 (EMC Update) v0.25_NRA_model_for_NEMO2 (EMC Update) v0.26_NRA_model_for_NEMO2 (EMC Update) v0.29.3_NRA_model_for_NEMO2 (EMC Update) v0 30 1" xfId="892" xr:uid="{00000000-0005-0000-0000-00007C030000}"/>
    <cellStyle name="%_NRA_model_for_NEMO2 (EMC Update) v0.20_NRA_model_for_NEMO2 (EMC Update) v0.22_NRA_model_for_NEMO2 (EMC Update) v0.25_NRA_model_for_NEMO2 (EMC Update) v0.26_NRA_model_for_NEMO2 (EMC Update) v0.29.3_NRA_model_for_NEMO2 (EMC Update) v0.29.5" xfId="893" xr:uid="{00000000-0005-0000-0000-00007D030000}"/>
    <cellStyle name="%_NRA_model_for_NEMO2 (EMC Update) v0.20_NRA_model_for_NEMO2 (EMC Update) v0.22_NRA_model_for_NEMO2 (EMC Update) v0.25_NRA_model_for_NEMO2 (EMC Update) v0.26_NRA_model_for_NEMO2 (EMC Update) v0.29.4" xfId="894" xr:uid="{00000000-0005-0000-0000-00007E030000}"/>
    <cellStyle name="%_NRA_model_for_NEMO2 (EMC Update) v0.20_NRA_model_for_NEMO2 (EMC Update) v0.22_NRA_model_for_NEMO2 (EMC Update) v0.25_NRA_model_for_NEMO2 (EMC Update) v0.26_NRA_model_for_NEMO2 (EMC Update) v0.29.4_NRA_model_for_NEMO2 (EMC Update) v0 30 1" xfId="895" xr:uid="{00000000-0005-0000-0000-00007F030000}"/>
    <cellStyle name="%_NRA_model_for_NEMO2 (EMC Update) v0.20_NRA_model_for_NEMO2 (EMC Update) v0.22_NRA_model_for_NEMO2 (EMC Update) v0.25_NRA_model_for_NEMO2 (EMC Update) v0.26_NRA_model_for_NEMO2 (EMC Update) v0.29.4_NRA_model_for_NEMO2 (EMC Update) v0.29.5" xfId="896" xr:uid="{00000000-0005-0000-0000-000080030000}"/>
    <cellStyle name="%_NRA_model_for_NEMO2 (EMC Update) v0.20_NRA_model_for_NEMO2 (EMC Update) v0.22_NRA_model_for_NEMO2 (EMC Update) v0.25_NRA_model_for_NEMO2 (EMC Update) v0.26_NRA_model_for_NEMO2 (EMC Update) v0.29.5" xfId="897" xr:uid="{00000000-0005-0000-0000-000081030000}"/>
    <cellStyle name="%_NRA_model_for_NEMO2 (EMC Update) v0.20_NRA_model_for_NEMO2 (EMC Update) v0.22_NRA_model_for_NEMO2 (EMC Update) v0.25_NRA_model_for_NEMO2 (EMC Update) v0.26_NRA_model_for_NEMO2 (EMC Update) v0.29.5_NRA_model_for_NEMO2 (EMC Update) v0 30 1" xfId="898" xr:uid="{00000000-0005-0000-0000-000082030000}"/>
    <cellStyle name="%_NRA_model_for_NEMO2 (EMC Update) v0.20_NRA_model_for_NEMO2 (EMC Update) v0.22_NRA_model_for_NEMO2 (EMC Update) v0.25_NRA_model_for_NEMO2 (EMC Update) v0.29" xfId="904" xr:uid="{00000000-0005-0000-0000-000088030000}"/>
    <cellStyle name="%_NRA_model_for_NEMO2 (EMC Update) v0.20_NRA_model_for_NEMO2 (EMC Update) v0.22_NRA_model_for_NEMO2 (EMC Update) v0.25_NRA_model_for_NEMO2 (EMC Update) v0.29_NRA_model_for_NEMO2 (EMC Update) v0 30 1" xfId="925" xr:uid="{00000000-0005-0000-0000-00009D030000}"/>
    <cellStyle name="%_NRA_model_for_NEMO2 (EMC Update) v0.20_NRA_model_for_NEMO2 (EMC Update) v0.22_NRA_model_for_NEMO2 (EMC Update) v0.25_NRA_model_for_NEMO2 (EMC Update) v0.29_NRA_model_for_NEMO2 (EMC Update) v0.29.2" xfId="926" xr:uid="{00000000-0005-0000-0000-00009E030000}"/>
    <cellStyle name="%_NRA_model_for_NEMO2 (EMC Update) v0.20_NRA_model_for_NEMO2 (EMC Update) v0.22_NRA_model_for_NEMO2 (EMC Update) v0.25_NRA_model_for_NEMO2 (EMC Update) v0.29_NRA_model_for_NEMO2 (EMC Update) v0.29.2_NRA_model_for_NEMO2 (EMC Update) v0 30 1" xfId="927" xr:uid="{00000000-0005-0000-0000-00009F030000}"/>
    <cellStyle name="%_NRA_model_for_NEMO2 (EMC Update) v0.20_NRA_model_for_NEMO2 (EMC Update) v0.22_NRA_model_for_NEMO2 (EMC Update) v0.25_NRA_model_for_NEMO2 (EMC Update) v0.29_NRA_model_for_NEMO2 (EMC Update) v0.29.2_NRA_model_for_NEMO2 (EMC Update) v0.29.3" xfId="928" xr:uid="{00000000-0005-0000-0000-0000A0030000}"/>
    <cellStyle name="%_NRA_model_for_NEMO2 (EMC Update) v0.20_NRA_model_for_NEMO2 (EMC Update) v0.22_NRA_model_for_NEMO2 (EMC Update) v0.25_NRA_model_for_NEMO2 (EMC Update) v0.29_NRA_model_for_NEMO2 (EMC Update) v0.29.2_NRA_model_for_NEMO2 (EMC Update) v0.29.4" xfId="929" xr:uid="{00000000-0005-0000-0000-0000A1030000}"/>
    <cellStyle name="%_NRA_model_for_NEMO2 (EMC Update) v0.20_NRA_model_for_NEMO2 (EMC Update) v0.22_NRA_model_for_NEMO2 (EMC Update) v0.25_NRA_model_for_NEMO2 (EMC Update) v0.29_NRA_model_for_NEMO2 (EMC Update) v0.29.2_NRA_model_for_NEMO2 (EMC Update) v0.29.5" xfId="930" xr:uid="{00000000-0005-0000-0000-0000A2030000}"/>
    <cellStyle name="%_NRA_model_for_NEMO2 (EMC Update) v0.20_NRA_model_for_NEMO2 (EMC Update) v0.22_NRA_model_for_NEMO2 (EMC Update) v0.25_NRA_model_for_NEMO2 (EMC Update) v0.29_NRA_model_for_NEMO2 (EMC Update) v0.29.3" xfId="931" xr:uid="{00000000-0005-0000-0000-0000A3030000}"/>
    <cellStyle name="%_NRA_model_for_NEMO2 (EMC Update) v0.20_NRA_model_for_NEMO2 (EMC Update) v0.22_NRA_model_for_NEMO2 (EMC Update) v0.25_NRA_model_for_NEMO2 (EMC Update) v0.29_NRA_model_for_NEMO2 (EMC Update) v0.29.3_NRA_model_for_NEMO2 (EMC Update) v0 30 1" xfId="932" xr:uid="{00000000-0005-0000-0000-0000A4030000}"/>
    <cellStyle name="%_NRA_model_for_NEMO2 (EMC Update) v0.20_NRA_model_for_NEMO2 (EMC Update) v0.22_NRA_model_for_NEMO2 (EMC Update) v0.25_NRA_model_for_NEMO2 (EMC Update) v0.29_NRA_model_for_NEMO2 (EMC Update) v0.29.3_NRA_model_for_NEMO2 (EMC Update) v0.29.5" xfId="933" xr:uid="{00000000-0005-0000-0000-0000A5030000}"/>
    <cellStyle name="%_NRA_model_for_NEMO2 (EMC Update) v0.20_NRA_model_for_NEMO2 (EMC Update) v0.22_NRA_model_for_NEMO2 (EMC Update) v0.25_NRA_model_for_NEMO2 (EMC Update) v0.29_NRA_model_for_NEMO2 (EMC Update) v0.29.4" xfId="934" xr:uid="{00000000-0005-0000-0000-0000A6030000}"/>
    <cellStyle name="%_NRA_model_for_NEMO2 (EMC Update) v0.20_NRA_model_for_NEMO2 (EMC Update) v0.22_NRA_model_for_NEMO2 (EMC Update) v0.25_NRA_model_for_NEMO2 (EMC Update) v0.29_NRA_model_for_NEMO2 (EMC Update) v0.29.4_NRA_model_for_NEMO2 (EMC Update) v0 30 1" xfId="935" xr:uid="{00000000-0005-0000-0000-0000A7030000}"/>
    <cellStyle name="%_NRA_model_for_NEMO2 (EMC Update) v0.20_NRA_model_for_NEMO2 (EMC Update) v0.22_NRA_model_for_NEMO2 (EMC Update) v0.25_NRA_model_for_NEMO2 (EMC Update) v0.29_NRA_model_for_NEMO2 (EMC Update) v0.29.4_NRA_model_for_NEMO2 (EMC Update) v0.29.5" xfId="936" xr:uid="{00000000-0005-0000-0000-0000A8030000}"/>
    <cellStyle name="%_NRA_model_for_NEMO2 (EMC Update) v0.20_NRA_model_for_NEMO2 (EMC Update) v0.22_NRA_model_for_NEMO2 (EMC Update) v0.25_NRA_model_for_NEMO2 (EMC Update) v0.29_NRA_model_for_NEMO2 (EMC Update) v0.29.5" xfId="937" xr:uid="{00000000-0005-0000-0000-0000A9030000}"/>
    <cellStyle name="%_NRA_model_for_NEMO2 (EMC Update) v0.20_NRA_model_for_NEMO2 (EMC Update) v0.22_NRA_model_for_NEMO2 (EMC Update) v0.25_NRA_model_for_NEMO2 (EMC Update) v0.29_NRA_model_for_NEMO2 (EMC Update) v0.29.5_NRA_model_for_NEMO2 (EMC Update) v0 30 1" xfId="938" xr:uid="{00000000-0005-0000-0000-0000AA030000}"/>
    <cellStyle name="%_NRA_model_for_NEMO2 (EMC Update) v0.20_NRA_model_for_NEMO2 (EMC Update) v0.22_NRA_model_for_NEMO2 (EMC Update) v0.25_NRA_model_for_NEMO2 (EMC Update) v0.29.2" xfId="905" xr:uid="{00000000-0005-0000-0000-000089030000}"/>
    <cellStyle name="%_NRA_model_for_NEMO2 (EMC Update) v0.20_NRA_model_for_NEMO2 (EMC Update) v0.22_NRA_model_for_NEMO2 (EMC Update) v0.25_NRA_model_for_NEMO2 (EMC Update) v0.29.2_NRA_model_for_NEMO2 (EMC Update) v0 30 1" xfId="906" xr:uid="{00000000-0005-0000-0000-00008A030000}"/>
    <cellStyle name="%_NRA_model_for_NEMO2 (EMC Update) v0.20_NRA_model_for_NEMO2 (EMC Update) v0.22_NRA_model_for_NEMO2 (EMC Update) v0.25_NRA_model_for_NEMO2 (EMC Update) v0.29.2_NRA_model_for_NEMO2 (EMC Update) v0.29.3" xfId="907" xr:uid="{00000000-0005-0000-0000-00008B030000}"/>
    <cellStyle name="%_NRA_model_for_NEMO2 (EMC Update) v0.20_NRA_model_for_NEMO2 (EMC Update) v0.22_NRA_model_for_NEMO2 (EMC Update) v0.25_NRA_model_for_NEMO2 (EMC Update) v0.29.2_NRA_model_for_NEMO2 (EMC Update) v0.29.3_NRA_model_for_NEMO2 (EMC Update) v0 30 1" xfId="908" xr:uid="{00000000-0005-0000-0000-00008C030000}"/>
    <cellStyle name="%_NRA_model_for_NEMO2 (EMC Update) v0.20_NRA_model_for_NEMO2 (EMC Update) v0.22_NRA_model_for_NEMO2 (EMC Update) v0.25_NRA_model_for_NEMO2 (EMC Update) v0.29.2_NRA_model_for_NEMO2 (EMC Update) v0.29.3_NRA_model_for_NEMO2 (EMC Update) v0.29.5" xfId="909" xr:uid="{00000000-0005-0000-0000-00008D030000}"/>
    <cellStyle name="%_NRA_model_for_NEMO2 (EMC Update) v0.20_NRA_model_for_NEMO2 (EMC Update) v0.22_NRA_model_for_NEMO2 (EMC Update) v0.25_NRA_model_for_NEMO2 (EMC Update) v0.29.2_NRA_model_for_NEMO2 (EMC Update) v0.29.4" xfId="910" xr:uid="{00000000-0005-0000-0000-00008E030000}"/>
    <cellStyle name="%_NRA_model_for_NEMO2 (EMC Update) v0.20_NRA_model_for_NEMO2 (EMC Update) v0.22_NRA_model_for_NEMO2 (EMC Update) v0.25_NRA_model_for_NEMO2 (EMC Update) v0.29.2_NRA_model_for_NEMO2 (EMC Update) v0.29.4_NRA_model_for_NEMO2 (EMC Update) v0 30 1" xfId="911" xr:uid="{00000000-0005-0000-0000-00008F030000}"/>
    <cellStyle name="%_NRA_model_for_NEMO2 (EMC Update) v0.20_NRA_model_for_NEMO2 (EMC Update) v0.22_NRA_model_for_NEMO2 (EMC Update) v0.25_NRA_model_for_NEMO2 (EMC Update) v0.29.2_NRA_model_for_NEMO2 (EMC Update) v0.29.4_NRA_model_for_NEMO2 (EMC Update) v0.29.5" xfId="912" xr:uid="{00000000-0005-0000-0000-000090030000}"/>
    <cellStyle name="%_NRA_model_for_NEMO2 (EMC Update) v0.20_NRA_model_for_NEMO2 (EMC Update) v0.22_NRA_model_for_NEMO2 (EMC Update) v0.25_NRA_model_for_NEMO2 (EMC Update) v0.29.2_NRA_model_for_NEMO2 (EMC Update) v0.29.5" xfId="913" xr:uid="{00000000-0005-0000-0000-000091030000}"/>
    <cellStyle name="%_NRA_model_for_NEMO2 (EMC Update) v0.20_NRA_model_for_NEMO2 (EMC Update) v0.22_NRA_model_for_NEMO2 (EMC Update) v0.25_NRA_model_for_NEMO2 (EMC Update) v0.29.2_NRA_model_for_NEMO2 (EMC Update) v0.29.5_NRA_model_for_NEMO2 (EMC Update) v0 30 1" xfId="914" xr:uid="{00000000-0005-0000-0000-000092030000}"/>
    <cellStyle name="%_NRA_model_for_NEMO2 (EMC Update) v0.20_NRA_model_for_NEMO2 (EMC Update) v0.22_NRA_model_for_NEMO2 (EMC Update) v0.25_NRA_model_for_NEMO2 (EMC Update) v0.29.3" xfId="915" xr:uid="{00000000-0005-0000-0000-000093030000}"/>
    <cellStyle name="%_NRA_model_for_NEMO2 (EMC Update) v0.20_NRA_model_for_NEMO2 (EMC Update) v0.22_NRA_model_for_NEMO2 (EMC Update) v0.25_NRA_model_for_NEMO2 (EMC Update) v0.29.3_NRA_model_for_NEMO2 (EMC Update) v0 30 1" xfId="916" xr:uid="{00000000-0005-0000-0000-000094030000}"/>
    <cellStyle name="%_NRA_model_for_NEMO2 (EMC Update) v0.20_NRA_model_for_NEMO2 (EMC Update) v0.22_NRA_model_for_NEMO2 (EMC Update) v0.25_NRA_model_for_NEMO2 (EMC Update) v0.29.3_NRA_model_for_NEMO2 (EMC Update) v0.29.5" xfId="917" xr:uid="{00000000-0005-0000-0000-000095030000}"/>
    <cellStyle name="%_NRA_model_for_NEMO2 (EMC Update) v0.20_NRA_model_for_NEMO2 (EMC Update) v0.22_NRA_model_for_NEMO2 (EMC Update) v0.25_NRA_model_for_NEMO2 (EMC Update) v0.29.3_NRA_model_for_NEMO2 (EMC Update) v0.29.5_NRA_model_for_NEMO2 (EMC Update) v0 30 1" xfId="918" xr:uid="{00000000-0005-0000-0000-000096030000}"/>
    <cellStyle name="%_NRA_model_for_NEMO2 (EMC Update) v0.20_NRA_model_for_NEMO2 (EMC Update) v0.22_NRA_model_for_NEMO2 (EMC Update) v0.25_NRA_model_for_NEMO2 (EMC Update) v0.29.4" xfId="919" xr:uid="{00000000-0005-0000-0000-000097030000}"/>
    <cellStyle name="%_NRA_model_for_NEMO2 (EMC Update) v0.20_NRA_model_for_NEMO2 (EMC Update) v0.22_NRA_model_for_NEMO2 (EMC Update) v0.25_NRA_model_for_NEMO2 (EMC Update) v0.29.4_NRA_model_for_NEMO2 (EMC Update) v0 30 1" xfId="920" xr:uid="{00000000-0005-0000-0000-000098030000}"/>
    <cellStyle name="%_NRA_model_for_NEMO2 (EMC Update) v0.20_NRA_model_for_NEMO2 (EMC Update) v0.22_NRA_model_for_NEMO2 (EMC Update) v0.25_NRA_model_for_NEMO2 (EMC Update) v0.29.4_NRA_model_for_NEMO2 (EMC Update) v0.29.5" xfId="921" xr:uid="{00000000-0005-0000-0000-000099030000}"/>
    <cellStyle name="%_NRA_model_for_NEMO2 (EMC Update) v0.20_NRA_model_for_NEMO2 (EMC Update) v0.22_NRA_model_for_NEMO2 (EMC Update) v0.25_NRA_model_for_NEMO2 (EMC Update) v0.29.4_NRA_model_for_NEMO2 (EMC Update) v0.29.5_NRA_model_for_NEMO2 (EMC Update) v0 30 1" xfId="922" xr:uid="{00000000-0005-0000-0000-00009A030000}"/>
    <cellStyle name="%_NRA_model_for_NEMO2 (EMC Update) v0.20_NRA_model_for_NEMO2 (EMC Update) v0.22_NRA_model_for_NEMO2 (EMC Update) v0.25_NRA_model_for_NEMO2 (EMC Update) v0.29.5" xfId="923" xr:uid="{00000000-0005-0000-0000-00009B030000}"/>
    <cellStyle name="%_NRA_model_for_NEMO2 (EMC Update) v0.20_NRA_model_for_NEMO2 (EMC Update) v0.22_NRA_model_for_NEMO2 (EMC Update) v0.25_NRA_model_for_NEMO2 (EMC Update) v0.29.5_NRA_model_for_NEMO2 (EMC Update) v0 30 1" xfId="924" xr:uid="{00000000-0005-0000-0000-00009C030000}"/>
    <cellStyle name="%_NRA_model_for_NEMO2 (EMC Update) v0.20_NRA_model_for_NEMO2 (EMC Update) v0.22_NRA_model_for_NEMO2 (EMC Update) v0.26" xfId="939" xr:uid="{00000000-0005-0000-0000-0000AB030000}"/>
    <cellStyle name="%_NRA_model_for_NEMO2 (EMC Update) v0.20_NRA_model_for_NEMO2 (EMC Update) v0.22_NRA_model_for_NEMO2 (EMC Update) v0.26_NRA_model_for_NEMO2 (EMC Update) v0 30 1" xfId="940" xr:uid="{00000000-0005-0000-0000-0000AC030000}"/>
    <cellStyle name="%_NRA_model_for_NEMO2 (EMC Update) v0.20_NRA_model_for_NEMO2 (EMC Update) v0.22_NRA_model_for_NEMO2 (EMC Update) v0.26_NRA_model_for_NEMO2 (EMC Update) v0.29" xfId="941" xr:uid="{00000000-0005-0000-0000-0000AD030000}"/>
    <cellStyle name="%_NRA_model_for_NEMO2 (EMC Update) v0.20_NRA_model_for_NEMO2 (EMC Update) v0.22_NRA_model_for_NEMO2 (EMC Update) v0.26_NRA_model_for_NEMO2 (EMC Update) v0.29_NRA_model_for_NEMO2 (EMC Update) v0 30 1" xfId="962" xr:uid="{00000000-0005-0000-0000-0000C2030000}"/>
    <cellStyle name="%_NRA_model_for_NEMO2 (EMC Update) v0.20_NRA_model_for_NEMO2 (EMC Update) v0.22_NRA_model_for_NEMO2 (EMC Update) v0.26_NRA_model_for_NEMO2 (EMC Update) v0.29_NRA_model_for_NEMO2 (EMC Update) v0.29.2" xfId="963" xr:uid="{00000000-0005-0000-0000-0000C3030000}"/>
    <cellStyle name="%_NRA_model_for_NEMO2 (EMC Update) v0.20_NRA_model_for_NEMO2 (EMC Update) v0.22_NRA_model_for_NEMO2 (EMC Update) v0.26_NRA_model_for_NEMO2 (EMC Update) v0.29_NRA_model_for_NEMO2 (EMC Update) v0.29.2_NRA_model_for_NEMO2 (EMC Update) v0 30 1" xfId="964" xr:uid="{00000000-0005-0000-0000-0000C4030000}"/>
    <cellStyle name="%_NRA_model_for_NEMO2 (EMC Update) v0.20_NRA_model_for_NEMO2 (EMC Update) v0.22_NRA_model_for_NEMO2 (EMC Update) v0.26_NRA_model_for_NEMO2 (EMC Update) v0.29_NRA_model_for_NEMO2 (EMC Update) v0.29.2_NRA_model_for_NEMO2 (EMC Update) v0.29.3" xfId="965" xr:uid="{00000000-0005-0000-0000-0000C5030000}"/>
    <cellStyle name="%_NRA_model_for_NEMO2 (EMC Update) v0.20_NRA_model_for_NEMO2 (EMC Update) v0.22_NRA_model_for_NEMO2 (EMC Update) v0.26_NRA_model_for_NEMO2 (EMC Update) v0.29_NRA_model_for_NEMO2 (EMC Update) v0.29.2_NRA_model_for_NEMO2 (EMC Update) v0.29.4" xfId="966" xr:uid="{00000000-0005-0000-0000-0000C6030000}"/>
    <cellStyle name="%_NRA_model_for_NEMO2 (EMC Update) v0.20_NRA_model_for_NEMO2 (EMC Update) v0.22_NRA_model_for_NEMO2 (EMC Update) v0.26_NRA_model_for_NEMO2 (EMC Update) v0.29_NRA_model_for_NEMO2 (EMC Update) v0.29.2_NRA_model_for_NEMO2 (EMC Update) v0.29.5" xfId="967" xr:uid="{00000000-0005-0000-0000-0000C7030000}"/>
    <cellStyle name="%_NRA_model_for_NEMO2 (EMC Update) v0.20_NRA_model_for_NEMO2 (EMC Update) v0.22_NRA_model_for_NEMO2 (EMC Update) v0.26_NRA_model_for_NEMO2 (EMC Update) v0.29_NRA_model_for_NEMO2 (EMC Update) v0.29.3" xfId="968" xr:uid="{00000000-0005-0000-0000-0000C8030000}"/>
    <cellStyle name="%_NRA_model_for_NEMO2 (EMC Update) v0.20_NRA_model_for_NEMO2 (EMC Update) v0.22_NRA_model_for_NEMO2 (EMC Update) v0.26_NRA_model_for_NEMO2 (EMC Update) v0.29_NRA_model_for_NEMO2 (EMC Update) v0.29.3_NRA_model_for_NEMO2 (EMC Update) v0 30 1" xfId="969" xr:uid="{00000000-0005-0000-0000-0000C9030000}"/>
    <cellStyle name="%_NRA_model_for_NEMO2 (EMC Update) v0.20_NRA_model_for_NEMO2 (EMC Update) v0.22_NRA_model_for_NEMO2 (EMC Update) v0.26_NRA_model_for_NEMO2 (EMC Update) v0.29_NRA_model_for_NEMO2 (EMC Update) v0.29.3_NRA_model_for_NEMO2 (EMC Update) v0.29.5" xfId="970" xr:uid="{00000000-0005-0000-0000-0000CA030000}"/>
    <cellStyle name="%_NRA_model_for_NEMO2 (EMC Update) v0.20_NRA_model_for_NEMO2 (EMC Update) v0.22_NRA_model_for_NEMO2 (EMC Update) v0.26_NRA_model_for_NEMO2 (EMC Update) v0.29_NRA_model_for_NEMO2 (EMC Update) v0.29.4" xfId="971" xr:uid="{00000000-0005-0000-0000-0000CB030000}"/>
    <cellStyle name="%_NRA_model_for_NEMO2 (EMC Update) v0.20_NRA_model_for_NEMO2 (EMC Update) v0.22_NRA_model_for_NEMO2 (EMC Update) v0.26_NRA_model_for_NEMO2 (EMC Update) v0.29_NRA_model_for_NEMO2 (EMC Update) v0.29.4_NRA_model_for_NEMO2 (EMC Update) v0 30 1" xfId="972" xr:uid="{00000000-0005-0000-0000-0000CC030000}"/>
    <cellStyle name="%_NRA_model_for_NEMO2 (EMC Update) v0.20_NRA_model_for_NEMO2 (EMC Update) v0.22_NRA_model_for_NEMO2 (EMC Update) v0.26_NRA_model_for_NEMO2 (EMC Update) v0.29_NRA_model_for_NEMO2 (EMC Update) v0.29.4_NRA_model_for_NEMO2 (EMC Update) v0.29.5" xfId="973" xr:uid="{00000000-0005-0000-0000-0000CD030000}"/>
    <cellStyle name="%_NRA_model_for_NEMO2 (EMC Update) v0.20_NRA_model_for_NEMO2 (EMC Update) v0.22_NRA_model_for_NEMO2 (EMC Update) v0.26_NRA_model_for_NEMO2 (EMC Update) v0.29_NRA_model_for_NEMO2 (EMC Update) v0.29.5" xfId="974" xr:uid="{00000000-0005-0000-0000-0000CE030000}"/>
    <cellStyle name="%_NRA_model_for_NEMO2 (EMC Update) v0.20_NRA_model_for_NEMO2 (EMC Update) v0.22_NRA_model_for_NEMO2 (EMC Update) v0.26_NRA_model_for_NEMO2 (EMC Update) v0.29_NRA_model_for_NEMO2 (EMC Update) v0.29.5_NRA_model_for_NEMO2 (EMC Update) v0 30 1" xfId="975" xr:uid="{00000000-0005-0000-0000-0000CF030000}"/>
    <cellStyle name="%_NRA_model_for_NEMO2 (EMC Update) v0.20_NRA_model_for_NEMO2 (EMC Update) v0.22_NRA_model_for_NEMO2 (EMC Update) v0.26_NRA_model_for_NEMO2 (EMC Update) v0.29.2" xfId="942" xr:uid="{00000000-0005-0000-0000-0000AE030000}"/>
    <cellStyle name="%_NRA_model_for_NEMO2 (EMC Update) v0.20_NRA_model_for_NEMO2 (EMC Update) v0.22_NRA_model_for_NEMO2 (EMC Update) v0.26_NRA_model_for_NEMO2 (EMC Update) v0.29.2_NRA_model_for_NEMO2 (EMC Update) v0 30 1" xfId="943" xr:uid="{00000000-0005-0000-0000-0000AF030000}"/>
    <cellStyle name="%_NRA_model_for_NEMO2 (EMC Update) v0.20_NRA_model_for_NEMO2 (EMC Update) v0.22_NRA_model_for_NEMO2 (EMC Update) v0.26_NRA_model_for_NEMO2 (EMC Update) v0.29.2_NRA_model_for_NEMO2 (EMC Update) v0.29.3" xfId="944" xr:uid="{00000000-0005-0000-0000-0000B0030000}"/>
    <cellStyle name="%_NRA_model_for_NEMO2 (EMC Update) v0.20_NRA_model_for_NEMO2 (EMC Update) v0.22_NRA_model_for_NEMO2 (EMC Update) v0.26_NRA_model_for_NEMO2 (EMC Update) v0.29.2_NRA_model_for_NEMO2 (EMC Update) v0.29.3_NRA_model_for_NEMO2 (EMC Update) v0 30 1" xfId="945" xr:uid="{00000000-0005-0000-0000-0000B1030000}"/>
    <cellStyle name="%_NRA_model_for_NEMO2 (EMC Update) v0.20_NRA_model_for_NEMO2 (EMC Update) v0.22_NRA_model_for_NEMO2 (EMC Update) v0.26_NRA_model_for_NEMO2 (EMC Update) v0.29.2_NRA_model_for_NEMO2 (EMC Update) v0.29.3_NRA_model_for_NEMO2 (EMC Update) v0.29.5" xfId="946" xr:uid="{00000000-0005-0000-0000-0000B2030000}"/>
    <cellStyle name="%_NRA_model_for_NEMO2 (EMC Update) v0.20_NRA_model_for_NEMO2 (EMC Update) v0.22_NRA_model_for_NEMO2 (EMC Update) v0.26_NRA_model_for_NEMO2 (EMC Update) v0.29.2_NRA_model_for_NEMO2 (EMC Update) v0.29.4" xfId="947" xr:uid="{00000000-0005-0000-0000-0000B3030000}"/>
    <cellStyle name="%_NRA_model_for_NEMO2 (EMC Update) v0.20_NRA_model_for_NEMO2 (EMC Update) v0.22_NRA_model_for_NEMO2 (EMC Update) v0.26_NRA_model_for_NEMO2 (EMC Update) v0.29.2_NRA_model_for_NEMO2 (EMC Update) v0.29.4_NRA_model_for_NEMO2 (EMC Update) v0 30 1" xfId="948" xr:uid="{00000000-0005-0000-0000-0000B4030000}"/>
    <cellStyle name="%_NRA_model_for_NEMO2 (EMC Update) v0.20_NRA_model_for_NEMO2 (EMC Update) v0.22_NRA_model_for_NEMO2 (EMC Update) v0.26_NRA_model_for_NEMO2 (EMC Update) v0.29.2_NRA_model_for_NEMO2 (EMC Update) v0.29.4_NRA_model_for_NEMO2 (EMC Update) v0.29.5" xfId="949" xr:uid="{00000000-0005-0000-0000-0000B5030000}"/>
    <cellStyle name="%_NRA_model_for_NEMO2 (EMC Update) v0.20_NRA_model_for_NEMO2 (EMC Update) v0.22_NRA_model_for_NEMO2 (EMC Update) v0.26_NRA_model_for_NEMO2 (EMC Update) v0.29.2_NRA_model_for_NEMO2 (EMC Update) v0.29.5" xfId="950" xr:uid="{00000000-0005-0000-0000-0000B6030000}"/>
    <cellStyle name="%_NRA_model_for_NEMO2 (EMC Update) v0.20_NRA_model_for_NEMO2 (EMC Update) v0.22_NRA_model_for_NEMO2 (EMC Update) v0.26_NRA_model_for_NEMO2 (EMC Update) v0.29.2_NRA_model_for_NEMO2 (EMC Update) v0.29.5_NRA_model_for_NEMO2 (EMC Update) v0 30 1" xfId="951" xr:uid="{00000000-0005-0000-0000-0000B7030000}"/>
    <cellStyle name="%_NRA_model_for_NEMO2 (EMC Update) v0.20_NRA_model_for_NEMO2 (EMC Update) v0.22_NRA_model_for_NEMO2 (EMC Update) v0.26_NRA_model_for_NEMO2 (EMC Update) v0.29.3" xfId="952" xr:uid="{00000000-0005-0000-0000-0000B8030000}"/>
    <cellStyle name="%_NRA_model_for_NEMO2 (EMC Update) v0.20_NRA_model_for_NEMO2 (EMC Update) v0.22_NRA_model_for_NEMO2 (EMC Update) v0.26_NRA_model_for_NEMO2 (EMC Update) v0.29.3_NRA_model_for_NEMO2 (EMC Update) v0 30 1" xfId="953" xr:uid="{00000000-0005-0000-0000-0000B9030000}"/>
    <cellStyle name="%_NRA_model_for_NEMO2 (EMC Update) v0.20_NRA_model_for_NEMO2 (EMC Update) v0.22_NRA_model_for_NEMO2 (EMC Update) v0.26_NRA_model_for_NEMO2 (EMC Update) v0.29.3_NRA_model_for_NEMO2 (EMC Update) v0.29.5" xfId="954" xr:uid="{00000000-0005-0000-0000-0000BA030000}"/>
    <cellStyle name="%_NRA_model_for_NEMO2 (EMC Update) v0.20_NRA_model_for_NEMO2 (EMC Update) v0.22_NRA_model_for_NEMO2 (EMC Update) v0.26_NRA_model_for_NEMO2 (EMC Update) v0.29.3_NRA_model_for_NEMO2 (EMC Update) v0.29.5_NRA_model_for_NEMO2 (EMC Update) v0 30 1" xfId="955" xr:uid="{00000000-0005-0000-0000-0000BB030000}"/>
    <cellStyle name="%_NRA_model_for_NEMO2 (EMC Update) v0.20_NRA_model_for_NEMO2 (EMC Update) v0.22_NRA_model_for_NEMO2 (EMC Update) v0.26_NRA_model_for_NEMO2 (EMC Update) v0.29.4" xfId="956" xr:uid="{00000000-0005-0000-0000-0000BC030000}"/>
    <cellStyle name="%_NRA_model_for_NEMO2 (EMC Update) v0.20_NRA_model_for_NEMO2 (EMC Update) v0.22_NRA_model_for_NEMO2 (EMC Update) v0.26_NRA_model_for_NEMO2 (EMC Update) v0.29.4_NRA_model_for_NEMO2 (EMC Update) v0 30 1" xfId="957" xr:uid="{00000000-0005-0000-0000-0000BD030000}"/>
    <cellStyle name="%_NRA_model_for_NEMO2 (EMC Update) v0.20_NRA_model_for_NEMO2 (EMC Update) v0.22_NRA_model_for_NEMO2 (EMC Update) v0.26_NRA_model_for_NEMO2 (EMC Update) v0.29.4_NRA_model_for_NEMO2 (EMC Update) v0.29.5" xfId="958" xr:uid="{00000000-0005-0000-0000-0000BE030000}"/>
    <cellStyle name="%_NRA_model_for_NEMO2 (EMC Update) v0.20_NRA_model_for_NEMO2 (EMC Update) v0.22_NRA_model_for_NEMO2 (EMC Update) v0.26_NRA_model_for_NEMO2 (EMC Update) v0.29.4_NRA_model_for_NEMO2 (EMC Update) v0.29.5_NRA_model_for_NEMO2 (EMC Update) v0 30 1" xfId="959" xr:uid="{00000000-0005-0000-0000-0000BF030000}"/>
    <cellStyle name="%_NRA_model_for_NEMO2 (EMC Update) v0.20_NRA_model_for_NEMO2 (EMC Update) v0.22_NRA_model_for_NEMO2 (EMC Update) v0.26_NRA_model_for_NEMO2 (EMC Update) v0.29.5" xfId="960" xr:uid="{00000000-0005-0000-0000-0000C0030000}"/>
    <cellStyle name="%_NRA_model_for_NEMO2 (EMC Update) v0.20_NRA_model_for_NEMO2 (EMC Update) v0.22_NRA_model_for_NEMO2 (EMC Update) v0.26_NRA_model_for_NEMO2 (EMC Update) v0.29.5_NRA_model_for_NEMO2 (EMC Update) v0 30 1" xfId="961" xr:uid="{00000000-0005-0000-0000-0000C1030000}"/>
    <cellStyle name="%_NRA_model_for_NEMO2 (EMC Update) v0.20_NRA_model_for_NEMO2 (EMC Update) v0.22_NRA_model_for_NEMO2 (EMC Update) v0.29" xfId="976" xr:uid="{00000000-0005-0000-0000-0000D0030000}"/>
    <cellStyle name="%_NRA_model_for_NEMO2 (EMC Update) v0.20_NRA_model_for_NEMO2 (EMC Update) v0.22_NRA_model_for_NEMO2 (EMC Update) v0.29_NRA_model_for_NEMO2 (EMC Update) v0 30 1" xfId="999" xr:uid="{00000000-0005-0000-0000-0000E7030000}"/>
    <cellStyle name="%_NRA_model_for_NEMO2 (EMC Update) v0.20_NRA_model_for_NEMO2 (EMC Update) v0.22_NRA_model_for_NEMO2 (EMC Update) v0.29_NRA_model_for_NEMO2 (EMC Update) v0.29.2" xfId="1000" xr:uid="{00000000-0005-0000-0000-0000E8030000}"/>
    <cellStyle name="%_NRA_model_for_NEMO2 (EMC Update) v0.20_NRA_model_for_NEMO2 (EMC Update) v0.22_NRA_model_for_NEMO2 (EMC Update) v0.29_NRA_model_for_NEMO2 (EMC Update) v0.29.2_NRA_model_for_NEMO2 (EMC Update) v0 30 1" xfId="1001" xr:uid="{00000000-0005-0000-0000-0000E9030000}"/>
    <cellStyle name="%_NRA_model_for_NEMO2 (EMC Update) v0.20_NRA_model_for_NEMO2 (EMC Update) v0.22_NRA_model_for_NEMO2 (EMC Update) v0.29_NRA_model_for_NEMO2 (EMC Update) v0.29.2_NRA_model_for_NEMO2 (EMC Update) v0.29.3" xfId="1002" xr:uid="{00000000-0005-0000-0000-0000EA030000}"/>
    <cellStyle name="%_NRA_model_for_NEMO2 (EMC Update) v0.20_NRA_model_for_NEMO2 (EMC Update) v0.22_NRA_model_for_NEMO2 (EMC Update) v0.29_NRA_model_for_NEMO2 (EMC Update) v0.29.2_NRA_model_for_NEMO2 (EMC Update) v0.29.3_NRA_model_for_NEMO2 (EMC Update) v0 30 1" xfId="1003" xr:uid="{00000000-0005-0000-0000-0000EB030000}"/>
    <cellStyle name="%_NRA_model_for_NEMO2 (EMC Update) v0.20_NRA_model_for_NEMO2 (EMC Update) v0.22_NRA_model_for_NEMO2 (EMC Update) v0.29_NRA_model_for_NEMO2 (EMC Update) v0.29.2_NRA_model_for_NEMO2 (EMC Update) v0.29.3_NRA_model_for_NEMO2 (EMC Update) v0.29.5" xfId="1004" xr:uid="{00000000-0005-0000-0000-0000EC030000}"/>
    <cellStyle name="%_NRA_model_for_NEMO2 (EMC Update) v0.20_NRA_model_for_NEMO2 (EMC Update) v0.22_NRA_model_for_NEMO2 (EMC Update) v0.29_NRA_model_for_NEMO2 (EMC Update) v0.29.2_NRA_model_for_NEMO2 (EMC Update) v0.29.4" xfId="1005" xr:uid="{00000000-0005-0000-0000-0000ED030000}"/>
    <cellStyle name="%_NRA_model_for_NEMO2 (EMC Update) v0.20_NRA_model_for_NEMO2 (EMC Update) v0.22_NRA_model_for_NEMO2 (EMC Update) v0.29_NRA_model_for_NEMO2 (EMC Update) v0.29.2_NRA_model_for_NEMO2 (EMC Update) v0.29.4_NRA_model_for_NEMO2 (EMC Update) v0 30 1" xfId="1006" xr:uid="{00000000-0005-0000-0000-0000EE030000}"/>
    <cellStyle name="%_NRA_model_for_NEMO2 (EMC Update) v0.20_NRA_model_for_NEMO2 (EMC Update) v0.22_NRA_model_for_NEMO2 (EMC Update) v0.29_NRA_model_for_NEMO2 (EMC Update) v0.29.2_NRA_model_for_NEMO2 (EMC Update) v0.29.4_NRA_model_for_NEMO2 (EMC Update) v0.29.5" xfId="1007" xr:uid="{00000000-0005-0000-0000-0000EF030000}"/>
    <cellStyle name="%_NRA_model_for_NEMO2 (EMC Update) v0.20_NRA_model_for_NEMO2 (EMC Update) v0.22_NRA_model_for_NEMO2 (EMC Update) v0.29_NRA_model_for_NEMO2 (EMC Update) v0.29.2_NRA_model_for_NEMO2 (EMC Update) v0.29.5" xfId="1008" xr:uid="{00000000-0005-0000-0000-0000F0030000}"/>
    <cellStyle name="%_NRA_model_for_NEMO2 (EMC Update) v0.20_NRA_model_for_NEMO2 (EMC Update) v0.22_NRA_model_for_NEMO2 (EMC Update) v0.29_NRA_model_for_NEMO2 (EMC Update) v0.29.2_NRA_model_for_NEMO2 (EMC Update) v0.29.5_NRA_model_for_NEMO2 (EMC Update) v0 30 1" xfId="1009" xr:uid="{00000000-0005-0000-0000-0000F1030000}"/>
    <cellStyle name="%_NRA_model_for_NEMO2 (EMC Update) v0.20_NRA_model_for_NEMO2 (EMC Update) v0.22_NRA_model_for_NEMO2 (EMC Update) v0.29_NRA_model_for_NEMO2 (EMC Update) v0.29.3" xfId="1010" xr:uid="{00000000-0005-0000-0000-0000F2030000}"/>
    <cellStyle name="%_NRA_model_for_NEMO2 (EMC Update) v0.20_NRA_model_for_NEMO2 (EMC Update) v0.22_NRA_model_for_NEMO2 (EMC Update) v0.29_NRA_model_for_NEMO2 (EMC Update) v0.29.3_NRA_model_for_NEMO2 (EMC Update) v0 30 1" xfId="1011" xr:uid="{00000000-0005-0000-0000-0000F3030000}"/>
    <cellStyle name="%_NRA_model_for_NEMO2 (EMC Update) v0.20_NRA_model_for_NEMO2 (EMC Update) v0.22_NRA_model_for_NEMO2 (EMC Update) v0.29_NRA_model_for_NEMO2 (EMC Update) v0.29.3_NRA_model_for_NEMO2 (EMC Update) v0.29.5" xfId="1012" xr:uid="{00000000-0005-0000-0000-0000F4030000}"/>
    <cellStyle name="%_NRA_model_for_NEMO2 (EMC Update) v0.20_NRA_model_for_NEMO2 (EMC Update) v0.22_NRA_model_for_NEMO2 (EMC Update) v0.29_NRA_model_for_NEMO2 (EMC Update) v0.29.3_NRA_model_for_NEMO2 (EMC Update) v0.29.5_NRA_model_for_NEMO2 (EMC Update) v0 30 1" xfId="1013" xr:uid="{00000000-0005-0000-0000-0000F5030000}"/>
    <cellStyle name="%_NRA_model_for_NEMO2 (EMC Update) v0.20_NRA_model_for_NEMO2 (EMC Update) v0.22_NRA_model_for_NEMO2 (EMC Update) v0.29_NRA_model_for_NEMO2 (EMC Update) v0.29.4" xfId="1014" xr:uid="{00000000-0005-0000-0000-0000F6030000}"/>
    <cellStyle name="%_NRA_model_for_NEMO2 (EMC Update) v0.20_NRA_model_for_NEMO2 (EMC Update) v0.22_NRA_model_for_NEMO2 (EMC Update) v0.29_NRA_model_for_NEMO2 (EMC Update) v0.29.4_NRA_model_for_NEMO2 (EMC Update) v0 30 1" xfId="1015" xr:uid="{00000000-0005-0000-0000-0000F7030000}"/>
    <cellStyle name="%_NRA_model_for_NEMO2 (EMC Update) v0.20_NRA_model_for_NEMO2 (EMC Update) v0.22_NRA_model_for_NEMO2 (EMC Update) v0.29_NRA_model_for_NEMO2 (EMC Update) v0.29.4_NRA_model_for_NEMO2 (EMC Update) v0.29.5" xfId="1016" xr:uid="{00000000-0005-0000-0000-0000F8030000}"/>
    <cellStyle name="%_NRA_model_for_NEMO2 (EMC Update) v0.20_NRA_model_for_NEMO2 (EMC Update) v0.22_NRA_model_for_NEMO2 (EMC Update) v0.29_NRA_model_for_NEMO2 (EMC Update) v0.29.4_NRA_model_for_NEMO2 (EMC Update) v0.29.5_NRA_model_for_NEMO2 (EMC Update) v0 30 1" xfId="1017" xr:uid="{00000000-0005-0000-0000-0000F9030000}"/>
    <cellStyle name="%_NRA_model_for_NEMO2 (EMC Update) v0.20_NRA_model_for_NEMO2 (EMC Update) v0.22_NRA_model_for_NEMO2 (EMC Update) v0.29_NRA_model_for_NEMO2 (EMC Update) v0.29.5" xfId="1018" xr:uid="{00000000-0005-0000-0000-0000FA030000}"/>
    <cellStyle name="%_NRA_model_for_NEMO2 (EMC Update) v0.20_NRA_model_for_NEMO2 (EMC Update) v0.22_NRA_model_for_NEMO2 (EMC Update) v0.29_NRA_model_for_NEMO2 (EMC Update) v0.29.5_NRA_model_for_NEMO2 (EMC Update) v0 30 1" xfId="1019" xr:uid="{00000000-0005-0000-0000-0000FB030000}"/>
    <cellStyle name="%_NRA_model_for_NEMO2 (EMC Update) v0.20_NRA_model_for_NEMO2 (EMC Update) v0.22_NRA_model_for_NEMO2 (EMC Update) v0.29.2" xfId="977" xr:uid="{00000000-0005-0000-0000-0000D1030000}"/>
    <cellStyle name="%_NRA_model_for_NEMO2 (EMC Update) v0.20_NRA_model_for_NEMO2 (EMC Update) v0.22_NRA_model_for_NEMO2 (EMC Update) v0.29.2_NRA_model_for_NEMO2 (EMC Update) v0 30 1" xfId="978" xr:uid="{00000000-0005-0000-0000-0000D2030000}"/>
    <cellStyle name="%_NRA_model_for_NEMO2 (EMC Update) v0.20_NRA_model_for_NEMO2 (EMC Update) v0.22_NRA_model_for_NEMO2 (EMC Update) v0.29.2_NRA_model_for_NEMO2 (EMC Update) v0.29.3" xfId="979" xr:uid="{00000000-0005-0000-0000-0000D3030000}"/>
    <cellStyle name="%_NRA_model_for_NEMO2 (EMC Update) v0.20_NRA_model_for_NEMO2 (EMC Update) v0.22_NRA_model_for_NEMO2 (EMC Update) v0.29.2_NRA_model_for_NEMO2 (EMC Update) v0.29.3_NRA_model_for_NEMO2 (EMC Update) v0 30 1" xfId="980" xr:uid="{00000000-0005-0000-0000-0000D4030000}"/>
    <cellStyle name="%_NRA_model_for_NEMO2 (EMC Update) v0.20_NRA_model_for_NEMO2 (EMC Update) v0.22_NRA_model_for_NEMO2 (EMC Update) v0.29.2_NRA_model_for_NEMO2 (EMC Update) v0.29.3_NRA_model_for_NEMO2 (EMC Update) v0.29.5" xfId="981" xr:uid="{00000000-0005-0000-0000-0000D5030000}"/>
    <cellStyle name="%_NRA_model_for_NEMO2 (EMC Update) v0.20_NRA_model_for_NEMO2 (EMC Update) v0.22_NRA_model_for_NEMO2 (EMC Update) v0.29.2_NRA_model_for_NEMO2 (EMC Update) v0.29.3_NRA_model_for_NEMO2 (EMC Update) v0.29.5_NRA_model_for_NEMO2 (EMC Update) v0 30 1" xfId="982" xr:uid="{00000000-0005-0000-0000-0000D6030000}"/>
    <cellStyle name="%_NRA_model_for_NEMO2 (EMC Update) v0.20_NRA_model_for_NEMO2 (EMC Update) v0.22_NRA_model_for_NEMO2 (EMC Update) v0.29.2_NRA_model_for_NEMO2 (EMC Update) v0.29.4" xfId="983" xr:uid="{00000000-0005-0000-0000-0000D7030000}"/>
    <cellStyle name="%_NRA_model_for_NEMO2 (EMC Update) v0.20_NRA_model_for_NEMO2 (EMC Update) v0.22_NRA_model_for_NEMO2 (EMC Update) v0.29.2_NRA_model_for_NEMO2 (EMC Update) v0.29.4_NRA_model_for_NEMO2 (EMC Update) v0 30 1" xfId="984" xr:uid="{00000000-0005-0000-0000-0000D8030000}"/>
    <cellStyle name="%_NRA_model_for_NEMO2 (EMC Update) v0.20_NRA_model_for_NEMO2 (EMC Update) v0.22_NRA_model_for_NEMO2 (EMC Update) v0.29.2_NRA_model_for_NEMO2 (EMC Update) v0.29.4_NRA_model_for_NEMO2 (EMC Update) v0.29.5" xfId="985" xr:uid="{00000000-0005-0000-0000-0000D9030000}"/>
    <cellStyle name="%_NRA_model_for_NEMO2 (EMC Update) v0.20_NRA_model_for_NEMO2 (EMC Update) v0.22_NRA_model_for_NEMO2 (EMC Update) v0.29.2_NRA_model_for_NEMO2 (EMC Update) v0.29.4_NRA_model_for_NEMO2 (EMC Update) v0.29.5_NRA_model_for_NEMO2 (EMC Update) v0 30 1" xfId="986" xr:uid="{00000000-0005-0000-0000-0000DA030000}"/>
    <cellStyle name="%_NRA_model_for_NEMO2 (EMC Update) v0.20_NRA_model_for_NEMO2 (EMC Update) v0.22_NRA_model_for_NEMO2 (EMC Update) v0.29.2_NRA_model_for_NEMO2 (EMC Update) v0.29.5" xfId="987" xr:uid="{00000000-0005-0000-0000-0000DB030000}"/>
    <cellStyle name="%_NRA_model_for_NEMO2 (EMC Update) v0.20_NRA_model_for_NEMO2 (EMC Update) v0.22_NRA_model_for_NEMO2 (EMC Update) v0.29.2_NRA_model_for_NEMO2 (EMC Update) v0.29.5_NRA_model_for_NEMO2 (EMC Update) v0 30 1" xfId="988" xr:uid="{00000000-0005-0000-0000-0000DC030000}"/>
    <cellStyle name="%_NRA_model_for_NEMO2 (EMC Update) v0.20_NRA_model_for_NEMO2 (EMC Update) v0.22_NRA_model_for_NEMO2 (EMC Update) v0.29.3" xfId="989" xr:uid="{00000000-0005-0000-0000-0000DD030000}"/>
    <cellStyle name="%_NRA_model_for_NEMO2 (EMC Update) v0.20_NRA_model_for_NEMO2 (EMC Update) v0.22_NRA_model_for_NEMO2 (EMC Update) v0.29.3_NRA_model_for_NEMO2 (EMC Update) v0 30 1" xfId="990" xr:uid="{00000000-0005-0000-0000-0000DE030000}"/>
    <cellStyle name="%_NRA_model_for_NEMO2 (EMC Update) v0.20_NRA_model_for_NEMO2 (EMC Update) v0.22_NRA_model_for_NEMO2 (EMC Update) v0.29.3_NRA_model_for_NEMO2 (EMC Update) v0.29.5" xfId="991" xr:uid="{00000000-0005-0000-0000-0000DF030000}"/>
    <cellStyle name="%_NRA_model_for_NEMO2 (EMC Update) v0.20_NRA_model_for_NEMO2 (EMC Update) v0.22_NRA_model_for_NEMO2 (EMC Update) v0.29.3_NRA_model_for_NEMO2 (EMC Update) v0.29.5_NRA_model_for_NEMO2 (EMC Update) v0 30 1" xfId="992" xr:uid="{00000000-0005-0000-0000-0000E0030000}"/>
    <cellStyle name="%_NRA_model_for_NEMO2 (EMC Update) v0.20_NRA_model_for_NEMO2 (EMC Update) v0.22_NRA_model_for_NEMO2 (EMC Update) v0.29.4" xfId="993" xr:uid="{00000000-0005-0000-0000-0000E1030000}"/>
    <cellStyle name="%_NRA_model_for_NEMO2 (EMC Update) v0.20_NRA_model_for_NEMO2 (EMC Update) v0.22_NRA_model_for_NEMO2 (EMC Update) v0.29.4_NRA_model_for_NEMO2 (EMC Update) v0 30 1" xfId="994" xr:uid="{00000000-0005-0000-0000-0000E2030000}"/>
    <cellStyle name="%_NRA_model_for_NEMO2 (EMC Update) v0.20_NRA_model_for_NEMO2 (EMC Update) v0.22_NRA_model_for_NEMO2 (EMC Update) v0.29.4_NRA_model_for_NEMO2 (EMC Update) v0.29.5" xfId="995" xr:uid="{00000000-0005-0000-0000-0000E3030000}"/>
    <cellStyle name="%_NRA_model_for_NEMO2 (EMC Update) v0.20_NRA_model_for_NEMO2 (EMC Update) v0.22_NRA_model_for_NEMO2 (EMC Update) v0.29.4_NRA_model_for_NEMO2 (EMC Update) v0.29.5_NRA_model_for_NEMO2 (EMC Update) v0 30 1" xfId="996" xr:uid="{00000000-0005-0000-0000-0000E4030000}"/>
    <cellStyle name="%_NRA_model_for_NEMO2 (EMC Update) v0.20_NRA_model_for_NEMO2 (EMC Update) v0.22_NRA_model_for_NEMO2 (EMC Update) v0.29.5" xfId="997" xr:uid="{00000000-0005-0000-0000-0000E5030000}"/>
    <cellStyle name="%_NRA_model_for_NEMO2 (EMC Update) v0.20_NRA_model_for_NEMO2 (EMC Update) v0.22_NRA_model_for_NEMO2 (EMC Update) v0.29.5_NRA_model_for_NEMO2 (EMC Update) v0 30 1" xfId="998" xr:uid="{00000000-0005-0000-0000-0000E6030000}"/>
    <cellStyle name="%_NRA_model_for_NEMO2 (EMC Update) v0.20_NRA_model_for_NEMO2 (EMC Update) v0.25" xfId="1020" xr:uid="{00000000-0005-0000-0000-0000FC030000}"/>
    <cellStyle name="%_NRA_model_for_NEMO2 (EMC Update) v0.20_NRA_model_for_NEMO2 (EMC Update) v0.25_NRA_model_for_NEMO2 (EMC Update) v0 30 1" xfId="1021" xr:uid="{00000000-0005-0000-0000-0000FD030000}"/>
    <cellStyle name="%_NRA_model_for_NEMO2 (EMC Update) v0.20_NRA_model_for_NEMO2 (EMC Update) v0.25_NRA_model_for_NEMO2 (EMC Update) v0.26" xfId="1022" xr:uid="{00000000-0005-0000-0000-0000FE030000}"/>
    <cellStyle name="%_NRA_model_for_NEMO2 (EMC Update) v0.20_NRA_model_for_NEMO2 (EMC Update) v0.25_NRA_model_for_NEMO2 (EMC Update) v0.26_NRA_model_for_NEMO2 (EMC Update) v0 30 1" xfId="1023" xr:uid="{00000000-0005-0000-0000-0000FF030000}"/>
    <cellStyle name="%_NRA_model_for_NEMO2 (EMC Update) v0.20_NRA_model_for_NEMO2 (EMC Update) v0.25_NRA_model_for_NEMO2 (EMC Update) v0.26_NRA_model_for_NEMO2 (EMC Update) v0.29" xfId="1024" xr:uid="{00000000-0005-0000-0000-000000040000}"/>
    <cellStyle name="%_NRA_model_for_NEMO2 (EMC Update) v0.20_NRA_model_for_NEMO2 (EMC Update) v0.25_NRA_model_for_NEMO2 (EMC Update) v0.26_NRA_model_for_NEMO2 (EMC Update) v0.29_NRA_model_for_NEMO2 (EMC Update) v0 30 1" xfId="1045" xr:uid="{00000000-0005-0000-0000-000015040000}"/>
    <cellStyle name="%_NRA_model_for_NEMO2 (EMC Update) v0.20_NRA_model_for_NEMO2 (EMC Update) v0.25_NRA_model_for_NEMO2 (EMC Update) v0.26_NRA_model_for_NEMO2 (EMC Update) v0.29_NRA_model_for_NEMO2 (EMC Update) v0.29.2" xfId="1046" xr:uid="{00000000-0005-0000-0000-000016040000}"/>
    <cellStyle name="%_NRA_model_for_NEMO2 (EMC Update) v0.20_NRA_model_for_NEMO2 (EMC Update) v0.25_NRA_model_for_NEMO2 (EMC Update) v0.26_NRA_model_for_NEMO2 (EMC Update) v0.29_NRA_model_for_NEMO2 (EMC Update) v0.29.2_NRA_model_for_NEMO2 (EMC Update) v0 30 1" xfId="1047" xr:uid="{00000000-0005-0000-0000-000017040000}"/>
    <cellStyle name="%_NRA_model_for_NEMO2 (EMC Update) v0.20_NRA_model_for_NEMO2 (EMC Update) v0.25_NRA_model_for_NEMO2 (EMC Update) v0.26_NRA_model_for_NEMO2 (EMC Update) v0.29_NRA_model_for_NEMO2 (EMC Update) v0.29.2_NRA_model_for_NEMO2 (EMC Update) v0.29.3" xfId="1048" xr:uid="{00000000-0005-0000-0000-000018040000}"/>
    <cellStyle name="%_NRA_model_for_NEMO2 (EMC Update) v0.20_NRA_model_for_NEMO2 (EMC Update) v0.25_NRA_model_for_NEMO2 (EMC Update) v0.26_NRA_model_for_NEMO2 (EMC Update) v0.29_NRA_model_for_NEMO2 (EMC Update) v0.29.2_NRA_model_for_NEMO2 (EMC Update) v0.29.4" xfId="1049" xr:uid="{00000000-0005-0000-0000-000019040000}"/>
    <cellStyle name="%_NRA_model_for_NEMO2 (EMC Update) v0.20_NRA_model_for_NEMO2 (EMC Update) v0.25_NRA_model_for_NEMO2 (EMC Update) v0.26_NRA_model_for_NEMO2 (EMC Update) v0.29_NRA_model_for_NEMO2 (EMC Update) v0.29.2_NRA_model_for_NEMO2 (EMC Update) v0.29.5" xfId="1050" xr:uid="{00000000-0005-0000-0000-00001A040000}"/>
    <cellStyle name="%_NRA_model_for_NEMO2 (EMC Update) v0.20_NRA_model_for_NEMO2 (EMC Update) v0.25_NRA_model_for_NEMO2 (EMC Update) v0.26_NRA_model_for_NEMO2 (EMC Update) v0.29_NRA_model_for_NEMO2 (EMC Update) v0.29.3" xfId="1051" xr:uid="{00000000-0005-0000-0000-00001B040000}"/>
    <cellStyle name="%_NRA_model_for_NEMO2 (EMC Update) v0.20_NRA_model_for_NEMO2 (EMC Update) v0.25_NRA_model_for_NEMO2 (EMC Update) v0.26_NRA_model_for_NEMO2 (EMC Update) v0.29_NRA_model_for_NEMO2 (EMC Update) v0.29.3_NRA_model_for_NEMO2 (EMC Update) v0 30 1" xfId="1052" xr:uid="{00000000-0005-0000-0000-00001C040000}"/>
    <cellStyle name="%_NRA_model_for_NEMO2 (EMC Update) v0.20_NRA_model_for_NEMO2 (EMC Update) v0.25_NRA_model_for_NEMO2 (EMC Update) v0.26_NRA_model_for_NEMO2 (EMC Update) v0.29_NRA_model_for_NEMO2 (EMC Update) v0.29.3_NRA_model_for_NEMO2 (EMC Update) v0.29.5" xfId="1053" xr:uid="{00000000-0005-0000-0000-00001D040000}"/>
    <cellStyle name="%_NRA_model_for_NEMO2 (EMC Update) v0.20_NRA_model_for_NEMO2 (EMC Update) v0.25_NRA_model_for_NEMO2 (EMC Update) v0.26_NRA_model_for_NEMO2 (EMC Update) v0.29_NRA_model_for_NEMO2 (EMC Update) v0.29.4" xfId="1054" xr:uid="{00000000-0005-0000-0000-00001E040000}"/>
    <cellStyle name="%_NRA_model_for_NEMO2 (EMC Update) v0.20_NRA_model_for_NEMO2 (EMC Update) v0.25_NRA_model_for_NEMO2 (EMC Update) v0.26_NRA_model_for_NEMO2 (EMC Update) v0.29_NRA_model_for_NEMO2 (EMC Update) v0.29.4_NRA_model_for_NEMO2 (EMC Update) v0 30 1" xfId="1055" xr:uid="{00000000-0005-0000-0000-00001F040000}"/>
    <cellStyle name="%_NRA_model_for_NEMO2 (EMC Update) v0.20_NRA_model_for_NEMO2 (EMC Update) v0.25_NRA_model_for_NEMO2 (EMC Update) v0.26_NRA_model_for_NEMO2 (EMC Update) v0.29_NRA_model_for_NEMO2 (EMC Update) v0.29.4_NRA_model_for_NEMO2 (EMC Update) v0.29.5" xfId="1056" xr:uid="{00000000-0005-0000-0000-000020040000}"/>
    <cellStyle name="%_NRA_model_for_NEMO2 (EMC Update) v0.20_NRA_model_for_NEMO2 (EMC Update) v0.25_NRA_model_for_NEMO2 (EMC Update) v0.26_NRA_model_for_NEMO2 (EMC Update) v0.29_NRA_model_for_NEMO2 (EMC Update) v0.29.5" xfId="1057" xr:uid="{00000000-0005-0000-0000-000021040000}"/>
    <cellStyle name="%_NRA_model_for_NEMO2 (EMC Update) v0.20_NRA_model_for_NEMO2 (EMC Update) v0.25_NRA_model_for_NEMO2 (EMC Update) v0.26_NRA_model_for_NEMO2 (EMC Update) v0.29_NRA_model_for_NEMO2 (EMC Update) v0.29.5_NRA_model_for_NEMO2 (EMC Update) v0 30 1" xfId="1058" xr:uid="{00000000-0005-0000-0000-000022040000}"/>
    <cellStyle name="%_NRA_model_for_NEMO2 (EMC Update) v0.20_NRA_model_for_NEMO2 (EMC Update) v0.25_NRA_model_for_NEMO2 (EMC Update) v0.26_NRA_model_for_NEMO2 (EMC Update) v0.29.2" xfId="1025" xr:uid="{00000000-0005-0000-0000-000001040000}"/>
    <cellStyle name="%_NRA_model_for_NEMO2 (EMC Update) v0.20_NRA_model_for_NEMO2 (EMC Update) v0.25_NRA_model_for_NEMO2 (EMC Update) v0.26_NRA_model_for_NEMO2 (EMC Update) v0.29.2_NRA_model_for_NEMO2 (EMC Update) v0 30 1" xfId="1026" xr:uid="{00000000-0005-0000-0000-000002040000}"/>
    <cellStyle name="%_NRA_model_for_NEMO2 (EMC Update) v0.20_NRA_model_for_NEMO2 (EMC Update) v0.25_NRA_model_for_NEMO2 (EMC Update) v0.26_NRA_model_for_NEMO2 (EMC Update) v0.29.2_NRA_model_for_NEMO2 (EMC Update) v0.29.3" xfId="1027" xr:uid="{00000000-0005-0000-0000-000003040000}"/>
    <cellStyle name="%_NRA_model_for_NEMO2 (EMC Update) v0.20_NRA_model_for_NEMO2 (EMC Update) v0.25_NRA_model_for_NEMO2 (EMC Update) v0.26_NRA_model_for_NEMO2 (EMC Update) v0.29.2_NRA_model_for_NEMO2 (EMC Update) v0.29.3_NRA_model_for_NEMO2 (EMC Update) v0 30 1" xfId="1028" xr:uid="{00000000-0005-0000-0000-000004040000}"/>
    <cellStyle name="%_NRA_model_for_NEMO2 (EMC Update) v0.20_NRA_model_for_NEMO2 (EMC Update) v0.25_NRA_model_for_NEMO2 (EMC Update) v0.26_NRA_model_for_NEMO2 (EMC Update) v0.29.2_NRA_model_for_NEMO2 (EMC Update) v0.29.3_NRA_model_for_NEMO2 (EMC Update) v0.29.5" xfId="1029" xr:uid="{00000000-0005-0000-0000-000005040000}"/>
    <cellStyle name="%_NRA_model_for_NEMO2 (EMC Update) v0.20_NRA_model_for_NEMO2 (EMC Update) v0.25_NRA_model_for_NEMO2 (EMC Update) v0.26_NRA_model_for_NEMO2 (EMC Update) v0.29.2_NRA_model_for_NEMO2 (EMC Update) v0.29.4" xfId="1030" xr:uid="{00000000-0005-0000-0000-000006040000}"/>
    <cellStyle name="%_NRA_model_for_NEMO2 (EMC Update) v0.20_NRA_model_for_NEMO2 (EMC Update) v0.25_NRA_model_for_NEMO2 (EMC Update) v0.26_NRA_model_for_NEMO2 (EMC Update) v0.29.2_NRA_model_for_NEMO2 (EMC Update) v0.29.4_NRA_model_for_NEMO2 (EMC Update) v0 30 1" xfId="1031" xr:uid="{00000000-0005-0000-0000-000007040000}"/>
    <cellStyle name="%_NRA_model_for_NEMO2 (EMC Update) v0.20_NRA_model_for_NEMO2 (EMC Update) v0.25_NRA_model_for_NEMO2 (EMC Update) v0.26_NRA_model_for_NEMO2 (EMC Update) v0.29.2_NRA_model_for_NEMO2 (EMC Update) v0.29.4_NRA_model_for_NEMO2 (EMC Update) v0.29.5" xfId="1032" xr:uid="{00000000-0005-0000-0000-000008040000}"/>
    <cellStyle name="%_NRA_model_for_NEMO2 (EMC Update) v0.20_NRA_model_for_NEMO2 (EMC Update) v0.25_NRA_model_for_NEMO2 (EMC Update) v0.26_NRA_model_for_NEMO2 (EMC Update) v0.29.2_NRA_model_for_NEMO2 (EMC Update) v0.29.5" xfId="1033" xr:uid="{00000000-0005-0000-0000-000009040000}"/>
    <cellStyle name="%_NRA_model_for_NEMO2 (EMC Update) v0.20_NRA_model_for_NEMO2 (EMC Update) v0.25_NRA_model_for_NEMO2 (EMC Update) v0.26_NRA_model_for_NEMO2 (EMC Update) v0.29.2_NRA_model_for_NEMO2 (EMC Update) v0.29.5_NRA_model_for_NEMO2 (EMC Update) v0 30 1" xfId="1034" xr:uid="{00000000-0005-0000-0000-00000A040000}"/>
    <cellStyle name="%_NRA_model_for_NEMO2 (EMC Update) v0.20_NRA_model_for_NEMO2 (EMC Update) v0.25_NRA_model_for_NEMO2 (EMC Update) v0.26_NRA_model_for_NEMO2 (EMC Update) v0.29.3" xfId="1035" xr:uid="{00000000-0005-0000-0000-00000B040000}"/>
    <cellStyle name="%_NRA_model_for_NEMO2 (EMC Update) v0.20_NRA_model_for_NEMO2 (EMC Update) v0.25_NRA_model_for_NEMO2 (EMC Update) v0.26_NRA_model_for_NEMO2 (EMC Update) v0.29.3_NRA_model_for_NEMO2 (EMC Update) v0 30 1" xfId="1036" xr:uid="{00000000-0005-0000-0000-00000C040000}"/>
    <cellStyle name="%_NRA_model_for_NEMO2 (EMC Update) v0.20_NRA_model_for_NEMO2 (EMC Update) v0.25_NRA_model_for_NEMO2 (EMC Update) v0.26_NRA_model_for_NEMO2 (EMC Update) v0.29.3_NRA_model_for_NEMO2 (EMC Update) v0.29.5" xfId="1037" xr:uid="{00000000-0005-0000-0000-00000D040000}"/>
    <cellStyle name="%_NRA_model_for_NEMO2 (EMC Update) v0.20_NRA_model_for_NEMO2 (EMC Update) v0.25_NRA_model_for_NEMO2 (EMC Update) v0.26_NRA_model_for_NEMO2 (EMC Update) v0.29.3_NRA_model_for_NEMO2 (EMC Update) v0.29.5_NRA_model_for_NEMO2 (EMC Update) v0 30 1" xfId="1038" xr:uid="{00000000-0005-0000-0000-00000E040000}"/>
    <cellStyle name="%_NRA_model_for_NEMO2 (EMC Update) v0.20_NRA_model_for_NEMO2 (EMC Update) v0.25_NRA_model_for_NEMO2 (EMC Update) v0.26_NRA_model_for_NEMO2 (EMC Update) v0.29.4" xfId="1039" xr:uid="{00000000-0005-0000-0000-00000F040000}"/>
    <cellStyle name="%_NRA_model_for_NEMO2 (EMC Update) v0.20_NRA_model_for_NEMO2 (EMC Update) v0.25_NRA_model_for_NEMO2 (EMC Update) v0.26_NRA_model_for_NEMO2 (EMC Update) v0.29.4_NRA_model_for_NEMO2 (EMC Update) v0 30 1" xfId="1040" xr:uid="{00000000-0005-0000-0000-000010040000}"/>
    <cellStyle name="%_NRA_model_for_NEMO2 (EMC Update) v0.20_NRA_model_for_NEMO2 (EMC Update) v0.25_NRA_model_for_NEMO2 (EMC Update) v0.26_NRA_model_for_NEMO2 (EMC Update) v0.29.4_NRA_model_for_NEMO2 (EMC Update) v0.29.5" xfId="1041" xr:uid="{00000000-0005-0000-0000-000011040000}"/>
    <cellStyle name="%_NRA_model_for_NEMO2 (EMC Update) v0.20_NRA_model_for_NEMO2 (EMC Update) v0.25_NRA_model_for_NEMO2 (EMC Update) v0.26_NRA_model_for_NEMO2 (EMC Update) v0.29.4_NRA_model_for_NEMO2 (EMC Update) v0.29.5_NRA_model_for_NEMO2 (EMC Update) v0 30 1" xfId="1042" xr:uid="{00000000-0005-0000-0000-000012040000}"/>
    <cellStyle name="%_NRA_model_for_NEMO2 (EMC Update) v0.20_NRA_model_for_NEMO2 (EMC Update) v0.25_NRA_model_for_NEMO2 (EMC Update) v0.26_NRA_model_for_NEMO2 (EMC Update) v0.29.5" xfId="1043" xr:uid="{00000000-0005-0000-0000-000013040000}"/>
    <cellStyle name="%_NRA_model_for_NEMO2 (EMC Update) v0.20_NRA_model_for_NEMO2 (EMC Update) v0.25_NRA_model_for_NEMO2 (EMC Update) v0.26_NRA_model_for_NEMO2 (EMC Update) v0.29.5_NRA_model_for_NEMO2 (EMC Update) v0 30 1" xfId="1044" xr:uid="{00000000-0005-0000-0000-000014040000}"/>
    <cellStyle name="%_NRA_model_for_NEMO2 (EMC Update) v0.20_NRA_model_for_NEMO2 (EMC Update) v0.25_NRA_model_for_NEMO2 (EMC Update) v0.29" xfId="1059" xr:uid="{00000000-0005-0000-0000-000023040000}"/>
    <cellStyle name="%_NRA_model_for_NEMO2 (EMC Update) v0.20_NRA_model_for_NEMO2 (EMC Update) v0.25_NRA_model_for_NEMO2 (EMC Update) v0.29_NRA_model_for_NEMO2 (EMC Update) v0 30 1" xfId="1082" xr:uid="{00000000-0005-0000-0000-00003A040000}"/>
    <cellStyle name="%_NRA_model_for_NEMO2 (EMC Update) v0.20_NRA_model_for_NEMO2 (EMC Update) v0.25_NRA_model_for_NEMO2 (EMC Update) v0.29_NRA_model_for_NEMO2 (EMC Update) v0.29.2" xfId="1083" xr:uid="{00000000-0005-0000-0000-00003B040000}"/>
    <cellStyle name="%_NRA_model_for_NEMO2 (EMC Update) v0.20_NRA_model_for_NEMO2 (EMC Update) v0.25_NRA_model_for_NEMO2 (EMC Update) v0.29_NRA_model_for_NEMO2 (EMC Update) v0.29.2_NRA_model_for_NEMO2 (EMC Update) v0 30 1" xfId="1084" xr:uid="{00000000-0005-0000-0000-00003C040000}"/>
    <cellStyle name="%_NRA_model_for_NEMO2 (EMC Update) v0.20_NRA_model_for_NEMO2 (EMC Update) v0.25_NRA_model_for_NEMO2 (EMC Update) v0.29_NRA_model_for_NEMO2 (EMC Update) v0.29.2_NRA_model_for_NEMO2 (EMC Update) v0.29.3" xfId="1085" xr:uid="{00000000-0005-0000-0000-00003D040000}"/>
    <cellStyle name="%_NRA_model_for_NEMO2 (EMC Update) v0.20_NRA_model_for_NEMO2 (EMC Update) v0.25_NRA_model_for_NEMO2 (EMC Update) v0.29_NRA_model_for_NEMO2 (EMC Update) v0.29.2_NRA_model_for_NEMO2 (EMC Update) v0.29.3_NRA_model_for_NEMO2 (EMC Update) v0 30 1" xfId="1086" xr:uid="{00000000-0005-0000-0000-00003E040000}"/>
    <cellStyle name="%_NRA_model_for_NEMO2 (EMC Update) v0.20_NRA_model_for_NEMO2 (EMC Update) v0.25_NRA_model_for_NEMO2 (EMC Update) v0.29_NRA_model_for_NEMO2 (EMC Update) v0.29.2_NRA_model_for_NEMO2 (EMC Update) v0.29.3_NRA_model_for_NEMO2 (EMC Update) v0.29.5" xfId="1087" xr:uid="{00000000-0005-0000-0000-00003F040000}"/>
    <cellStyle name="%_NRA_model_for_NEMO2 (EMC Update) v0.20_NRA_model_for_NEMO2 (EMC Update) v0.25_NRA_model_for_NEMO2 (EMC Update) v0.29_NRA_model_for_NEMO2 (EMC Update) v0.29.2_NRA_model_for_NEMO2 (EMC Update) v0.29.4" xfId="1088" xr:uid="{00000000-0005-0000-0000-000040040000}"/>
    <cellStyle name="%_NRA_model_for_NEMO2 (EMC Update) v0.20_NRA_model_for_NEMO2 (EMC Update) v0.25_NRA_model_for_NEMO2 (EMC Update) v0.29_NRA_model_for_NEMO2 (EMC Update) v0.29.2_NRA_model_for_NEMO2 (EMC Update) v0.29.4_NRA_model_for_NEMO2 (EMC Update) v0 30 1" xfId="1089" xr:uid="{00000000-0005-0000-0000-000041040000}"/>
    <cellStyle name="%_NRA_model_for_NEMO2 (EMC Update) v0.20_NRA_model_for_NEMO2 (EMC Update) v0.25_NRA_model_for_NEMO2 (EMC Update) v0.29_NRA_model_for_NEMO2 (EMC Update) v0.29.2_NRA_model_for_NEMO2 (EMC Update) v0.29.4_NRA_model_for_NEMO2 (EMC Update) v0.29.5" xfId="1090" xr:uid="{00000000-0005-0000-0000-000042040000}"/>
    <cellStyle name="%_NRA_model_for_NEMO2 (EMC Update) v0.20_NRA_model_for_NEMO2 (EMC Update) v0.25_NRA_model_for_NEMO2 (EMC Update) v0.29_NRA_model_for_NEMO2 (EMC Update) v0.29.2_NRA_model_for_NEMO2 (EMC Update) v0.29.5" xfId="1091" xr:uid="{00000000-0005-0000-0000-000043040000}"/>
    <cellStyle name="%_NRA_model_for_NEMO2 (EMC Update) v0.20_NRA_model_for_NEMO2 (EMC Update) v0.25_NRA_model_for_NEMO2 (EMC Update) v0.29_NRA_model_for_NEMO2 (EMC Update) v0.29.2_NRA_model_for_NEMO2 (EMC Update) v0.29.5_NRA_model_for_NEMO2 (EMC Update) v0 30 1" xfId="1092" xr:uid="{00000000-0005-0000-0000-000044040000}"/>
    <cellStyle name="%_NRA_model_for_NEMO2 (EMC Update) v0.20_NRA_model_for_NEMO2 (EMC Update) v0.25_NRA_model_for_NEMO2 (EMC Update) v0.29_NRA_model_for_NEMO2 (EMC Update) v0.29.3" xfId="1093" xr:uid="{00000000-0005-0000-0000-000045040000}"/>
    <cellStyle name="%_NRA_model_for_NEMO2 (EMC Update) v0.20_NRA_model_for_NEMO2 (EMC Update) v0.25_NRA_model_for_NEMO2 (EMC Update) v0.29_NRA_model_for_NEMO2 (EMC Update) v0.29.3_NRA_model_for_NEMO2 (EMC Update) v0 30 1" xfId="1094" xr:uid="{00000000-0005-0000-0000-000046040000}"/>
    <cellStyle name="%_NRA_model_for_NEMO2 (EMC Update) v0.20_NRA_model_for_NEMO2 (EMC Update) v0.25_NRA_model_for_NEMO2 (EMC Update) v0.29_NRA_model_for_NEMO2 (EMC Update) v0.29.3_NRA_model_for_NEMO2 (EMC Update) v0.29.5" xfId="1095" xr:uid="{00000000-0005-0000-0000-000047040000}"/>
    <cellStyle name="%_NRA_model_for_NEMO2 (EMC Update) v0.20_NRA_model_for_NEMO2 (EMC Update) v0.25_NRA_model_for_NEMO2 (EMC Update) v0.29_NRA_model_for_NEMO2 (EMC Update) v0.29.3_NRA_model_for_NEMO2 (EMC Update) v0.29.5_NRA_model_for_NEMO2 (EMC Update) v0 30 1" xfId="1096" xr:uid="{00000000-0005-0000-0000-000048040000}"/>
    <cellStyle name="%_NRA_model_for_NEMO2 (EMC Update) v0.20_NRA_model_for_NEMO2 (EMC Update) v0.25_NRA_model_for_NEMO2 (EMC Update) v0.29_NRA_model_for_NEMO2 (EMC Update) v0.29.4" xfId="1097" xr:uid="{00000000-0005-0000-0000-000049040000}"/>
    <cellStyle name="%_NRA_model_for_NEMO2 (EMC Update) v0.20_NRA_model_for_NEMO2 (EMC Update) v0.25_NRA_model_for_NEMO2 (EMC Update) v0.29_NRA_model_for_NEMO2 (EMC Update) v0.29.4_NRA_model_for_NEMO2 (EMC Update) v0 30 1" xfId="1098" xr:uid="{00000000-0005-0000-0000-00004A040000}"/>
    <cellStyle name="%_NRA_model_for_NEMO2 (EMC Update) v0.20_NRA_model_for_NEMO2 (EMC Update) v0.25_NRA_model_for_NEMO2 (EMC Update) v0.29_NRA_model_for_NEMO2 (EMC Update) v0.29.4_NRA_model_for_NEMO2 (EMC Update) v0.29.5" xfId="1099" xr:uid="{00000000-0005-0000-0000-00004B040000}"/>
    <cellStyle name="%_NRA_model_for_NEMO2 (EMC Update) v0.20_NRA_model_for_NEMO2 (EMC Update) v0.25_NRA_model_for_NEMO2 (EMC Update) v0.29_NRA_model_for_NEMO2 (EMC Update) v0.29.4_NRA_model_for_NEMO2 (EMC Update) v0.29.5_NRA_model_for_NEMO2 (EMC Update) v0 30 1" xfId="1100" xr:uid="{00000000-0005-0000-0000-00004C040000}"/>
    <cellStyle name="%_NRA_model_for_NEMO2 (EMC Update) v0.20_NRA_model_for_NEMO2 (EMC Update) v0.25_NRA_model_for_NEMO2 (EMC Update) v0.29_NRA_model_for_NEMO2 (EMC Update) v0.29.5" xfId="1101" xr:uid="{00000000-0005-0000-0000-00004D040000}"/>
    <cellStyle name="%_NRA_model_for_NEMO2 (EMC Update) v0.20_NRA_model_for_NEMO2 (EMC Update) v0.25_NRA_model_for_NEMO2 (EMC Update) v0.29_NRA_model_for_NEMO2 (EMC Update) v0.29.5_NRA_model_for_NEMO2 (EMC Update) v0 30 1" xfId="1102" xr:uid="{00000000-0005-0000-0000-00004E040000}"/>
    <cellStyle name="%_NRA_model_for_NEMO2 (EMC Update) v0.20_NRA_model_for_NEMO2 (EMC Update) v0.25_NRA_model_for_NEMO2 (EMC Update) v0.29.2" xfId="1060" xr:uid="{00000000-0005-0000-0000-000024040000}"/>
    <cellStyle name="%_NRA_model_for_NEMO2 (EMC Update) v0.20_NRA_model_for_NEMO2 (EMC Update) v0.25_NRA_model_for_NEMO2 (EMC Update) v0.29.2_NRA_model_for_NEMO2 (EMC Update) v0 30 1" xfId="1061" xr:uid="{00000000-0005-0000-0000-000025040000}"/>
    <cellStyle name="%_NRA_model_for_NEMO2 (EMC Update) v0.20_NRA_model_for_NEMO2 (EMC Update) v0.25_NRA_model_for_NEMO2 (EMC Update) v0.29.2_NRA_model_for_NEMO2 (EMC Update) v0.29.3" xfId="1062" xr:uid="{00000000-0005-0000-0000-000026040000}"/>
    <cellStyle name="%_NRA_model_for_NEMO2 (EMC Update) v0.20_NRA_model_for_NEMO2 (EMC Update) v0.25_NRA_model_for_NEMO2 (EMC Update) v0.29.2_NRA_model_for_NEMO2 (EMC Update) v0.29.3_NRA_model_for_NEMO2 (EMC Update) v0 30 1" xfId="1063" xr:uid="{00000000-0005-0000-0000-000027040000}"/>
    <cellStyle name="%_NRA_model_for_NEMO2 (EMC Update) v0.20_NRA_model_for_NEMO2 (EMC Update) v0.25_NRA_model_for_NEMO2 (EMC Update) v0.29.2_NRA_model_for_NEMO2 (EMC Update) v0.29.3_NRA_model_for_NEMO2 (EMC Update) v0.29.5" xfId="1064" xr:uid="{00000000-0005-0000-0000-000028040000}"/>
    <cellStyle name="%_NRA_model_for_NEMO2 (EMC Update) v0.20_NRA_model_for_NEMO2 (EMC Update) v0.25_NRA_model_for_NEMO2 (EMC Update) v0.29.2_NRA_model_for_NEMO2 (EMC Update) v0.29.3_NRA_model_for_NEMO2 (EMC Update) v0.29.5_NRA_model_for_NEMO2 (EMC Update) v0 30 1" xfId="1065" xr:uid="{00000000-0005-0000-0000-000029040000}"/>
    <cellStyle name="%_NRA_model_for_NEMO2 (EMC Update) v0.20_NRA_model_for_NEMO2 (EMC Update) v0.25_NRA_model_for_NEMO2 (EMC Update) v0.29.2_NRA_model_for_NEMO2 (EMC Update) v0.29.4" xfId="1066" xr:uid="{00000000-0005-0000-0000-00002A040000}"/>
    <cellStyle name="%_NRA_model_for_NEMO2 (EMC Update) v0.20_NRA_model_for_NEMO2 (EMC Update) v0.25_NRA_model_for_NEMO2 (EMC Update) v0.29.2_NRA_model_for_NEMO2 (EMC Update) v0.29.4_NRA_model_for_NEMO2 (EMC Update) v0 30 1" xfId="1067" xr:uid="{00000000-0005-0000-0000-00002B040000}"/>
    <cellStyle name="%_NRA_model_for_NEMO2 (EMC Update) v0.20_NRA_model_for_NEMO2 (EMC Update) v0.25_NRA_model_for_NEMO2 (EMC Update) v0.29.2_NRA_model_for_NEMO2 (EMC Update) v0.29.4_NRA_model_for_NEMO2 (EMC Update) v0.29.5" xfId="1068" xr:uid="{00000000-0005-0000-0000-00002C040000}"/>
    <cellStyle name="%_NRA_model_for_NEMO2 (EMC Update) v0.20_NRA_model_for_NEMO2 (EMC Update) v0.25_NRA_model_for_NEMO2 (EMC Update) v0.29.2_NRA_model_for_NEMO2 (EMC Update) v0.29.4_NRA_model_for_NEMO2 (EMC Update) v0.29.5_NRA_model_for_NEMO2 (EMC Update) v0 30 1" xfId="1069" xr:uid="{00000000-0005-0000-0000-00002D040000}"/>
    <cellStyle name="%_NRA_model_for_NEMO2 (EMC Update) v0.20_NRA_model_for_NEMO2 (EMC Update) v0.25_NRA_model_for_NEMO2 (EMC Update) v0.29.2_NRA_model_for_NEMO2 (EMC Update) v0.29.5" xfId="1070" xr:uid="{00000000-0005-0000-0000-00002E040000}"/>
    <cellStyle name="%_NRA_model_for_NEMO2 (EMC Update) v0.20_NRA_model_for_NEMO2 (EMC Update) v0.25_NRA_model_for_NEMO2 (EMC Update) v0.29.2_NRA_model_for_NEMO2 (EMC Update) v0.29.5_NRA_model_for_NEMO2 (EMC Update) v0 30 1" xfId="1071" xr:uid="{00000000-0005-0000-0000-00002F040000}"/>
    <cellStyle name="%_NRA_model_for_NEMO2 (EMC Update) v0.20_NRA_model_for_NEMO2 (EMC Update) v0.25_NRA_model_for_NEMO2 (EMC Update) v0.29.3" xfId="1072" xr:uid="{00000000-0005-0000-0000-000030040000}"/>
    <cellStyle name="%_NRA_model_for_NEMO2 (EMC Update) v0.20_NRA_model_for_NEMO2 (EMC Update) v0.25_NRA_model_for_NEMO2 (EMC Update) v0.29.3_NRA_model_for_NEMO2 (EMC Update) v0 30 1" xfId="1073" xr:uid="{00000000-0005-0000-0000-000031040000}"/>
    <cellStyle name="%_NRA_model_for_NEMO2 (EMC Update) v0.20_NRA_model_for_NEMO2 (EMC Update) v0.25_NRA_model_for_NEMO2 (EMC Update) v0.29.3_NRA_model_for_NEMO2 (EMC Update) v0.29.5" xfId="1074" xr:uid="{00000000-0005-0000-0000-000032040000}"/>
    <cellStyle name="%_NRA_model_for_NEMO2 (EMC Update) v0.20_NRA_model_for_NEMO2 (EMC Update) v0.25_NRA_model_for_NEMO2 (EMC Update) v0.29.3_NRA_model_for_NEMO2 (EMC Update) v0.29.5_NRA_model_for_NEMO2 (EMC Update) v0 30 1" xfId="1075" xr:uid="{00000000-0005-0000-0000-000033040000}"/>
    <cellStyle name="%_NRA_model_for_NEMO2 (EMC Update) v0.20_NRA_model_for_NEMO2 (EMC Update) v0.25_NRA_model_for_NEMO2 (EMC Update) v0.29.4" xfId="1076" xr:uid="{00000000-0005-0000-0000-000034040000}"/>
    <cellStyle name="%_NRA_model_for_NEMO2 (EMC Update) v0.20_NRA_model_for_NEMO2 (EMC Update) v0.25_NRA_model_for_NEMO2 (EMC Update) v0.29.4_NRA_model_for_NEMO2 (EMC Update) v0 30 1" xfId="1077" xr:uid="{00000000-0005-0000-0000-000035040000}"/>
    <cellStyle name="%_NRA_model_for_NEMO2 (EMC Update) v0.20_NRA_model_for_NEMO2 (EMC Update) v0.25_NRA_model_for_NEMO2 (EMC Update) v0.29.4_NRA_model_for_NEMO2 (EMC Update) v0.29.5" xfId="1078" xr:uid="{00000000-0005-0000-0000-000036040000}"/>
    <cellStyle name="%_NRA_model_for_NEMO2 (EMC Update) v0.20_NRA_model_for_NEMO2 (EMC Update) v0.25_NRA_model_for_NEMO2 (EMC Update) v0.29.4_NRA_model_for_NEMO2 (EMC Update) v0.29.5_NRA_model_for_NEMO2 (EMC Update) v0 30 1" xfId="1079" xr:uid="{00000000-0005-0000-0000-000037040000}"/>
    <cellStyle name="%_NRA_model_for_NEMO2 (EMC Update) v0.20_NRA_model_for_NEMO2 (EMC Update) v0.25_NRA_model_for_NEMO2 (EMC Update) v0.29.5" xfId="1080" xr:uid="{00000000-0005-0000-0000-000038040000}"/>
    <cellStyle name="%_NRA_model_for_NEMO2 (EMC Update) v0.20_NRA_model_for_NEMO2 (EMC Update) v0.25_NRA_model_for_NEMO2 (EMC Update) v0.29.5_NRA_model_for_NEMO2 (EMC Update) v0 30 1" xfId="1081" xr:uid="{00000000-0005-0000-0000-000039040000}"/>
    <cellStyle name="%_NRA_model_for_NEMO2 (EMC Update) v0.20_NRA_model_for_NEMO2 (EMC Update) v0.26" xfId="1103" xr:uid="{00000000-0005-0000-0000-00004F040000}"/>
    <cellStyle name="%_NRA_model_for_NEMO2 (EMC Update) v0.20_NRA_model_for_NEMO2 (EMC Update) v0.26_NRA_model_for_NEMO2 (EMC Update) v0 30 1" xfId="1104" xr:uid="{00000000-0005-0000-0000-000050040000}"/>
    <cellStyle name="%_NRA_model_for_NEMO2 (EMC Update) v0.20_NRA_model_for_NEMO2 (EMC Update) v0.26_NRA_model_for_NEMO2 (EMC Update) v0.29" xfId="1105" xr:uid="{00000000-0005-0000-0000-000051040000}"/>
    <cellStyle name="%_NRA_model_for_NEMO2 (EMC Update) v0.20_NRA_model_for_NEMO2 (EMC Update) v0.26_NRA_model_for_NEMO2 (EMC Update) v0.29_NRA_model_for_NEMO2 (EMC Update) v0 30 1" xfId="1128" xr:uid="{00000000-0005-0000-0000-000068040000}"/>
    <cellStyle name="%_NRA_model_for_NEMO2 (EMC Update) v0.20_NRA_model_for_NEMO2 (EMC Update) v0.26_NRA_model_for_NEMO2 (EMC Update) v0.29_NRA_model_for_NEMO2 (EMC Update) v0.29.2" xfId="1129" xr:uid="{00000000-0005-0000-0000-000069040000}"/>
    <cellStyle name="%_NRA_model_for_NEMO2 (EMC Update) v0.20_NRA_model_for_NEMO2 (EMC Update) v0.26_NRA_model_for_NEMO2 (EMC Update) v0.29_NRA_model_for_NEMO2 (EMC Update) v0.29.2_NRA_model_for_NEMO2 (EMC Update) v0 30 1" xfId="1130" xr:uid="{00000000-0005-0000-0000-00006A040000}"/>
    <cellStyle name="%_NRA_model_for_NEMO2 (EMC Update) v0.20_NRA_model_for_NEMO2 (EMC Update) v0.26_NRA_model_for_NEMO2 (EMC Update) v0.29_NRA_model_for_NEMO2 (EMC Update) v0.29.2_NRA_model_for_NEMO2 (EMC Update) v0.29.3" xfId="1131" xr:uid="{00000000-0005-0000-0000-00006B040000}"/>
    <cellStyle name="%_NRA_model_for_NEMO2 (EMC Update) v0.20_NRA_model_for_NEMO2 (EMC Update) v0.26_NRA_model_for_NEMO2 (EMC Update) v0.29_NRA_model_for_NEMO2 (EMC Update) v0.29.2_NRA_model_for_NEMO2 (EMC Update) v0.29.3_NRA_model_for_NEMO2 (EMC Update) v0 30 1" xfId="1132" xr:uid="{00000000-0005-0000-0000-00006C040000}"/>
    <cellStyle name="%_NRA_model_for_NEMO2 (EMC Update) v0.20_NRA_model_for_NEMO2 (EMC Update) v0.26_NRA_model_for_NEMO2 (EMC Update) v0.29_NRA_model_for_NEMO2 (EMC Update) v0.29.2_NRA_model_for_NEMO2 (EMC Update) v0.29.3_NRA_model_for_NEMO2 (EMC Update) v0.29.5" xfId="1133" xr:uid="{00000000-0005-0000-0000-00006D040000}"/>
    <cellStyle name="%_NRA_model_for_NEMO2 (EMC Update) v0.20_NRA_model_for_NEMO2 (EMC Update) v0.26_NRA_model_for_NEMO2 (EMC Update) v0.29_NRA_model_for_NEMO2 (EMC Update) v0.29.2_NRA_model_for_NEMO2 (EMC Update) v0.29.4" xfId="1134" xr:uid="{00000000-0005-0000-0000-00006E040000}"/>
    <cellStyle name="%_NRA_model_for_NEMO2 (EMC Update) v0.20_NRA_model_for_NEMO2 (EMC Update) v0.26_NRA_model_for_NEMO2 (EMC Update) v0.29_NRA_model_for_NEMO2 (EMC Update) v0.29.2_NRA_model_for_NEMO2 (EMC Update) v0.29.4_NRA_model_for_NEMO2 (EMC Update) v0 30 1" xfId="1135" xr:uid="{00000000-0005-0000-0000-00006F040000}"/>
    <cellStyle name="%_NRA_model_for_NEMO2 (EMC Update) v0.20_NRA_model_for_NEMO2 (EMC Update) v0.26_NRA_model_for_NEMO2 (EMC Update) v0.29_NRA_model_for_NEMO2 (EMC Update) v0.29.2_NRA_model_for_NEMO2 (EMC Update) v0.29.4_NRA_model_for_NEMO2 (EMC Update) v0.29.5" xfId="1136" xr:uid="{00000000-0005-0000-0000-000070040000}"/>
    <cellStyle name="%_NRA_model_for_NEMO2 (EMC Update) v0.20_NRA_model_for_NEMO2 (EMC Update) v0.26_NRA_model_for_NEMO2 (EMC Update) v0.29_NRA_model_for_NEMO2 (EMC Update) v0.29.2_NRA_model_for_NEMO2 (EMC Update) v0.29.5" xfId="1137" xr:uid="{00000000-0005-0000-0000-000071040000}"/>
    <cellStyle name="%_NRA_model_for_NEMO2 (EMC Update) v0.20_NRA_model_for_NEMO2 (EMC Update) v0.26_NRA_model_for_NEMO2 (EMC Update) v0.29_NRA_model_for_NEMO2 (EMC Update) v0.29.2_NRA_model_for_NEMO2 (EMC Update) v0.29.5_NRA_model_for_NEMO2 (EMC Update) v0 30 1" xfId="1138" xr:uid="{00000000-0005-0000-0000-000072040000}"/>
    <cellStyle name="%_NRA_model_for_NEMO2 (EMC Update) v0.20_NRA_model_for_NEMO2 (EMC Update) v0.26_NRA_model_for_NEMO2 (EMC Update) v0.29_NRA_model_for_NEMO2 (EMC Update) v0.29.3" xfId="1139" xr:uid="{00000000-0005-0000-0000-000073040000}"/>
    <cellStyle name="%_NRA_model_for_NEMO2 (EMC Update) v0.20_NRA_model_for_NEMO2 (EMC Update) v0.26_NRA_model_for_NEMO2 (EMC Update) v0.29_NRA_model_for_NEMO2 (EMC Update) v0.29.3_NRA_model_for_NEMO2 (EMC Update) v0 30 1" xfId="1140" xr:uid="{00000000-0005-0000-0000-000074040000}"/>
    <cellStyle name="%_NRA_model_for_NEMO2 (EMC Update) v0.20_NRA_model_for_NEMO2 (EMC Update) v0.26_NRA_model_for_NEMO2 (EMC Update) v0.29_NRA_model_for_NEMO2 (EMC Update) v0.29.3_NRA_model_for_NEMO2 (EMC Update) v0.29.5" xfId="1141" xr:uid="{00000000-0005-0000-0000-000075040000}"/>
    <cellStyle name="%_NRA_model_for_NEMO2 (EMC Update) v0.20_NRA_model_for_NEMO2 (EMC Update) v0.26_NRA_model_for_NEMO2 (EMC Update) v0.29_NRA_model_for_NEMO2 (EMC Update) v0.29.3_NRA_model_for_NEMO2 (EMC Update) v0.29.5_NRA_model_for_NEMO2 (EMC Update) v0 30 1" xfId="1142" xr:uid="{00000000-0005-0000-0000-000076040000}"/>
    <cellStyle name="%_NRA_model_for_NEMO2 (EMC Update) v0.20_NRA_model_for_NEMO2 (EMC Update) v0.26_NRA_model_for_NEMO2 (EMC Update) v0.29_NRA_model_for_NEMO2 (EMC Update) v0.29.4" xfId="1143" xr:uid="{00000000-0005-0000-0000-000077040000}"/>
    <cellStyle name="%_NRA_model_for_NEMO2 (EMC Update) v0.20_NRA_model_for_NEMO2 (EMC Update) v0.26_NRA_model_for_NEMO2 (EMC Update) v0.29_NRA_model_for_NEMO2 (EMC Update) v0.29.4_NRA_model_for_NEMO2 (EMC Update) v0 30 1" xfId="1144" xr:uid="{00000000-0005-0000-0000-000078040000}"/>
    <cellStyle name="%_NRA_model_for_NEMO2 (EMC Update) v0.20_NRA_model_for_NEMO2 (EMC Update) v0.26_NRA_model_for_NEMO2 (EMC Update) v0.29_NRA_model_for_NEMO2 (EMC Update) v0.29.4_NRA_model_for_NEMO2 (EMC Update) v0.29.5" xfId="1145" xr:uid="{00000000-0005-0000-0000-000079040000}"/>
    <cellStyle name="%_NRA_model_for_NEMO2 (EMC Update) v0.20_NRA_model_for_NEMO2 (EMC Update) v0.26_NRA_model_for_NEMO2 (EMC Update) v0.29_NRA_model_for_NEMO2 (EMC Update) v0.29.4_NRA_model_for_NEMO2 (EMC Update) v0.29.5_NRA_model_for_NEMO2 (EMC Update) v0 30 1" xfId="1146" xr:uid="{00000000-0005-0000-0000-00007A040000}"/>
    <cellStyle name="%_NRA_model_for_NEMO2 (EMC Update) v0.20_NRA_model_for_NEMO2 (EMC Update) v0.26_NRA_model_for_NEMO2 (EMC Update) v0.29_NRA_model_for_NEMO2 (EMC Update) v0.29.5" xfId="1147" xr:uid="{00000000-0005-0000-0000-00007B040000}"/>
    <cellStyle name="%_NRA_model_for_NEMO2 (EMC Update) v0.20_NRA_model_for_NEMO2 (EMC Update) v0.26_NRA_model_for_NEMO2 (EMC Update) v0.29_NRA_model_for_NEMO2 (EMC Update) v0.29.5_NRA_model_for_NEMO2 (EMC Update) v0 30 1" xfId="1148" xr:uid="{00000000-0005-0000-0000-00007C040000}"/>
    <cellStyle name="%_NRA_model_for_NEMO2 (EMC Update) v0.20_NRA_model_for_NEMO2 (EMC Update) v0.26_NRA_model_for_NEMO2 (EMC Update) v0.29.2" xfId="1106" xr:uid="{00000000-0005-0000-0000-000052040000}"/>
    <cellStyle name="%_NRA_model_for_NEMO2 (EMC Update) v0.20_NRA_model_for_NEMO2 (EMC Update) v0.26_NRA_model_for_NEMO2 (EMC Update) v0.29.2_NRA_model_for_NEMO2 (EMC Update) v0 30 1" xfId="1107" xr:uid="{00000000-0005-0000-0000-000053040000}"/>
    <cellStyle name="%_NRA_model_for_NEMO2 (EMC Update) v0.20_NRA_model_for_NEMO2 (EMC Update) v0.26_NRA_model_for_NEMO2 (EMC Update) v0.29.2_NRA_model_for_NEMO2 (EMC Update) v0.29.3" xfId="1108" xr:uid="{00000000-0005-0000-0000-000054040000}"/>
    <cellStyle name="%_NRA_model_for_NEMO2 (EMC Update) v0.20_NRA_model_for_NEMO2 (EMC Update) v0.26_NRA_model_for_NEMO2 (EMC Update) v0.29.2_NRA_model_for_NEMO2 (EMC Update) v0.29.3_NRA_model_for_NEMO2 (EMC Update) v0 30 1" xfId="1109" xr:uid="{00000000-0005-0000-0000-000055040000}"/>
    <cellStyle name="%_NRA_model_for_NEMO2 (EMC Update) v0.20_NRA_model_for_NEMO2 (EMC Update) v0.26_NRA_model_for_NEMO2 (EMC Update) v0.29.2_NRA_model_for_NEMO2 (EMC Update) v0.29.3_NRA_model_for_NEMO2 (EMC Update) v0.29.5" xfId="1110" xr:uid="{00000000-0005-0000-0000-000056040000}"/>
    <cellStyle name="%_NRA_model_for_NEMO2 (EMC Update) v0.20_NRA_model_for_NEMO2 (EMC Update) v0.26_NRA_model_for_NEMO2 (EMC Update) v0.29.2_NRA_model_for_NEMO2 (EMC Update) v0.29.3_NRA_model_for_NEMO2 (EMC Update) v0.29.5_NRA_model_for_NEMO2 (EMC Update) v0 30 1" xfId="1111" xr:uid="{00000000-0005-0000-0000-000057040000}"/>
    <cellStyle name="%_NRA_model_for_NEMO2 (EMC Update) v0.20_NRA_model_for_NEMO2 (EMC Update) v0.26_NRA_model_for_NEMO2 (EMC Update) v0.29.2_NRA_model_for_NEMO2 (EMC Update) v0.29.4" xfId="1112" xr:uid="{00000000-0005-0000-0000-000058040000}"/>
    <cellStyle name="%_NRA_model_for_NEMO2 (EMC Update) v0.20_NRA_model_for_NEMO2 (EMC Update) v0.26_NRA_model_for_NEMO2 (EMC Update) v0.29.2_NRA_model_for_NEMO2 (EMC Update) v0.29.4_NRA_model_for_NEMO2 (EMC Update) v0 30 1" xfId="1113" xr:uid="{00000000-0005-0000-0000-000059040000}"/>
    <cellStyle name="%_NRA_model_for_NEMO2 (EMC Update) v0.20_NRA_model_for_NEMO2 (EMC Update) v0.26_NRA_model_for_NEMO2 (EMC Update) v0.29.2_NRA_model_for_NEMO2 (EMC Update) v0.29.4_NRA_model_for_NEMO2 (EMC Update) v0.29.5" xfId="1114" xr:uid="{00000000-0005-0000-0000-00005A040000}"/>
    <cellStyle name="%_NRA_model_for_NEMO2 (EMC Update) v0.20_NRA_model_for_NEMO2 (EMC Update) v0.26_NRA_model_for_NEMO2 (EMC Update) v0.29.2_NRA_model_for_NEMO2 (EMC Update) v0.29.4_NRA_model_for_NEMO2 (EMC Update) v0.29.5_NRA_model_for_NEMO2 (EMC Update) v0 30 1" xfId="1115" xr:uid="{00000000-0005-0000-0000-00005B040000}"/>
    <cellStyle name="%_NRA_model_for_NEMO2 (EMC Update) v0.20_NRA_model_for_NEMO2 (EMC Update) v0.26_NRA_model_for_NEMO2 (EMC Update) v0.29.2_NRA_model_for_NEMO2 (EMC Update) v0.29.5" xfId="1116" xr:uid="{00000000-0005-0000-0000-00005C040000}"/>
    <cellStyle name="%_NRA_model_for_NEMO2 (EMC Update) v0.20_NRA_model_for_NEMO2 (EMC Update) v0.26_NRA_model_for_NEMO2 (EMC Update) v0.29.2_NRA_model_for_NEMO2 (EMC Update) v0.29.5_NRA_model_for_NEMO2 (EMC Update) v0 30 1" xfId="1117" xr:uid="{00000000-0005-0000-0000-00005D040000}"/>
    <cellStyle name="%_NRA_model_for_NEMO2 (EMC Update) v0.20_NRA_model_for_NEMO2 (EMC Update) v0.26_NRA_model_for_NEMO2 (EMC Update) v0.29.3" xfId="1118" xr:uid="{00000000-0005-0000-0000-00005E040000}"/>
    <cellStyle name="%_NRA_model_for_NEMO2 (EMC Update) v0.20_NRA_model_for_NEMO2 (EMC Update) v0.26_NRA_model_for_NEMO2 (EMC Update) v0.29.3_NRA_model_for_NEMO2 (EMC Update) v0 30 1" xfId="1119" xr:uid="{00000000-0005-0000-0000-00005F040000}"/>
    <cellStyle name="%_NRA_model_for_NEMO2 (EMC Update) v0.20_NRA_model_for_NEMO2 (EMC Update) v0.26_NRA_model_for_NEMO2 (EMC Update) v0.29.3_NRA_model_for_NEMO2 (EMC Update) v0.29.5" xfId="1120" xr:uid="{00000000-0005-0000-0000-000060040000}"/>
    <cellStyle name="%_NRA_model_for_NEMO2 (EMC Update) v0.20_NRA_model_for_NEMO2 (EMC Update) v0.26_NRA_model_for_NEMO2 (EMC Update) v0.29.3_NRA_model_for_NEMO2 (EMC Update) v0.29.5_NRA_model_for_NEMO2 (EMC Update) v0 30 1" xfId="1121" xr:uid="{00000000-0005-0000-0000-000061040000}"/>
    <cellStyle name="%_NRA_model_for_NEMO2 (EMC Update) v0.20_NRA_model_for_NEMO2 (EMC Update) v0.26_NRA_model_for_NEMO2 (EMC Update) v0.29.4" xfId="1122" xr:uid="{00000000-0005-0000-0000-000062040000}"/>
    <cellStyle name="%_NRA_model_for_NEMO2 (EMC Update) v0.20_NRA_model_for_NEMO2 (EMC Update) v0.26_NRA_model_for_NEMO2 (EMC Update) v0.29.4_NRA_model_for_NEMO2 (EMC Update) v0 30 1" xfId="1123" xr:uid="{00000000-0005-0000-0000-000063040000}"/>
    <cellStyle name="%_NRA_model_for_NEMO2 (EMC Update) v0.20_NRA_model_for_NEMO2 (EMC Update) v0.26_NRA_model_for_NEMO2 (EMC Update) v0.29.4_NRA_model_for_NEMO2 (EMC Update) v0.29.5" xfId="1124" xr:uid="{00000000-0005-0000-0000-000064040000}"/>
    <cellStyle name="%_NRA_model_for_NEMO2 (EMC Update) v0.20_NRA_model_for_NEMO2 (EMC Update) v0.26_NRA_model_for_NEMO2 (EMC Update) v0.29.4_NRA_model_for_NEMO2 (EMC Update) v0.29.5_NRA_model_for_NEMO2 (EMC Update) v0 30 1" xfId="1125" xr:uid="{00000000-0005-0000-0000-000065040000}"/>
    <cellStyle name="%_NRA_model_for_NEMO2 (EMC Update) v0.20_NRA_model_for_NEMO2 (EMC Update) v0.26_NRA_model_for_NEMO2 (EMC Update) v0.29.5" xfId="1126" xr:uid="{00000000-0005-0000-0000-000066040000}"/>
    <cellStyle name="%_NRA_model_for_NEMO2 (EMC Update) v0.20_NRA_model_for_NEMO2 (EMC Update) v0.26_NRA_model_for_NEMO2 (EMC Update) v0.29.5_NRA_model_for_NEMO2 (EMC Update) v0 30 1" xfId="1127" xr:uid="{00000000-0005-0000-0000-000067040000}"/>
    <cellStyle name="%_NRA_model_for_NEMO2 (EMC Update) v0.20_NRA_model_for_NEMO2 (EMC Update) v0.29" xfId="1149" xr:uid="{00000000-0005-0000-0000-00007D040000}"/>
    <cellStyle name="%_NRA_model_for_NEMO2 (EMC Update) v0.20_NRA_model_for_NEMO2 (EMC Update) v0.29_NRA_model_for_NEMO2 (EMC Update) v0 30 1" xfId="1172" xr:uid="{00000000-0005-0000-0000-000094040000}"/>
    <cellStyle name="%_NRA_model_for_NEMO2 (EMC Update) v0.20_NRA_model_for_NEMO2 (EMC Update) v0.29_NRA_model_for_NEMO2 (EMC Update) v0.29.2" xfId="1173" xr:uid="{00000000-0005-0000-0000-000095040000}"/>
    <cellStyle name="%_NRA_model_for_NEMO2 (EMC Update) v0.20_NRA_model_for_NEMO2 (EMC Update) v0.29_NRA_model_for_NEMO2 (EMC Update) v0.29.2_NRA_model_for_NEMO2 (EMC Update) v0 30 1" xfId="1174" xr:uid="{00000000-0005-0000-0000-000096040000}"/>
    <cellStyle name="%_NRA_model_for_NEMO2 (EMC Update) v0.20_NRA_model_for_NEMO2 (EMC Update) v0.29_NRA_model_for_NEMO2 (EMC Update) v0.29.2_NRA_model_for_NEMO2 (EMC Update) v0.29.3" xfId="1175" xr:uid="{00000000-0005-0000-0000-000097040000}"/>
    <cellStyle name="%_NRA_model_for_NEMO2 (EMC Update) v0.20_NRA_model_for_NEMO2 (EMC Update) v0.29_NRA_model_for_NEMO2 (EMC Update) v0.29.2_NRA_model_for_NEMO2 (EMC Update) v0.29.3_NRA_model_for_NEMO2 (EMC Update) v0 30 1" xfId="1176" xr:uid="{00000000-0005-0000-0000-000098040000}"/>
    <cellStyle name="%_NRA_model_for_NEMO2 (EMC Update) v0.20_NRA_model_for_NEMO2 (EMC Update) v0.29_NRA_model_for_NEMO2 (EMC Update) v0.29.2_NRA_model_for_NEMO2 (EMC Update) v0.29.3_NRA_model_for_NEMO2 (EMC Update) v0.29.5" xfId="1177" xr:uid="{00000000-0005-0000-0000-000099040000}"/>
    <cellStyle name="%_NRA_model_for_NEMO2 (EMC Update) v0.20_NRA_model_for_NEMO2 (EMC Update) v0.29_NRA_model_for_NEMO2 (EMC Update) v0.29.2_NRA_model_for_NEMO2 (EMC Update) v0.29.3_NRA_model_for_NEMO2 (EMC Update) v0.29.5_NRA_model_for_NEMO2 (EMC Update) v0 30 1" xfId="1178" xr:uid="{00000000-0005-0000-0000-00009A040000}"/>
    <cellStyle name="%_NRA_model_for_NEMO2 (EMC Update) v0.20_NRA_model_for_NEMO2 (EMC Update) v0.29_NRA_model_for_NEMO2 (EMC Update) v0.29.2_NRA_model_for_NEMO2 (EMC Update) v0.29.4" xfId="1179" xr:uid="{00000000-0005-0000-0000-00009B040000}"/>
    <cellStyle name="%_NRA_model_for_NEMO2 (EMC Update) v0.20_NRA_model_for_NEMO2 (EMC Update) v0.29_NRA_model_for_NEMO2 (EMC Update) v0.29.2_NRA_model_for_NEMO2 (EMC Update) v0.29.4_NRA_model_for_NEMO2 (EMC Update) v0 30 1" xfId="1180" xr:uid="{00000000-0005-0000-0000-00009C040000}"/>
    <cellStyle name="%_NRA_model_for_NEMO2 (EMC Update) v0.20_NRA_model_for_NEMO2 (EMC Update) v0.29_NRA_model_for_NEMO2 (EMC Update) v0.29.2_NRA_model_for_NEMO2 (EMC Update) v0.29.4_NRA_model_for_NEMO2 (EMC Update) v0.29.5" xfId="1181" xr:uid="{00000000-0005-0000-0000-00009D040000}"/>
    <cellStyle name="%_NRA_model_for_NEMO2 (EMC Update) v0.20_NRA_model_for_NEMO2 (EMC Update) v0.29_NRA_model_for_NEMO2 (EMC Update) v0.29.2_NRA_model_for_NEMO2 (EMC Update) v0.29.4_NRA_model_for_NEMO2 (EMC Update) v0.29.5_NRA_model_for_NEMO2 (EMC Update) v0 30 1" xfId="1182" xr:uid="{00000000-0005-0000-0000-00009E040000}"/>
    <cellStyle name="%_NRA_model_for_NEMO2 (EMC Update) v0.20_NRA_model_for_NEMO2 (EMC Update) v0.29_NRA_model_for_NEMO2 (EMC Update) v0.29.2_NRA_model_for_NEMO2 (EMC Update) v0.29.5" xfId="1183" xr:uid="{00000000-0005-0000-0000-00009F040000}"/>
    <cellStyle name="%_NRA_model_for_NEMO2 (EMC Update) v0.20_NRA_model_for_NEMO2 (EMC Update) v0.29_NRA_model_for_NEMO2 (EMC Update) v0.29.2_NRA_model_for_NEMO2 (EMC Update) v0.29.5_NRA_model_for_NEMO2 (EMC Update) v0 30 1" xfId="1184" xr:uid="{00000000-0005-0000-0000-0000A0040000}"/>
    <cellStyle name="%_NRA_model_for_NEMO2 (EMC Update) v0.20_NRA_model_for_NEMO2 (EMC Update) v0.29_NRA_model_for_NEMO2 (EMC Update) v0.29.3" xfId="1185" xr:uid="{00000000-0005-0000-0000-0000A1040000}"/>
    <cellStyle name="%_NRA_model_for_NEMO2 (EMC Update) v0.20_NRA_model_for_NEMO2 (EMC Update) v0.29_NRA_model_for_NEMO2 (EMC Update) v0.29.3_NRA_model_for_NEMO2 (EMC Update) v0 30 1" xfId="1186" xr:uid="{00000000-0005-0000-0000-0000A2040000}"/>
    <cellStyle name="%_NRA_model_for_NEMO2 (EMC Update) v0.20_NRA_model_for_NEMO2 (EMC Update) v0.29_NRA_model_for_NEMO2 (EMC Update) v0.29.3_NRA_model_for_NEMO2 (EMC Update) v0.29.5" xfId="1187" xr:uid="{00000000-0005-0000-0000-0000A3040000}"/>
    <cellStyle name="%_NRA_model_for_NEMO2 (EMC Update) v0.20_NRA_model_for_NEMO2 (EMC Update) v0.29_NRA_model_for_NEMO2 (EMC Update) v0.29.3_NRA_model_for_NEMO2 (EMC Update) v0.29.5_NRA_model_for_NEMO2 (EMC Update) v0 30 1" xfId="1188" xr:uid="{00000000-0005-0000-0000-0000A4040000}"/>
    <cellStyle name="%_NRA_model_for_NEMO2 (EMC Update) v0.20_NRA_model_for_NEMO2 (EMC Update) v0.29_NRA_model_for_NEMO2 (EMC Update) v0.29.4" xfId="1189" xr:uid="{00000000-0005-0000-0000-0000A5040000}"/>
    <cellStyle name="%_NRA_model_for_NEMO2 (EMC Update) v0.20_NRA_model_for_NEMO2 (EMC Update) v0.29_NRA_model_for_NEMO2 (EMC Update) v0.29.4_NRA_model_for_NEMO2 (EMC Update) v0 30 1" xfId="1190" xr:uid="{00000000-0005-0000-0000-0000A6040000}"/>
    <cellStyle name="%_NRA_model_for_NEMO2 (EMC Update) v0.20_NRA_model_for_NEMO2 (EMC Update) v0.29_NRA_model_for_NEMO2 (EMC Update) v0.29.4_NRA_model_for_NEMO2 (EMC Update) v0.29.5" xfId="1191" xr:uid="{00000000-0005-0000-0000-0000A7040000}"/>
    <cellStyle name="%_NRA_model_for_NEMO2 (EMC Update) v0.20_NRA_model_for_NEMO2 (EMC Update) v0.29_NRA_model_for_NEMO2 (EMC Update) v0.29.4_NRA_model_for_NEMO2 (EMC Update) v0.29.5_NRA_model_for_NEMO2 (EMC Update) v0 30 1" xfId="1192" xr:uid="{00000000-0005-0000-0000-0000A8040000}"/>
    <cellStyle name="%_NRA_model_for_NEMO2 (EMC Update) v0.20_NRA_model_for_NEMO2 (EMC Update) v0.29_NRA_model_for_NEMO2 (EMC Update) v0.29.5" xfId="1193" xr:uid="{00000000-0005-0000-0000-0000A9040000}"/>
    <cellStyle name="%_NRA_model_for_NEMO2 (EMC Update) v0.20_NRA_model_for_NEMO2 (EMC Update) v0.29_NRA_model_for_NEMO2 (EMC Update) v0.29.5_NRA_model_for_NEMO2 (EMC Update) v0 30 1" xfId="1194" xr:uid="{00000000-0005-0000-0000-0000AA040000}"/>
    <cellStyle name="%_NRA_model_for_NEMO2 (EMC Update) v0.20_NRA_model_for_NEMO2 (EMC Update) v0.29.2" xfId="1150" xr:uid="{00000000-0005-0000-0000-00007E040000}"/>
    <cellStyle name="%_NRA_model_for_NEMO2 (EMC Update) v0.20_NRA_model_for_NEMO2 (EMC Update) v0.29.2_NRA_model_for_NEMO2 (EMC Update) v0 30 1" xfId="1151" xr:uid="{00000000-0005-0000-0000-00007F040000}"/>
    <cellStyle name="%_NRA_model_for_NEMO2 (EMC Update) v0.20_NRA_model_for_NEMO2 (EMC Update) v0.29.2_NRA_model_for_NEMO2 (EMC Update) v0.29.3" xfId="1152" xr:uid="{00000000-0005-0000-0000-000080040000}"/>
    <cellStyle name="%_NRA_model_for_NEMO2 (EMC Update) v0.20_NRA_model_for_NEMO2 (EMC Update) v0.29.2_NRA_model_for_NEMO2 (EMC Update) v0.29.3_NRA_model_for_NEMO2 (EMC Update) v0 30 1" xfId="1153" xr:uid="{00000000-0005-0000-0000-000081040000}"/>
    <cellStyle name="%_NRA_model_for_NEMO2 (EMC Update) v0.20_NRA_model_for_NEMO2 (EMC Update) v0.29.2_NRA_model_for_NEMO2 (EMC Update) v0.29.3_NRA_model_for_NEMO2 (EMC Update) v0.29.5" xfId="1154" xr:uid="{00000000-0005-0000-0000-000082040000}"/>
    <cellStyle name="%_NRA_model_for_NEMO2 (EMC Update) v0.20_NRA_model_for_NEMO2 (EMC Update) v0.29.2_NRA_model_for_NEMO2 (EMC Update) v0.29.3_NRA_model_for_NEMO2 (EMC Update) v0.29.5_NRA_model_for_NEMO2 (EMC Update) v0 30 1" xfId="1155" xr:uid="{00000000-0005-0000-0000-000083040000}"/>
    <cellStyle name="%_NRA_model_for_NEMO2 (EMC Update) v0.20_NRA_model_for_NEMO2 (EMC Update) v0.29.2_NRA_model_for_NEMO2 (EMC Update) v0.29.4" xfId="1156" xr:uid="{00000000-0005-0000-0000-000084040000}"/>
    <cellStyle name="%_NRA_model_for_NEMO2 (EMC Update) v0.20_NRA_model_for_NEMO2 (EMC Update) v0.29.2_NRA_model_for_NEMO2 (EMC Update) v0.29.4_NRA_model_for_NEMO2 (EMC Update) v0 30 1" xfId="1157" xr:uid="{00000000-0005-0000-0000-000085040000}"/>
    <cellStyle name="%_NRA_model_for_NEMO2 (EMC Update) v0.20_NRA_model_for_NEMO2 (EMC Update) v0.29.2_NRA_model_for_NEMO2 (EMC Update) v0.29.4_NRA_model_for_NEMO2 (EMC Update) v0.29.5" xfId="1158" xr:uid="{00000000-0005-0000-0000-000086040000}"/>
    <cellStyle name="%_NRA_model_for_NEMO2 (EMC Update) v0.20_NRA_model_for_NEMO2 (EMC Update) v0.29.2_NRA_model_for_NEMO2 (EMC Update) v0.29.4_NRA_model_for_NEMO2 (EMC Update) v0.29.5_NRA_model_for_NEMO2 (EMC Update) v0 30 1" xfId="1159" xr:uid="{00000000-0005-0000-0000-000087040000}"/>
    <cellStyle name="%_NRA_model_for_NEMO2 (EMC Update) v0.20_NRA_model_for_NEMO2 (EMC Update) v0.29.2_NRA_model_for_NEMO2 (EMC Update) v0.29.5" xfId="1160" xr:uid="{00000000-0005-0000-0000-000088040000}"/>
    <cellStyle name="%_NRA_model_for_NEMO2 (EMC Update) v0.20_NRA_model_for_NEMO2 (EMC Update) v0.29.2_NRA_model_for_NEMO2 (EMC Update) v0.29.5_NRA_model_for_NEMO2 (EMC Update) v0 30 1" xfId="1161" xr:uid="{00000000-0005-0000-0000-000089040000}"/>
    <cellStyle name="%_NRA_model_for_NEMO2 (EMC Update) v0.20_NRA_model_for_NEMO2 (EMC Update) v0.29.3" xfId="1162" xr:uid="{00000000-0005-0000-0000-00008A040000}"/>
    <cellStyle name="%_NRA_model_for_NEMO2 (EMC Update) v0.20_NRA_model_for_NEMO2 (EMC Update) v0.29.3_NRA_model_for_NEMO2 (EMC Update) v0 30 1" xfId="1163" xr:uid="{00000000-0005-0000-0000-00008B040000}"/>
    <cellStyle name="%_NRA_model_for_NEMO2 (EMC Update) v0.20_NRA_model_for_NEMO2 (EMC Update) v0.29.3_NRA_model_for_NEMO2 (EMC Update) v0.29.5" xfId="1164" xr:uid="{00000000-0005-0000-0000-00008C040000}"/>
    <cellStyle name="%_NRA_model_for_NEMO2 (EMC Update) v0.20_NRA_model_for_NEMO2 (EMC Update) v0.29.3_NRA_model_for_NEMO2 (EMC Update) v0.29.5_NRA_model_for_NEMO2 (EMC Update) v0 30 1" xfId="1165" xr:uid="{00000000-0005-0000-0000-00008D040000}"/>
    <cellStyle name="%_NRA_model_for_NEMO2 (EMC Update) v0.20_NRA_model_for_NEMO2 (EMC Update) v0.29.4" xfId="1166" xr:uid="{00000000-0005-0000-0000-00008E040000}"/>
    <cellStyle name="%_NRA_model_for_NEMO2 (EMC Update) v0.20_NRA_model_for_NEMO2 (EMC Update) v0.29.4_NRA_model_for_NEMO2 (EMC Update) v0 30 1" xfId="1167" xr:uid="{00000000-0005-0000-0000-00008F040000}"/>
    <cellStyle name="%_NRA_model_for_NEMO2 (EMC Update) v0.20_NRA_model_for_NEMO2 (EMC Update) v0.29.4_NRA_model_for_NEMO2 (EMC Update) v0.29.5" xfId="1168" xr:uid="{00000000-0005-0000-0000-000090040000}"/>
    <cellStyle name="%_NRA_model_for_NEMO2 (EMC Update) v0.20_NRA_model_for_NEMO2 (EMC Update) v0.29.4_NRA_model_for_NEMO2 (EMC Update) v0.29.5_NRA_model_for_NEMO2 (EMC Update) v0 30 1" xfId="1169" xr:uid="{00000000-0005-0000-0000-000091040000}"/>
    <cellStyle name="%_NRA_model_for_NEMO2 (EMC Update) v0.20_NRA_model_for_NEMO2 (EMC Update) v0.29.5" xfId="1170" xr:uid="{00000000-0005-0000-0000-000092040000}"/>
    <cellStyle name="%_NRA_model_for_NEMO2 (EMC Update) v0.20_NRA_model_for_NEMO2 (EMC Update) v0.29.5_NRA_model_for_NEMO2 (EMC Update) v0 30 1" xfId="1171" xr:uid="{00000000-0005-0000-0000-000093040000}"/>
    <cellStyle name="%_NRA_model_for_NEMO2 (EMC Update) v0.21" xfId="1195" xr:uid="{00000000-0005-0000-0000-0000AB040000}"/>
    <cellStyle name="%_NRA_model_for_NEMO2 (EMC Update) v0.21_NRA_model_for_NEMO2 (EMC Update) v0 30 1" xfId="1196" xr:uid="{00000000-0005-0000-0000-0000AC040000}"/>
    <cellStyle name="%_NRA_model_for_NEMO2 (EMC Update) v0.21_NRA_model_for_NEMO2 (EMC Update) v0.22" xfId="1197" xr:uid="{00000000-0005-0000-0000-0000AD040000}"/>
    <cellStyle name="%_NRA_model_for_NEMO2 (EMC Update) v0.21_NRA_model_for_NEMO2 (EMC Update) v0.22_NRA_model_for_NEMO2 (EMC Update) v0 30 1" xfId="1198" xr:uid="{00000000-0005-0000-0000-0000AE040000}"/>
    <cellStyle name="%_NRA_model_for_NEMO2 (EMC Update) v0.21_NRA_model_for_NEMO2 (EMC Update) v0.22_NRA_model_for_NEMO2 (EMC Update) v0.25" xfId="1199" xr:uid="{00000000-0005-0000-0000-0000AF040000}"/>
    <cellStyle name="%_NRA_model_for_NEMO2 (EMC Update) v0.21_NRA_model_for_NEMO2 (EMC Update) v0.22_NRA_model_for_NEMO2 (EMC Update) v0.25_NRA_model_for_NEMO2 (EMC Update) v0 30 1" xfId="1200" xr:uid="{00000000-0005-0000-0000-0000B0040000}"/>
    <cellStyle name="%_NRA_model_for_NEMO2 (EMC Update) v0.21_NRA_model_for_NEMO2 (EMC Update) v0.22_NRA_model_for_NEMO2 (EMC Update) v0.25_NRA_model_for_NEMO2 (EMC Update) v0.26" xfId="1201" xr:uid="{00000000-0005-0000-0000-0000B1040000}"/>
    <cellStyle name="%_NRA_model_for_NEMO2 (EMC Update) v0.21_NRA_model_for_NEMO2 (EMC Update) v0.22_NRA_model_for_NEMO2 (EMC Update) v0.25_NRA_model_for_NEMO2 (EMC Update) v0.26_NRA_model_for_NEMO2 (EMC Update) v0 30 1" xfId="1202" xr:uid="{00000000-0005-0000-0000-0000B2040000}"/>
    <cellStyle name="%_NRA_model_for_NEMO2 (EMC Update) v0.21_NRA_model_for_NEMO2 (EMC Update) v0.22_NRA_model_for_NEMO2 (EMC Update) v0.25_NRA_model_for_NEMO2 (EMC Update) v0.26_NRA_model_for_NEMO2 (EMC Update) v0.29" xfId="1203" xr:uid="{00000000-0005-0000-0000-0000B3040000}"/>
    <cellStyle name="%_NRA_model_for_NEMO2 (EMC Update) v0.21_NRA_model_for_NEMO2 (EMC Update) v0.22_NRA_model_for_NEMO2 (EMC Update) v0.25_NRA_model_for_NEMO2 (EMC Update) v0.26_NRA_model_for_NEMO2 (EMC Update) v0.29_NRA_model_for_NEMO2 (EMC Update) v0 30 1" xfId="1217" xr:uid="{00000000-0005-0000-0000-0000C1040000}"/>
    <cellStyle name="%_NRA_model_for_NEMO2 (EMC Update) v0.21_NRA_model_for_NEMO2 (EMC Update) v0.22_NRA_model_for_NEMO2 (EMC Update) v0.25_NRA_model_for_NEMO2 (EMC Update) v0.26_NRA_model_for_NEMO2 (EMC Update) v0.29_NRA_model_for_NEMO2 (EMC Update) v0.29.2" xfId="1218" xr:uid="{00000000-0005-0000-0000-0000C2040000}"/>
    <cellStyle name="%_NRA_model_for_NEMO2 (EMC Update) v0.21_NRA_model_for_NEMO2 (EMC Update) v0.22_NRA_model_for_NEMO2 (EMC Update) v0.25_NRA_model_for_NEMO2 (EMC Update) v0.26_NRA_model_for_NEMO2 (EMC Update) v0.29_NRA_model_for_NEMO2 (EMC Update) v0.29.3" xfId="1219" xr:uid="{00000000-0005-0000-0000-0000C3040000}"/>
    <cellStyle name="%_NRA_model_for_NEMO2 (EMC Update) v0.21_NRA_model_for_NEMO2 (EMC Update) v0.22_NRA_model_for_NEMO2 (EMC Update) v0.25_NRA_model_for_NEMO2 (EMC Update) v0.26_NRA_model_for_NEMO2 (EMC Update) v0.29_NRA_model_for_NEMO2 (EMC Update) v0.29.4" xfId="1220" xr:uid="{00000000-0005-0000-0000-0000C4040000}"/>
    <cellStyle name="%_NRA_model_for_NEMO2 (EMC Update) v0.21_NRA_model_for_NEMO2 (EMC Update) v0.22_NRA_model_for_NEMO2 (EMC Update) v0.25_NRA_model_for_NEMO2 (EMC Update) v0.26_NRA_model_for_NEMO2 (EMC Update) v0.29_NRA_model_for_NEMO2 (EMC Update) v0.29.5" xfId="1221" xr:uid="{00000000-0005-0000-0000-0000C5040000}"/>
    <cellStyle name="%_NRA_model_for_NEMO2 (EMC Update) v0.21_NRA_model_for_NEMO2 (EMC Update) v0.22_NRA_model_for_NEMO2 (EMC Update) v0.25_NRA_model_for_NEMO2 (EMC Update) v0.26_NRA_model_for_NEMO2 (EMC Update) v0.29.2" xfId="1204" xr:uid="{00000000-0005-0000-0000-0000B4040000}"/>
    <cellStyle name="%_NRA_model_for_NEMO2 (EMC Update) v0.21_NRA_model_for_NEMO2 (EMC Update) v0.22_NRA_model_for_NEMO2 (EMC Update) v0.25_NRA_model_for_NEMO2 (EMC Update) v0.26_NRA_model_for_NEMO2 (EMC Update) v0.29.2_NRA_model_for_NEMO2 (EMC Update) v0 30 1" xfId="1205" xr:uid="{00000000-0005-0000-0000-0000B5040000}"/>
    <cellStyle name="%_NRA_model_for_NEMO2 (EMC Update) v0.21_NRA_model_for_NEMO2 (EMC Update) v0.22_NRA_model_for_NEMO2 (EMC Update) v0.25_NRA_model_for_NEMO2 (EMC Update) v0.26_NRA_model_for_NEMO2 (EMC Update) v0.29.2_NRA_model_for_NEMO2 (EMC Update) v0.29.3" xfId="1206" xr:uid="{00000000-0005-0000-0000-0000B6040000}"/>
    <cellStyle name="%_NRA_model_for_NEMO2 (EMC Update) v0.21_NRA_model_for_NEMO2 (EMC Update) v0.22_NRA_model_for_NEMO2 (EMC Update) v0.25_NRA_model_for_NEMO2 (EMC Update) v0.26_NRA_model_for_NEMO2 (EMC Update) v0.29.2_NRA_model_for_NEMO2 (EMC Update) v0.29.4" xfId="1207" xr:uid="{00000000-0005-0000-0000-0000B7040000}"/>
    <cellStyle name="%_NRA_model_for_NEMO2 (EMC Update) v0.21_NRA_model_for_NEMO2 (EMC Update) v0.22_NRA_model_for_NEMO2 (EMC Update) v0.25_NRA_model_for_NEMO2 (EMC Update) v0.26_NRA_model_for_NEMO2 (EMC Update) v0.29.2_NRA_model_for_NEMO2 (EMC Update) v0.29.5" xfId="1208" xr:uid="{00000000-0005-0000-0000-0000B8040000}"/>
    <cellStyle name="%_NRA_model_for_NEMO2 (EMC Update) v0.21_NRA_model_for_NEMO2 (EMC Update) v0.22_NRA_model_for_NEMO2 (EMC Update) v0.25_NRA_model_for_NEMO2 (EMC Update) v0.26_NRA_model_for_NEMO2 (EMC Update) v0.29.3" xfId="1209" xr:uid="{00000000-0005-0000-0000-0000B9040000}"/>
    <cellStyle name="%_NRA_model_for_NEMO2 (EMC Update) v0.21_NRA_model_for_NEMO2 (EMC Update) v0.22_NRA_model_for_NEMO2 (EMC Update) v0.25_NRA_model_for_NEMO2 (EMC Update) v0.26_NRA_model_for_NEMO2 (EMC Update) v0.29.3_NRA_model_for_NEMO2 (EMC Update) v0 30 1" xfId="1210" xr:uid="{00000000-0005-0000-0000-0000BA040000}"/>
    <cellStyle name="%_NRA_model_for_NEMO2 (EMC Update) v0.21_NRA_model_for_NEMO2 (EMC Update) v0.22_NRA_model_for_NEMO2 (EMC Update) v0.25_NRA_model_for_NEMO2 (EMC Update) v0.26_NRA_model_for_NEMO2 (EMC Update) v0.29.3_NRA_model_for_NEMO2 (EMC Update) v0.29.5" xfId="1211" xr:uid="{00000000-0005-0000-0000-0000BB040000}"/>
    <cellStyle name="%_NRA_model_for_NEMO2 (EMC Update) v0.21_NRA_model_for_NEMO2 (EMC Update) v0.22_NRA_model_for_NEMO2 (EMC Update) v0.25_NRA_model_for_NEMO2 (EMC Update) v0.26_NRA_model_for_NEMO2 (EMC Update) v0.29.4" xfId="1212" xr:uid="{00000000-0005-0000-0000-0000BC040000}"/>
    <cellStyle name="%_NRA_model_for_NEMO2 (EMC Update) v0.21_NRA_model_for_NEMO2 (EMC Update) v0.22_NRA_model_for_NEMO2 (EMC Update) v0.25_NRA_model_for_NEMO2 (EMC Update) v0.26_NRA_model_for_NEMO2 (EMC Update) v0.29.4_NRA_model_for_NEMO2 (EMC Update) v0 30 1" xfId="1213" xr:uid="{00000000-0005-0000-0000-0000BD040000}"/>
    <cellStyle name="%_NRA_model_for_NEMO2 (EMC Update) v0.21_NRA_model_for_NEMO2 (EMC Update) v0.22_NRA_model_for_NEMO2 (EMC Update) v0.25_NRA_model_for_NEMO2 (EMC Update) v0.26_NRA_model_for_NEMO2 (EMC Update) v0.29.4_NRA_model_for_NEMO2 (EMC Update) v0.29.5" xfId="1214" xr:uid="{00000000-0005-0000-0000-0000BE040000}"/>
    <cellStyle name="%_NRA_model_for_NEMO2 (EMC Update) v0.21_NRA_model_for_NEMO2 (EMC Update) v0.22_NRA_model_for_NEMO2 (EMC Update) v0.25_NRA_model_for_NEMO2 (EMC Update) v0.26_NRA_model_for_NEMO2 (EMC Update) v0.29.5" xfId="1215" xr:uid="{00000000-0005-0000-0000-0000BF040000}"/>
    <cellStyle name="%_NRA_model_for_NEMO2 (EMC Update) v0.21_NRA_model_for_NEMO2 (EMC Update) v0.22_NRA_model_for_NEMO2 (EMC Update) v0.25_NRA_model_for_NEMO2 (EMC Update) v0.26_NRA_model_for_NEMO2 (EMC Update) v0.29.5_NRA_model_for_NEMO2 (EMC Update) v0 30 1" xfId="1216" xr:uid="{00000000-0005-0000-0000-0000C0040000}"/>
    <cellStyle name="%_NRA_model_for_NEMO2 (EMC Update) v0.21_NRA_model_for_NEMO2 (EMC Update) v0.22_NRA_model_for_NEMO2 (EMC Update) v0.25_NRA_model_for_NEMO2 (EMC Update) v0.29" xfId="1222" xr:uid="{00000000-0005-0000-0000-0000C6040000}"/>
    <cellStyle name="%_NRA_model_for_NEMO2 (EMC Update) v0.21_NRA_model_for_NEMO2 (EMC Update) v0.22_NRA_model_for_NEMO2 (EMC Update) v0.25_NRA_model_for_NEMO2 (EMC Update) v0.29_NRA_model_for_NEMO2 (EMC Update) v0 30 1" xfId="1243" xr:uid="{00000000-0005-0000-0000-0000DB040000}"/>
    <cellStyle name="%_NRA_model_for_NEMO2 (EMC Update) v0.21_NRA_model_for_NEMO2 (EMC Update) v0.22_NRA_model_for_NEMO2 (EMC Update) v0.25_NRA_model_for_NEMO2 (EMC Update) v0.29_NRA_model_for_NEMO2 (EMC Update) v0.29.2" xfId="1244" xr:uid="{00000000-0005-0000-0000-0000DC040000}"/>
    <cellStyle name="%_NRA_model_for_NEMO2 (EMC Update) v0.21_NRA_model_for_NEMO2 (EMC Update) v0.22_NRA_model_for_NEMO2 (EMC Update) v0.25_NRA_model_for_NEMO2 (EMC Update) v0.29_NRA_model_for_NEMO2 (EMC Update) v0.29.2_NRA_model_for_NEMO2 (EMC Update) v0 30 1" xfId="1245" xr:uid="{00000000-0005-0000-0000-0000DD040000}"/>
    <cellStyle name="%_NRA_model_for_NEMO2 (EMC Update) v0.21_NRA_model_for_NEMO2 (EMC Update) v0.22_NRA_model_for_NEMO2 (EMC Update) v0.25_NRA_model_for_NEMO2 (EMC Update) v0.29_NRA_model_for_NEMO2 (EMC Update) v0.29.2_NRA_model_for_NEMO2 (EMC Update) v0.29.3" xfId="1246" xr:uid="{00000000-0005-0000-0000-0000DE040000}"/>
    <cellStyle name="%_NRA_model_for_NEMO2 (EMC Update) v0.21_NRA_model_for_NEMO2 (EMC Update) v0.22_NRA_model_for_NEMO2 (EMC Update) v0.25_NRA_model_for_NEMO2 (EMC Update) v0.29_NRA_model_for_NEMO2 (EMC Update) v0.29.2_NRA_model_for_NEMO2 (EMC Update) v0.29.4" xfId="1247" xr:uid="{00000000-0005-0000-0000-0000DF040000}"/>
    <cellStyle name="%_NRA_model_for_NEMO2 (EMC Update) v0.21_NRA_model_for_NEMO2 (EMC Update) v0.22_NRA_model_for_NEMO2 (EMC Update) v0.25_NRA_model_for_NEMO2 (EMC Update) v0.29_NRA_model_for_NEMO2 (EMC Update) v0.29.2_NRA_model_for_NEMO2 (EMC Update) v0.29.5" xfId="1248" xr:uid="{00000000-0005-0000-0000-0000E0040000}"/>
    <cellStyle name="%_NRA_model_for_NEMO2 (EMC Update) v0.21_NRA_model_for_NEMO2 (EMC Update) v0.22_NRA_model_for_NEMO2 (EMC Update) v0.25_NRA_model_for_NEMO2 (EMC Update) v0.29_NRA_model_for_NEMO2 (EMC Update) v0.29.3" xfId="1249" xr:uid="{00000000-0005-0000-0000-0000E1040000}"/>
    <cellStyle name="%_NRA_model_for_NEMO2 (EMC Update) v0.21_NRA_model_for_NEMO2 (EMC Update) v0.22_NRA_model_for_NEMO2 (EMC Update) v0.25_NRA_model_for_NEMO2 (EMC Update) v0.29_NRA_model_for_NEMO2 (EMC Update) v0.29.3_NRA_model_for_NEMO2 (EMC Update) v0 30 1" xfId="1250" xr:uid="{00000000-0005-0000-0000-0000E2040000}"/>
    <cellStyle name="%_NRA_model_for_NEMO2 (EMC Update) v0.21_NRA_model_for_NEMO2 (EMC Update) v0.22_NRA_model_for_NEMO2 (EMC Update) v0.25_NRA_model_for_NEMO2 (EMC Update) v0.29_NRA_model_for_NEMO2 (EMC Update) v0.29.3_NRA_model_for_NEMO2 (EMC Update) v0.29.5" xfId="1251" xr:uid="{00000000-0005-0000-0000-0000E3040000}"/>
    <cellStyle name="%_NRA_model_for_NEMO2 (EMC Update) v0.21_NRA_model_for_NEMO2 (EMC Update) v0.22_NRA_model_for_NEMO2 (EMC Update) v0.25_NRA_model_for_NEMO2 (EMC Update) v0.29_NRA_model_for_NEMO2 (EMC Update) v0.29.4" xfId="1252" xr:uid="{00000000-0005-0000-0000-0000E4040000}"/>
    <cellStyle name="%_NRA_model_for_NEMO2 (EMC Update) v0.21_NRA_model_for_NEMO2 (EMC Update) v0.22_NRA_model_for_NEMO2 (EMC Update) v0.25_NRA_model_for_NEMO2 (EMC Update) v0.29_NRA_model_for_NEMO2 (EMC Update) v0.29.4_NRA_model_for_NEMO2 (EMC Update) v0 30 1" xfId="1253" xr:uid="{00000000-0005-0000-0000-0000E5040000}"/>
    <cellStyle name="%_NRA_model_for_NEMO2 (EMC Update) v0.21_NRA_model_for_NEMO2 (EMC Update) v0.22_NRA_model_for_NEMO2 (EMC Update) v0.25_NRA_model_for_NEMO2 (EMC Update) v0.29_NRA_model_for_NEMO2 (EMC Update) v0.29.4_NRA_model_for_NEMO2 (EMC Update) v0.29.5" xfId="1254" xr:uid="{00000000-0005-0000-0000-0000E6040000}"/>
    <cellStyle name="%_NRA_model_for_NEMO2 (EMC Update) v0.21_NRA_model_for_NEMO2 (EMC Update) v0.22_NRA_model_for_NEMO2 (EMC Update) v0.25_NRA_model_for_NEMO2 (EMC Update) v0.29_NRA_model_for_NEMO2 (EMC Update) v0.29.5" xfId="1255" xr:uid="{00000000-0005-0000-0000-0000E7040000}"/>
    <cellStyle name="%_NRA_model_for_NEMO2 (EMC Update) v0.21_NRA_model_for_NEMO2 (EMC Update) v0.22_NRA_model_for_NEMO2 (EMC Update) v0.25_NRA_model_for_NEMO2 (EMC Update) v0.29_NRA_model_for_NEMO2 (EMC Update) v0.29.5_NRA_model_for_NEMO2 (EMC Update) v0 30 1" xfId="1256" xr:uid="{00000000-0005-0000-0000-0000E8040000}"/>
    <cellStyle name="%_NRA_model_for_NEMO2 (EMC Update) v0.21_NRA_model_for_NEMO2 (EMC Update) v0.22_NRA_model_for_NEMO2 (EMC Update) v0.25_NRA_model_for_NEMO2 (EMC Update) v0.29.2" xfId="1223" xr:uid="{00000000-0005-0000-0000-0000C7040000}"/>
    <cellStyle name="%_NRA_model_for_NEMO2 (EMC Update) v0.21_NRA_model_for_NEMO2 (EMC Update) v0.22_NRA_model_for_NEMO2 (EMC Update) v0.25_NRA_model_for_NEMO2 (EMC Update) v0.29.2_NRA_model_for_NEMO2 (EMC Update) v0 30 1" xfId="1224" xr:uid="{00000000-0005-0000-0000-0000C8040000}"/>
    <cellStyle name="%_NRA_model_for_NEMO2 (EMC Update) v0.21_NRA_model_for_NEMO2 (EMC Update) v0.22_NRA_model_for_NEMO2 (EMC Update) v0.25_NRA_model_for_NEMO2 (EMC Update) v0.29.2_NRA_model_for_NEMO2 (EMC Update) v0.29.3" xfId="1225" xr:uid="{00000000-0005-0000-0000-0000C9040000}"/>
    <cellStyle name="%_NRA_model_for_NEMO2 (EMC Update) v0.21_NRA_model_for_NEMO2 (EMC Update) v0.22_NRA_model_for_NEMO2 (EMC Update) v0.25_NRA_model_for_NEMO2 (EMC Update) v0.29.2_NRA_model_for_NEMO2 (EMC Update) v0.29.3_NRA_model_for_NEMO2 (EMC Update) v0 30 1" xfId="1226" xr:uid="{00000000-0005-0000-0000-0000CA040000}"/>
    <cellStyle name="%_NRA_model_for_NEMO2 (EMC Update) v0.21_NRA_model_for_NEMO2 (EMC Update) v0.22_NRA_model_for_NEMO2 (EMC Update) v0.25_NRA_model_for_NEMO2 (EMC Update) v0.29.2_NRA_model_for_NEMO2 (EMC Update) v0.29.3_NRA_model_for_NEMO2 (EMC Update) v0.29.5" xfId="1227" xr:uid="{00000000-0005-0000-0000-0000CB040000}"/>
    <cellStyle name="%_NRA_model_for_NEMO2 (EMC Update) v0.21_NRA_model_for_NEMO2 (EMC Update) v0.22_NRA_model_for_NEMO2 (EMC Update) v0.25_NRA_model_for_NEMO2 (EMC Update) v0.29.2_NRA_model_for_NEMO2 (EMC Update) v0.29.4" xfId="1228" xr:uid="{00000000-0005-0000-0000-0000CC040000}"/>
    <cellStyle name="%_NRA_model_for_NEMO2 (EMC Update) v0.21_NRA_model_for_NEMO2 (EMC Update) v0.22_NRA_model_for_NEMO2 (EMC Update) v0.25_NRA_model_for_NEMO2 (EMC Update) v0.29.2_NRA_model_for_NEMO2 (EMC Update) v0.29.4_NRA_model_for_NEMO2 (EMC Update) v0 30 1" xfId="1229" xr:uid="{00000000-0005-0000-0000-0000CD040000}"/>
    <cellStyle name="%_NRA_model_for_NEMO2 (EMC Update) v0.21_NRA_model_for_NEMO2 (EMC Update) v0.22_NRA_model_for_NEMO2 (EMC Update) v0.25_NRA_model_for_NEMO2 (EMC Update) v0.29.2_NRA_model_for_NEMO2 (EMC Update) v0.29.4_NRA_model_for_NEMO2 (EMC Update) v0.29.5" xfId="1230" xr:uid="{00000000-0005-0000-0000-0000CE040000}"/>
    <cellStyle name="%_NRA_model_for_NEMO2 (EMC Update) v0.21_NRA_model_for_NEMO2 (EMC Update) v0.22_NRA_model_for_NEMO2 (EMC Update) v0.25_NRA_model_for_NEMO2 (EMC Update) v0.29.2_NRA_model_for_NEMO2 (EMC Update) v0.29.5" xfId="1231" xr:uid="{00000000-0005-0000-0000-0000CF040000}"/>
    <cellStyle name="%_NRA_model_for_NEMO2 (EMC Update) v0.21_NRA_model_for_NEMO2 (EMC Update) v0.22_NRA_model_for_NEMO2 (EMC Update) v0.25_NRA_model_for_NEMO2 (EMC Update) v0.29.2_NRA_model_for_NEMO2 (EMC Update) v0.29.5_NRA_model_for_NEMO2 (EMC Update) v0 30 1" xfId="1232" xr:uid="{00000000-0005-0000-0000-0000D0040000}"/>
    <cellStyle name="%_NRA_model_for_NEMO2 (EMC Update) v0.21_NRA_model_for_NEMO2 (EMC Update) v0.22_NRA_model_for_NEMO2 (EMC Update) v0.25_NRA_model_for_NEMO2 (EMC Update) v0.29.3" xfId="1233" xr:uid="{00000000-0005-0000-0000-0000D1040000}"/>
    <cellStyle name="%_NRA_model_for_NEMO2 (EMC Update) v0.21_NRA_model_for_NEMO2 (EMC Update) v0.22_NRA_model_for_NEMO2 (EMC Update) v0.25_NRA_model_for_NEMO2 (EMC Update) v0.29.3_NRA_model_for_NEMO2 (EMC Update) v0 30 1" xfId="1234" xr:uid="{00000000-0005-0000-0000-0000D2040000}"/>
    <cellStyle name="%_NRA_model_for_NEMO2 (EMC Update) v0.21_NRA_model_for_NEMO2 (EMC Update) v0.22_NRA_model_for_NEMO2 (EMC Update) v0.25_NRA_model_for_NEMO2 (EMC Update) v0.29.3_NRA_model_for_NEMO2 (EMC Update) v0.29.5" xfId="1235" xr:uid="{00000000-0005-0000-0000-0000D3040000}"/>
    <cellStyle name="%_NRA_model_for_NEMO2 (EMC Update) v0.21_NRA_model_for_NEMO2 (EMC Update) v0.22_NRA_model_for_NEMO2 (EMC Update) v0.25_NRA_model_for_NEMO2 (EMC Update) v0.29.3_NRA_model_for_NEMO2 (EMC Update) v0.29.5_NRA_model_for_NEMO2 (EMC Update) v0 30 1" xfId="1236" xr:uid="{00000000-0005-0000-0000-0000D4040000}"/>
    <cellStyle name="%_NRA_model_for_NEMO2 (EMC Update) v0.21_NRA_model_for_NEMO2 (EMC Update) v0.22_NRA_model_for_NEMO2 (EMC Update) v0.25_NRA_model_for_NEMO2 (EMC Update) v0.29.4" xfId="1237" xr:uid="{00000000-0005-0000-0000-0000D5040000}"/>
    <cellStyle name="%_NRA_model_for_NEMO2 (EMC Update) v0.21_NRA_model_for_NEMO2 (EMC Update) v0.22_NRA_model_for_NEMO2 (EMC Update) v0.25_NRA_model_for_NEMO2 (EMC Update) v0.29.4_NRA_model_for_NEMO2 (EMC Update) v0 30 1" xfId="1238" xr:uid="{00000000-0005-0000-0000-0000D6040000}"/>
    <cellStyle name="%_NRA_model_for_NEMO2 (EMC Update) v0.21_NRA_model_for_NEMO2 (EMC Update) v0.22_NRA_model_for_NEMO2 (EMC Update) v0.25_NRA_model_for_NEMO2 (EMC Update) v0.29.4_NRA_model_for_NEMO2 (EMC Update) v0.29.5" xfId="1239" xr:uid="{00000000-0005-0000-0000-0000D7040000}"/>
    <cellStyle name="%_NRA_model_for_NEMO2 (EMC Update) v0.21_NRA_model_for_NEMO2 (EMC Update) v0.22_NRA_model_for_NEMO2 (EMC Update) v0.25_NRA_model_for_NEMO2 (EMC Update) v0.29.4_NRA_model_for_NEMO2 (EMC Update) v0.29.5_NRA_model_for_NEMO2 (EMC Update) v0 30 1" xfId="1240" xr:uid="{00000000-0005-0000-0000-0000D8040000}"/>
    <cellStyle name="%_NRA_model_for_NEMO2 (EMC Update) v0.21_NRA_model_for_NEMO2 (EMC Update) v0.22_NRA_model_for_NEMO2 (EMC Update) v0.25_NRA_model_for_NEMO2 (EMC Update) v0.29.5" xfId="1241" xr:uid="{00000000-0005-0000-0000-0000D9040000}"/>
    <cellStyle name="%_NRA_model_for_NEMO2 (EMC Update) v0.21_NRA_model_for_NEMO2 (EMC Update) v0.22_NRA_model_for_NEMO2 (EMC Update) v0.25_NRA_model_for_NEMO2 (EMC Update) v0.29.5_NRA_model_for_NEMO2 (EMC Update) v0 30 1" xfId="1242" xr:uid="{00000000-0005-0000-0000-0000DA040000}"/>
    <cellStyle name="%_NRA_model_for_NEMO2 (EMC Update) v0.21_NRA_model_for_NEMO2 (EMC Update) v0.22_NRA_model_for_NEMO2 (EMC Update) v0.26" xfId="1257" xr:uid="{00000000-0005-0000-0000-0000E9040000}"/>
    <cellStyle name="%_NRA_model_for_NEMO2 (EMC Update) v0.21_NRA_model_for_NEMO2 (EMC Update) v0.22_NRA_model_for_NEMO2 (EMC Update) v0.26_NRA_model_for_NEMO2 (EMC Update) v0 30 1" xfId="1258" xr:uid="{00000000-0005-0000-0000-0000EA040000}"/>
    <cellStyle name="%_NRA_model_for_NEMO2 (EMC Update) v0.21_NRA_model_for_NEMO2 (EMC Update) v0.22_NRA_model_for_NEMO2 (EMC Update) v0.26_NRA_model_for_NEMO2 (EMC Update) v0.29" xfId="1259" xr:uid="{00000000-0005-0000-0000-0000EB040000}"/>
    <cellStyle name="%_NRA_model_for_NEMO2 (EMC Update) v0.21_NRA_model_for_NEMO2 (EMC Update) v0.22_NRA_model_for_NEMO2 (EMC Update) v0.26_NRA_model_for_NEMO2 (EMC Update) v0.29_NRA_model_for_NEMO2 (EMC Update) v0 30 1" xfId="1280" xr:uid="{00000000-0005-0000-0000-000000050000}"/>
    <cellStyle name="%_NRA_model_for_NEMO2 (EMC Update) v0.21_NRA_model_for_NEMO2 (EMC Update) v0.22_NRA_model_for_NEMO2 (EMC Update) v0.26_NRA_model_for_NEMO2 (EMC Update) v0.29_NRA_model_for_NEMO2 (EMC Update) v0.29.2" xfId="1281" xr:uid="{00000000-0005-0000-0000-000001050000}"/>
    <cellStyle name="%_NRA_model_for_NEMO2 (EMC Update) v0.21_NRA_model_for_NEMO2 (EMC Update) v0.22_NRA_model_for_NEMO2 (EMC Update) v0.26_NRA_model_for_NEMO2 (EMC Update) v0.29_NRA_model_for_NEMO2 (EMC Update) v0.29.2_NRA_model_for_NEMO2 (EMC Update) v0 30 1" xfId="1282" xr:uid="{00000000-0005-0000-0000-000002050000}"/>
    <cellStyle name="%_NRA_model_for_NEMO2 (EMC Update) v0.21_NRA_model_for_NEMO2 (EMC Update) v0.22_NRA_model_for_NEMO2 (EMC Update) v0.26_NRA_model_for_NEMO2 (EMC Update) v0.29_NRA_model_for_NEMO2 (EMC Update) v0.29.2_NRA_model_for_NEMO2 (EMC Update) v0.29.3" xfId="1283" xr:uid="{00000000-0005-0000-0000-000003050000}"/>
    <cellStyle name="%_NRA_model_for_NEMO2 (EMC Update) v0.21_NRA_model_for_NEMO2 (EMC Update) v0.22_NRA_model_for_NEMO2 (EMC Update) v0.26_NRA_model_for_NEMO2 (EMC Update) v0.29_NRA_model_for_NEMO2 (EMC Update) v0.29.2_NRA_model_for_NEMO2 (EMC Update) v0.29.4" xfId="1284" xr:uid="{00000000-0005-0000-0000-000004050000}"/>
    <cellStyle name="%_NRA_model_for_NEMO2 (EMC Update) v0.21_NRA_model_for_NEMO2 (EMC Update) v0.22_NRA_model_for_NEMO2 (EMC Update) v0.26_NRA_model_for_NEMO2 (EMC Update) v0.29_NRA_model_for_NEMO2 (EMC Update) v0.29.2_NRA_model_for_NEMO2 (EMC Update) v0.29.5" xfId="1285" xr:uid="{00000000-0005-0000-0000-000005050000}"/>
    <cellStyle name="%_NRA_model_for_NEMO2 (EMC Update) v0.21_NRA_model_for_NEMO2 (EMC Update) v0.22_NRA_model_for_NEMO2 (EMC Update) v0.26_NRA_model_for_NEMO2 (EMC Update) v0.29_NRA_model_for_NEMO2 (EMC Update) v0.29.3" xfId="1286" xr:uid="{00000000-0005-0000-0000-000006050000}"/>
    <cellStyle name="%_NRA_model_for_NEMO2 (EMC Update) v0.21_NRA_model_for_NEMO2 (EMC Update) v0.22_NRA_model_for_NEMO2 (EMC Update) v0.26_NRA_model_for_NEMO2 (EMC Update) v0.29_NRA_model_for_NEMO2 (EMC Update) v0.29.3_NRA_model_for_NEMO2 (EMC Update) v0 30 1" xfId="1287" xr:uid="{00000000-0005-0000-0000-000007050000}"/>
    <cellStyle name="%_NRA_model_for_NEMO2 (EMC Update) v0.21_NRA_model_for_NEMO2 (EMC Update) v0.22_NRA_model_for_NEMO2 (EMC Update) v0.26_NRA_model_for_NEMO2 (EMC Update) v0.29_NRA_model_for_NEMO2 (EMC Update) v0.29.3_NRA_model_for_NEMO2 (EMC Update) v0.29.5" xfId="1288" xr:uid="{00000000-0005-0000-0000-000008050000}"/>
    <cellStyle name="%_NRA_model_for_NEMO2 (EMC Update) v0.21_NRA_model_for_NEMO2 (EMC Update) v0.22_NRA_model_for_NEMO2 (EMC Update) v0.26_NRA_model_for_NEMO2 (EMC Update) v0.29_NRA_model_for_NEMO2 (EMC Update) v0.29.4" xfId="1289" xr:uid="{00000000-0005-0000-0000-000009050000}"/>
    <cellStyle name="%_NRA_model_for_NEMO2 (EMC Update) v0.21_NRA_model_for_NEMO2 (EMC Update) v0.22_NRA_model_for_NEMO2 (EMC Update) v0.26_NRA_model_for_NEMO2 (EMC Update) v0.29_NRA_model_for_NEMO2 (EMC Update) v0.29.4_NRA_model_for_NEMO2 (EMC Update) v0 30 1" xfId="1290" xr:uid="{00000000-0005-0000-0000-00000A050000}"/>
    <cellStyle name="%_NRA_model_for_NEMO2 (EMC Update) v0.21_NRA_model_for_NEMO2 (EMC Update) v0.22_NRA_model_for_NEMO2 (EMC Update) v0.26_NRA_model_for_NEMO2 (EMC Update) v0.29_NRA_model_for_NEMO2 (EMC Update) v0.29.4_NRA_model_for_NEMO2 (EMC Update) v0.29.5" xfId="1291" xr:uid="{00000000-0005-0000-0000-00000B050000}"/>
    <cellStyle name="%_NRA_model_for_NEMO2 (EMC Update) v0.21_NRA_model_for_NEMO2 (EMC Update) v0.22_NRA_model_for_NEMO2 (EMC Update) v0.26_NRA_model_for_NEMO2 (EMC Update) v0.29_NRA_model_for_NEMO2 (EMC Update) v0.29.5" xfId="1292" xr:uid="{00000000-0005-0000-0000-00000C050000}"/>
    <cellStyle name="%_NRA_model_for_NEMO2 (EMC Update) v0.21_NRA_model_for_NEMO2 (EMC Update) v0.22_NRA_model_for_NEMO2 (EMC Update) v0.26_NRA_model_for_NEMO2 (EMC Update) v0.29_NRA_model_for_NEMO2 (EMC Update) v0.29.5_NRA_model_for_NEMO2 (EMC Update) v0 30 1" xfId="1293" xr:uid="{00000000-0005-0000-0000-00000D050000}"/>
    <cellStyle name="%_NRA_model_for_NEMO2 (EMC Update) v0.21_NRA_model_for_NEMO2 (EMC Update) v0.22_NRA_model_for_NEMO2 (EMC Update) v0.26_NRA_model_for_NEMO2 (EMC Update) v0.29.2" xfId="1260" xr:uid="{00000000-0005-0000-0000-0000EC040000}"/>
    <cellStyle name="%_NRA_model_for_NEMO2 (EMC Update) v0.21_NRA_model_for_NEMO2 (EMC Update) v0.22_NRA_model_for_NEMO2 (EMC Update) v0.26_NRA_model_for_NEMO2 (EMC Update) v0.29.2_NRA_model_for_NEMO2 (EMC Update) v0 30 1" xfId="1261" xr:uid="{00000000-0005-0000-0000-0000ED040000}"/>
    <cellStyle name="%_NRA_model_for_NEMO2 (EMC Update) v0.21_NRA_model_for_NEMO2 (EMC Update) v0.22_NRA_model_for_NEMO2 (EMC Update) v0.26_NRA_model_for_NEMO2 (EMC Update) v0.29.2_NRA_model_for_NEMO2 (EMC Update) v0.29.3" xfId="1262" xr:uid="{00000000-0005-0000-0000-0000EE040000}"/>
    <cellStyle name="%_NRA_model_for_NEMO2 (EMC Update) v0.21_NRA_model_for_NEMO2 (EMC Update) v0.22_NRA_model_for_NEMO2 (EMC Update) v0.26_NRA_model_for_NEMO2 (EMC Update) v0.29.2_NRA_model_for_NEMO2 (EMC Update) v0.29.3_NRA_model_for_NEMO2 (EMC Update) v0 30 1" xfId="1263" xr:uid="{00000000-0005-0000-0000-0000EF040000}"/>
    <cellStyle name="%_NRA_model_for_NEMO2 (EMC Update) v0.21_NRA_model_for_NEMO2 (EMC Update) v0.22_NRA_model_for_NEMO2 (EMC Update) v0.26_NRA_model_for_NEMO2 (EMC Update) v0.29.2_NRA_model_for_NEMO2 (EMC Update) v0.29.3_NRA_model_for_NEMO2 (EMC Update) v0.29.5" xfId="1264" xr:uid="{00000000-0005-0000-0000-0000F0040000}"/>
    <cellStyle name="%_NRA_model_for_NEMO2 (EMC Update) v0.21_NRA_model_for_NEMO2 (EMC Update) v0.22_NRA_model_for_NEMO2 (EMC Update) v0.26_NRA_model_for_NEMO2 (EMC Update) v0.29.2_NRA_model_for_NEMO2 (EMC Update) v0.29.4" xfId="1265" xr:uid="{00000000-0005-0000-0000-0000F1040000}"/>
    <cellStyle name="%_NRA_model_for_NEMO2 (EMC Update) v0.21_NRA_model_for_NEMO2 (EMC Update) v0.22_NRA_model_for_NEMO2 (EMC Update) v0.26_NRA_model_for_NEMO2 (EMC Update) v0.29.2_NRA_model_for_NEMO2 (EMC Update) v0.29.4_NRA_model_for_NEMO2 (EMC Update) v0 30 1" xfId="1266" xr:uid="{00000000-0005-0000-0000-0000F2040000}"/>
    <cellStyle name="%_NRA_model_for_NEMO2 (EMC Update) v0.21_NRA_model_for_NEMO2 (EMC Update) v0.22_NRA_model_for_NEMO2 (EMC Update) v0.26_NRA_model_for_NEMO2 (EMC Update) v0.29.2_NRA_model_for_NEMO2 (EMC Update) v0.29.4_NRA_model_for_NEMO2 (EMC Update) v0.29.5" xfId="1267" xr:uid="{00000000-0005-0000-0000-0000F3040000}"/>
    <cellStyle name="%_NRA_model_for_NEMO2 (EMC Update) v0.21_NRA_model_for_NEMO2 (EMC Update) v0.22_NRA_model_for_NEMO2 (EMC Update) v0.26_NRA_model_for_NEMO2 (EMC Update) v0.29.2_NRA_model_for_NEMO2 (EMC Update) v0.29.5" xfId="1268" xr:uid="{00000000-0005-0000-0000-0000F4040000}"/>
    <cellStyle name="%_NRA_model_for_NEMO2 (EMC Update) v0.21_NRA_model_for_NEMO2 (EMC Update) v0.22_NRA_model_for_NEMO2 (EMC Update) v0.26_NRA_model_for_NEMO2 (EMC Update) v0.29.2_NRA_model_for_NEMO2 (EMC Update) v0.29.5_NRA_model_for_NEMO2 (EMC Update) v0 30 1" xfId="1269" xr:uid="{00000000-0005-0000-0000-0000F5040000}"/>
    <cellStyle name="%_NRA_model_for_NEMO2 (EMC Update) v0.21_NRA_model_for_NEMO2 (EMC Update) v0.22_NRA_model_for_NEMO2 (EMC Update) v0.26_NRA_model_for_NEMO2 (EMC Update) v0.29.3" xfId="1270" xr:uid="{00000000-0005-0000-0000-0000F6040000}"/>
    <cellStyle name="%_NRA_model_for_NEMO2 (EMC Update) v0.21_NRA_model_for_NEMO2 (EMC Update) v0.22_NRA_model_for_NEMO2 (EMC Update) v0.26_NRA_model_for_NEMO2 (EMC Update) v0.29.3_NRA_model_for_NEMO2 (EMC Update) v0 30 1" xfId="1271" xr:uid="{00000000-0005-0000-0000-0000F7040000}"/>
    <cellStyle name="%_NRA_model_for_NEMO2 (EMC Update) v0.21_NRA_model_for_NEMO2 (EMC Update) v0.22_NRA_model_for_NEMO2 (EMC Update) v0.26_NRA_model_for_NEMO2 (EMC Update) v0.29.3_NRA_model_for_NEMO2 (EMC Update) v0.29.5" xfId="1272" xr:uid="{00000000-0005-0000-0000-0000F8040000}"/>
    <cellStyle name="%_NRA_model_for_NEMO2 (EMC Update) v0.21_NRA_model_for_NEMO2 (EMC Update) v0.22_NRA_model_for_NEMO2 (EMC Update) v0.26_NRA_model_for_NEMO2 (EMC Update) v0.29.3_NRA_model_for_NEMO2 (EMC Update) v0.29.5_NRA_model_for_NEMO2 (EMC Update) v0 30 1" xfId="1273" xr:uid="{00000000-0005-0000-0000-0000F9040000}"/>
    <cellStyle name="%_NRA_model_for_NEMO2 (EMC Update) v0.21_NRA_model_for_NEMO2 (EMC Update) v0.22_NRA_model_for_NEMO2 (EMC Update) v0.26_NRA_model_for_NEMO2 (EMC Update) v0.29.4" xfId="1274" xr:uid="{00000000-0005-0000-0000-0000FA040000}"/>
    <cellStyle name="%_NRA_model_for_NEMO2 (EMC Update) v0.21_NRA_model_for_NEMO2 (EMC Update) v0.22_NRA_model_for_NEMO2 (EMC Update) v0.26_NRA_model_for_NEMO2 (EMC Update) v0.29.4_NRA_model_for_NEMO2 (EMC Update) v0 30 1" xfId="1275" xr:uid="{00000000-0005-0000-0000-0000FB040000}"/>
    <cellStyle name="%_NRA_model_for_NEMO2 (EMC Update) v0.21_NRA_model_for_NEMO2 (EMC Update) v0.22_NRA_model_for_NEMO2 (EMC Update) v0.26_NRA_model_for_NEMO2 (EMC Update) v0.29.4_NRA_model_for_NEMO2 (EMC Update) v0.29.5" xfId="1276" xr:uid="{00000000-0005-0000-0000-0000FC040000}"/>
    <cellStyle name="%_NRA_model_for_NEMO2 (EMC Update) v0.21_NRA_model_for_NEMO2 (EMC Update) v0.22_NRA_model_for_NEMO2 (EMC Update) v0.26_NRA_model_for_NEMO2 (EMC Update) v0.29.4_NRA_model_for_NEMO2 (EMC Update) v0.29.5_NRA_model_for_NEMO2 (EMC Update) v0 30 1" xfId="1277" xr:uid="{00000000-0005-0000-0000-0000FD040000}"/>
    <cellStyle name="%_NRA_model_for_NEMO2 (EMC Update) v0.21_NRA_model_for_NEMO2 (EMC Update) v0.22_NRA_model_for_NEMO2 (EMC Update) v0.26_NRA_model_for_NEMO2 (EMC Update) v0.29.5" xfId="1278" xr:uid="{00000000-0005-0000-0000-0000FE040000}"/>
    <cellStyle name="%_NRA_model_for_NEMO2 (EMC Update) v0.21_NRA_model_for_NEMO2 (EMC Update) v0.22_NRA_model_for_NEMO2 (EMC Update) v0.26_NRA_model_for_NEMO2 (EMC Update) v0.29.5_NRA_model_for_NEMO2 (EMC Update) v0 30 1" xfId="1279" xr:uid="{00000000-0005-0000-0000-0000FF040000}"/>
    <cellStyle name="%_NRA_model_for_NEMO2 (EMC Update) v0.21_NRA_model_for_NEMO2 (EMC Update) v0.22_NRA_model_for_NEMO2 (EMC Update) v0.29" xfId="1294" xr:uid="{00000000-0005-0000-0000-00000E050000}"/>
    <cellStyle name="%_NRA_model_for_NEMO2 (EMC Update) v0.21_NRA_model_for_NEMO2 (EMC Update) v0.22_NRA_model_for_NEMO2 (EMC Update) v0.29_NRA_model_for_NEMO2 (EMC Update) v0 30 1" xfId="1317" xr:uid="{00000000-0005-0000-0000-000025050000}"/>
    <cellStyle name="%_NRA_model_for_NEMO2 (EMC Update) v0.21_NRA_model_for_NEMO2 (EMC Update) v0.22_NRA_model_for_NEMO2 (EMC Update) v0.29_NRA_model_for_NEMO2 (EMC Update) v0.29.2" xfId="1318" xr:uid="{00000000-0005-0000-0000-000026050000}"/>
    <cellStyle name="%_NRA_model_for_NEMO2 (EMC Update) v0.21_NRA_model_for_NEMO2 (EMC Update) v0.22_NRA_model_for_NEMO2 (EMC Update) v0.29_NRA_model_for_NEMO2 (EMC Update) v0.29.2_NRA_model_for_NEMO2 (EMC Update) v0 30 1" xfId="1319" xr:uid="{00000000-0005-0000-0000-000027050000}"/>
    <cellStyle name="%_NRA_model_for_NEMO2 (EMC Update) v0.21_NRA_model_for_NEMO2 (EMC Update) v0.22_NRA_model_for_NEMO2 (EMC Update) v0.29_NRA_model_for_NEMO2 (EMC Update) v0.29.2_NRA_model_for_NEMO2 (EMC Update) v0.29.3" xfId="1320" xr:uid="{00000000-0005-0000-0000-000028050000}"/>
    <cellStyle name="%_NRA_model_for_NEMO2 (EMC Update) v0.21_NRA_model_for_NEMO2 (EMC Update) v0.22_NRA_model_for_NEMO2 (EMC Update) v0.29_NRA_model_for_NEMO2 (EMC Update) v0.29.2_NRA_model_for_NEMO2 (EMC Update) v0.29.3_NRA_model_for_NEMO2 (EMC Update) v0 30 1" xfId="1321" xr:uid="{00000000-0005-0000-0000-000029050000}"/>
    <cellStyle name="%_NRA_model_for_NEMO2 (EMC Update) v0.21_NRA_model_for_NEMO2 (EMC Update) v0.22_NRA_model_for_NEMO2 (EMC Update) v0.29_NRA_model_for_NEMO2 (EMC Update) v0.29.2_NRA_model_for_NEMO2 (EMC Update) v0.29.3_NRA_model_for_NEMO2 (EMC Update) v0.29.5" xfId="1322" xr:uid="{00000000-0005-0000-0000-00002A050000}"/>
    <cellStyle name="%_NRA_model_for_NEMO2 (EMC Update) v0.21_NRA_model_for_NEMO2 (EMC Update) v0.22_NRA_model_for_NEMO2 (EMC Update) v0.29_NRA_model_for_NEMO2 (EMC Update) v0.29.2_NRA_model_for_NEMO2 (EMC Update) v0.29.4" xfId="1323" xr:uid="{00000000-0005-0000-0000-00002B050000}"/>
    <cellStyle name="%_NRA_model_for_NEMO2 (EMC Update) v0.21_NRA_model_for_NEMO2 (EMC Update) v0.22_NRA_model_for_NEMO2 (EMC Update) v0.29_NRA_model_for_NEMO2 (EMC Update) v0.29.2_NRA_model_for_NEMO2 (EMC Update) v0.29.4_NRA_model_for_NEMO2 (EMC Update) v0 30 1" xfId="1324" xr:uid="{00000000-0005-0000-0000-00002C050000}"/>
    <cellStyle name="%_NRA_model_for_NEMO2 (EMC Update) v0.21_NRA_model_for_NEMO2 (EMC Update) v0.22_NRA_model_for_NEMO2 (EMC Update) v0.29_NRA_model_for_NEMO2 (EMC Update) v0.29.2_NRA_model_for_NEMO2 (EMC Update) v0.29.4_NRA_model_for_NEMO2 (EMC Update) v0.29.5" xfId="1325" xr:uid="{00000000-0005-0000-0000-00002D050000}"/>
    <cellStyle name="%_NRA_model_for_NEMO2 (EMC Update) v0.21_NRA_model_for_NEMO2 (EMC Update) v0.22_NRA_model_for_NEMO2 (EMC Update) v0.29_NRA_model_for_NEMO2 (EMC Update) v0.29.2_NRA_model_for_NEMO2 (EMC Update) v0.29.5" xfId="1326" xr:uid="{00000000-0005-0000-0000-00002E050000}"/>
    <cellStyle name="%_NRA_model_for_NEMO2 (EMC Update) v0.21_NRA_model_for_NEMO2 (EMC Update) v0.22_NRA_model_for_NEMO2 (EMC Update) v0.29_NRA_model_for_NEMO2 (EMC Update) v0.29.2_NRA_model_for_NEMO2 (EMC Update) v0.29.5_NRA_model_for_NEMO2 (EMC Update) v0 30 1" xfId="1327" xr:uid="{00000000-0005-0000-0000-00002F050000}"/>
    <cellStyle name="%_NRA_model_for_NEMO2 (EMC Update) v0.21_NRA_model_for_NEMO2 (EMC Update) v0.22_NRA_model_for_NEMO2 (EMC Update) v0.29_NRA_model_for_NEMO2 (EMC Update) v0.29.3" xfId="1328" xr:uid="{00000000-0005-0000-0000-000030050000}"/>
    <cellStyle name="%_NRA_model_for_NEMO2 (EMC Update) v0.21_NRA_model_for_NEMO2 (EMC Update) v0.22_NRA_model_for_NEMO2 (EMC Update) v0.29_NRA_model_for_NEMO2 (EMC Update) v0.29.3_NRA_model_for_NEMO2 (EMC Update) v0 30 1" xfId="1329" xr:uid="{00000000-0005-0000-0000-000031050000}"/>
    <cellStyle name="%_NRA_model_for_NEMO2 (EMC Update) v0.21_NRA_model_for_NEMO2 (EMC Update) v0.22_NRA_model_for_NEMO2 (EMC Update) v0.29_NRA_model_for_NEMO2 (EMC Update) v0.29.3_NRA_model_for_NEMO2 (EMC Update) v0.29.5" xfId="1330" xr:uid="{00000000-0005-0000-0000-000032050000}"/>
    <cellStyle name="%_NRA_model_for_NEMO2 (EMC Update) v0.21_NRA_model_for_NEMO2 (EMC Update) v0.22_NRA_model_for_NEMO2 (EMC Update) v0.29_NRA_model_for_NEMO2 (EMC Update) v0.29.3_NRA_model_for_NEMO2 (EMC Update) v0.29.5_NRA_model_for_NEMO2 (EMC Update) v0 30 1" xfId="1331" xr:uid="{00000000-0005-0000-0000-000033050000}"/>
    <cellStyle name="%_NRA_model_for_NEMO2 (EMC Update) v0.21_NRA_model_for_NEMO2 (EMC Update) v0.22_NRA_model_for_NEMO2 (EMC Update) v0.29_NRA_model_for_NEMO2 (EMC Update) v0.29.4" xfId="1332" xr:uid="{00000000-0005-0000-0000-000034050000}"/>
    <cellStyle name="%_NRA_model_for_NEMO2 (EMC Update) v0.21_NRA_model_for_NEMO2 (EMC Update) v0.22_NRA_model_for_NEMO2 (EMC Update) v0.29_NRA_model_for_NEMO2 (EMC Update) v0.29.4_NRA_model_for_NEMO2 (EMC Update) v0 30 1" xfId="1333" xr:uid="{00000000-0005-0000-0000-000035050000}"/>
    <cellStyle name="%_NRA_model_for_NEMO2 (EMC Update) v0.21_NRA_model_for_NEMO2 (EMC Update) v0.22_NRA_model_for_NEMO2 (EMC Update) v0.29_NRA_model_for_NEMO2 (EMC Update) v0.29.4_NRA_model_for_NEMO2 (EMC Update) v0.29.5" xfId="1334" xr:uid="{00000000-0005-0000-0000-000036050000}"/>
    <cellStyle name="%_NRA_model_for_NEMO2 (EMC Update) v0.21_NRA_model_for_NEMO2 (EMC Update) v0.22_NRA_model_for_NEMO2 (EMC Update) v0.29_NRA_model_for_NEMO2 (EMC Update) v0.29.4_NRA_model_for_NEMO2 (EMC Update) v0.29.5_NRA_model_for_NEMO2 (EMC Update) v0 30 1" xfId="1335" xr:uid="{00000000-0005-0000-0000-000037050000}"/>
    <cellStyle name="%_NRA_model_for_NEMO2 (EMC Update) v0.21_NRA_model_for_NEMO2 (EMC Update) v0.22_NRA_model_for_NEMO2 (EMC Update) v0.29_NRA_model_for_NEMO2 (EMC Update) v0.29.5" xfId="1336" xr:uid="{00000000-0005-0000-0000-000038050000}"/>
    <cellStyle name="%_NRA_model_for_NEMO2 (EMC Update) v0.21_NRA_model_for_NEMO2 (EMC Update) v0.22_NRA_model_for_NEMO2 (EMC Update) v0.29_NRA_model_for_NEMO2 (EMC Update) v0.29.5_NRA_model_for_NEMO2 (EMC Update) v0 30 1" xfId="1337" xr:uid="{00000000-0005-0000-0000-000039050000}"/>
    <cellStyle name="%_NRA_model_for_NEMO2 (EMC Update) v0.21_NRA_model_for_NEMO2 (EMC Update) v0.22_NRA_model_for_NEMO2 (EMC Update) v0.29.2" xfId="1295" xr:uid="{00000000-0005-0000-0000-00000F050000}"/>
    <cellStyle name="%_NRA_model_for_NEMO2 (EMC Update) v0.21_NRA_model_for_NEMO2 (EMC Update) v0.22_NRA_model_for_NEMO2 (EMC Update) v0.29.2_NRA_model_for_NEMO2 (EMC Update) v0 30 1" xfId="1296" xr:uid="{00000000-0005-0000-0000-000010050000}"/>
    <cellStyle name="%_NRA_model_for_NEMO2 (EMC Update) v0.21_NRA_model_for_NEMO2 (EMC Update) v0.22_NRA_model_for_NEMO2 (EMC Update) v0.29.2_NRA_model_for_NEMO2 (EMC Update) v0.29.3" xfId="1297" xr:uid="{00000000-0005-0000-0000-000011050000}"/>
    <cellStyle name="%_NRA_model_for_NEMO2 (EMC Update) v0.21_NRA_model_for_NEMO2 (EMC Update) v0.22_NRA_model_for_NEMO2 (EMC Update) v0.29.2_NRA_model_for_NEMO2 (EMC Update) v0.29.3_NRA_model_for_NEMO2 (EMC Update) v0 30 1" xfId="1298" xr:uid="{00000000-0005-0000-0000-000012050000}"/>
    <cellStyle name="%_NRA_model_for_NEMO2 (EMC Update) v0.21_NRA_model_for_NEMO2 (EMC Update) v0.22_NRA_model_for_NEMO2 (EMC Update) v0.29.2_NRA_model_for_NEMO2 (EMC Update) v0.29.3_NRA_model_for_NEMO2 (EMC Update) v0.29.5" xfId="1299" xr:uid="{00000000-0005-0000-0000-000013050000}"/>
    <cellStyle name="%_NRA_model_for_NEMO2 (EMC Update) v0.21_NRA_model_for_NEMO2 (EMC Update) v0.22_NRA_model_for_NEMO2 (EMC Update) v0.29.2_NRA_model_for_NEMO2 (EMC Update) v0.29.3_NRA_model_for_NEMO2 (EMC Update) v0.29.5_NRA_model_for_NEMO2 (EMC Update) v0 30 1" xfId="1300" xr:uid="{00000000-0005-0000-0000-000014050000}"/>
    <cellStyle name="%_NRA_model_for_NEMO2 (EMC Update) v0.21_NRA_model_for_NEMO2 (EMC Update) v0.22_NRA_model_for_NEMO2 (EMC Update) v0.29.2_NRA_model_for_NEMO2 (EMC Update) v0.29.4" xfId="1301" xr:uid="{00000000-0005-0000-0000-000015050000}"/>
    <cellStyle name="%_NRA_model_for_NEMO2 (EMC Update) v0.21_NRA_model_for_NEMO2 (EMC Update) v0.22_NRA_model_for_NEMO2 (EMC Update) v0.29.2_NRA_model_for_NEMO2 (EMC Update) v0.29.4_NRA_model_for_NEMO2 (EMC Update) v0 30 1" xfId="1302" xr:uid="{00000000-0005-0000-0000-000016050000}"/>
    <cellStyle name="%_NRA_model_for_NEMO2 (EMC Update) v0.21_NRA_model_for_NEMO2 (EMC Update) v0.22_NRA_model_for_NEMO2 (EMC Update) v0.29.2_NRA_model_for_NEMO2 (EMC Update) v0.29.4_NRA_model_for_NEMO2 (EMC Update) v0.29.5" xfId="1303" xr:uid="{00000000-0005-0000-0000-000017050000}"/>
    <cellStyle name="%_NRA_model_for_NEMO2 (EMC Update) v0.21_NRA_model_for_NEMO2 (EMC Update) v0.22_NRA_model_for_NEMO2 (EMC Update) v0.29.2_NRA_model_for_NEMO2 (EMC Update) v0.29.4_NRA_model_for_NEMO2 (EMC Update) v0.29.5_NRA_model_for_NEMO2 (EMC Update) v0 30 1" xfId="1304" xr:uid="{00000000-0005-0000-0000-000018050000}"/>
    <cellStyle name="%_NRA_model_for_NEMO2 (EMC Update) v0.21_NRA_model_for_NEMO2 (EMC Update) v0.22_NRA_model_for_NEMO2 (EMC Update) v0.29.2_NRA_model_for_NEMO2 (EMC Update) v0.29.5" xfId="1305" xr:uid="{00000000-0005-0000-0000-000019050000}"/>
    <cellStyle name="%_NRA_model_for_NEMO2 (EMC Update) v0.21_NRA_model_for_NEMO2 (EMC Update) v0.22_NRA_model_for_NEMO2 (EMC Update) v0.29.2_NRA_model_for_NEMO2 (EMC Update) v0.29.5_NRA_model_for_NEMO2 (EMC Update) v0 30 1" xfId="1306" xr:uid="{00000000-0005-0000-0000-00001A050000}"/>
    <cellStyle name="%_NRA_model_for_NEMO2 (EMC Update) v0.21_NRA_model_for_NEMO2 (EMC Update) v0.22_NRA_model_for_NEMO2 (EMC Update) v0.29.3" xfId="1307" xr:uid="{00000000-0005-0000-0000-00001B050000}"/>
    <cellStyle name="%_NRA_model_for_NEMO2 (EMC Update) v0.21_NRA_model_for_NEMO2 (EMC Update) v0.22_NRA_model_for_NEMO2 (EMC Update) v0.29.3_NRA_model_for_NEMO2 (EMC Update) v0 30 1" xfId="1308" xr:uid="{00000000-0005-0000-0000-00001C050000}"/>
    <cellStyle name="%_NRA_model_for_NEMO2 (EMC Update) v0.21_NRA_model_for_NEMO2 (EMC Update) v0.22_NRA_model_for_NEMO2 (EMC Update) v0.29.3_NRA_model_for_NEMO2 (EMC Update) v0.29.5" xfId="1309" xr:uid="{00000000-0005-0000-0000-00001D050000}"/>
    <cellStyle name="%_NRA_model_for_NEMO2 (EMC Update) v0.21_NRA_model_for_NEMO2 (EMC Update) v0.22_NRA_model_for_NEMO2 (EMC Update) v0.29.3_NRA_model_for_NEMO2 (EMC Update) v0.29.5_NRA_model_for_NEMO2 (EMC Update) v0 30 1" xfId="1310" xr:uid="{00000000-0005-0000-0000-00001E050000}"/>
    <cellStyle name="%_NRA_model_for_NEMO2 (EMC Update) v0.21_NRA_model_for_NEMO2 (EMC Update) v0.22_NRA_model_for_NEMO2 (EMC Update) v0.29.4" xfId="1311" xr:uid="{00000000-0005-0000-0000-00001F050000}"/>
    <cellStyle name="%_NRA_model_for_NEMO2 (EMC Update) v0.21_NRA_model_for_NEMO2 (EMC Update) v0.22_NRA_model_for_NEMO2 (EMC Update) v0.29.4_NRA_model_for_NEMO2 (EMC Update) v0 30 1" xfId="1312" xr:uid="{00000000-0005-0000-0000-000020050000}"/>
    <cellStyle name="%_NRA_model_for_NEMO2 (EMC Update) v0.21_NRA_model_for_NEMO2 (EMC Update) v0.22_NRA_model_for_NEMO2 (EMC Update) v0.29.4_NRA_model_for_NEMO2 (EMC Update) v0.29.5" xfId="1313" xr:uid="{00000000-0005-0000-0000-000021050000}"/>
    <cellStyle name="%_NRA_model_for_NEMO2 (EMC Update) v0.21_NRA_model_for_NEMO2 (EMC Update) v0.22_NRA_model_for_NEMO2 (EMC Update) v0.29.4_NRA_model_for_NEMO2 (EMC Update) v0.29.5_NRA_model_for_NEMO2 (EMC Update) v0 30 1" xfId="1314" xr:uid="{00000000-0005-0000-0000-000022050000}"/>
    <cellStyle name="%_NRA_model_for_NEMO2 (EMC Update) v0.21_NRA_model_for_NEMO2 (EMC Update) v0.22_NRA_model_for_NEMO2 (EMC Update) v0.29.5" xfId="1315" xr:uid="{00000000-0005-0000-0000-000023050000}"/>
    <cellStyle name="%_NRA_model_for_NEMO2 (EMC Update) v0.21_NRA_model_for_NEMO2 (EMC Update) v0.22_NRA_model_for_NEMO2 (EMC Update) v0.29.5_NRA_model_for_NEMO2 (EMC Update) v0 30 1" xfId="1316" xr:uid="{00000000-0005-0000-0000-000024050000}"/>
    <cellStyle name="%_NRA_model_for_NEMO2 (EMC Update) v0.21_NRA_model_for_NEMO2 (EMC Update) v0.25" xfId="1338" xr:uid="{00000000-0005-0000-0000-00003A050000}"/>
    <cellStyle name="%_NRA_model_for_NEMO2 (EMC Update) v0.21_NRA_model_for_NEMO2 (EMC Update) v0.25_NRA_model_for_NEMO2 (EMC Update) v0 30 1" xfId="1339" xr:uid="{00000000-0005-0000-0000-00003B050000}"/>
    <cellStyle name="%_NRA_model_for_NEMO2 (EMC Update) v0.21_NRA_model_for_NEMO2 (EMC Update) v0.25_NRA_model_for_NEMO2 (EMC Update) v0.26" xfId="1340" xr:uid="{00000000-0005-0000-0000-00003C050000}"/>
    <cellStyle name="%_NRA_model_for_NEMO2 (EMC Update) v0.21_NRA_model_for_NEMO2 (EMC Update) v0.25_NRA_model_for_NEMO2 (EMC Update) v0.26_NRA_model_for_NEMO2 (EMC Update) v0 30 1" xfId="1341" xr:uid="{00000000-0005-0000-0000-00003D050000}"/>
    <cellStyle name="%_NRA_model_for_NEMO2 (EMC Update) v0.21_NRA_model_for_NEMO2 (EMC Update) v0.25_NRA_model_for_NEMO2 (EMC Update) v0.26_NRA_model_for_NEMO2 (EMC Update) v0.29" xfId="1342" xr:uid="{00000000-0005-0000-0000-00003E050000}"/>
    <cellStyle name="%_NRA_model_for_NEMO2 (EMC Update) v0.21_NRA_model_for_NEMO2 (EMC Update) v0.25_NRA_model_for_NEMO2 (EMC Update) v0.26_NRA_model_for_NEMO2 (EMC Update) v0.29_NRA_model_for_NEMO2 (EMC Update) v0 30 1" xfId="1363" xr:uid="{00000000-0005-0000-0000-000053050000}"/>
    <cellStyle name="%_NRA_model_for_NEMO2 (EMC Update) v0.21_NRA_model_for_NEMO2 (EMC Update) v0.25_NRA_model_for_NEMO2 (EMC Update) v0.26_NRA_model_for_NEMO2 (EMC Update) v0.29_NRA_model_for_NEMO2 (EMC Update) v0.29.2" xfId="1364" xr:uid="{00000000-0005-0000-0000-000054050000}"/>
    <cellStyle name="%_NRA_model_for_NEMO2 (EMC Update) v0.21_NRA_model_for_NEMO2 (EMC Update) v0.25_NRA_model_for_NEMO2 (EMC Update) v0.26_NRA_model_for_NEMO2 (EMC Update) v0.29_NRA_model_for_NEMO2 (EMC Update) v0.29.2_NRA_model_for_NEMO2 (EMC Update) v0 30 1" xfId="1365" xr:uid="{00000000-0005-0000-0000-000055050000}"/>
    <cellStyle name="%_NRA_model_for_NEMO2 (EMC Update) v0.21_NRA_model_for_NEMO2 (EMC Update) v0.25_NRA_model_for_NEMO2 (EMC Update) v0.26_NRA_model_for_NEMO2 (EMC Update) v0.29_NRA_model_for_NEMO2 (EMC Update) v0.29.2_NRA_model_for_NEMO2 (EMC Update) v0.29.3" xfId="1366" xr:uid="{00000000-0005-0000-0000-000056050000}"/>
    <cellStyle name="%_NRA_model_for_NEMO2 (EMC Update) v0.21_NRA_model_for_NEMO2 (EMC Update) v0.25_NRA_model_for_NEMO2 (EMC Update) v0.26_NRA_model_for_NEMO2 (EMC Update) v0.29_NRA_model_for_NEMO2 (EMC Update) v0.29.2_NRA_model_for_NEMO2 (EMC Update) v0.29.4" xfId="1367" xr:uid="{00000000-0005-0000-0000-000057050000}"/>
    <cellStyle name="%_NRA_model_for_NEMO2 (EMC Update) v0.21_NRA_model_for_NEMO2 (EMC Update) v0.25_NRA_model_for_NEMO2 (EMC Update) v0.26_NRA_model_for_NEMO2 (EMC Update) v0.29_NRA_model_for_NEMO2 (EMC Update) v0.29.2_NRA_model_for_NEMO2 (EMC Update) v0.29.5" xfId="1368" xr:uid="{00000000-0005-0000-0000-000058050000}"/>
    <cellStyle name="%_NRA_model_for_NEMO2 (EMC Update) v0.21_NRA_model_for_NEMO2 (EMC Update) v0.25_NRA_model_for_NEMO2 (EMC Update) v0.26_NRA_model_for_NEMO2 (EMC Update) v0.29_NRA_model_for_NEMO2 (EMC Update) v0.29.3" xfId="1369" xr:uid="{00000000-0005-0000-0000-000059050000}"/>
    <cellStyle name="%_NRA_model_for_NEMO2 (EMC Update) v0.21_NRA_model_for_NEMO2 (EMC Update) v0.25_NRA_model_for_NEMO2 (EMC Update) v0.26_NRA_model_for_NEMO2 (EMC Update) v0.29_NRA_model_for_NEMO2 (EMC Update) v0.29.3_NRA_model_for_NEMO2 (EMC Update) v0 30 1" xfId="1370" xr:uid="{00000000-0005-0000-0000-00005A050000}"/>
    <cellStyle name="%_NRA_model_for_NEMO2 (EMC Update) v0.21_NRA_model_for_NEMO2 (EMC Update) v0.25_NRA_model_for_NEMO2 (EMC Update) v0.26_NRA_model_for_NEMO2 (EMC Update) v0.29_NRA_model_for_NEMO2 (EMC Update) v0.29.3_NRA_model_for_NEMO2 (EMC Update) v0.29.5" xfId="1371" xr:uid="{00000000-0005-0000-0000-00005B050000}"/>
    <cellStyle name="%_NRA_model_for_NEMO2 (EMC Update) v0.21_NRA_model_for_NEMO2 (EMC Update) v0.25_NRA_model_for_NEMO2 (EMC Update) v0.26_NRA_model_for_NEMO2 (EMC Update) v0.29_NRA_model_for_NEMO2 (EMC Update) v0.29.4" xfId="1372" xr:uid="{00000000-0005-0000-0000-00005C050000}"/>
    <cellStyle name="%_NRA_model_for_NEMO2 (EMC Update) v0.21_NRA_model_for_NEMO2 (EMC Update) v0.25_NRA_model_for_NEMO2 (EMC Update) v0.26_NRA_model_for_NEMO2 (EMC Update) v0.29_NRA_model_for_NEMO2 (EMC Update) v0.29.4_NRA_model_for_NEMO2 (EMC Update) v0 30 1" xfId="1373" xr:uid="{00000000-0005-0000-0000-00005D050000}"/>
    <cellStyle name="%_NRA_model_for_NEMO2 (EMC Update) v0.21_NRA_model_for_NEMO2 (EMC Update) v0.25_NRA_model_for_NEMO2 (EMC Update) v0.26_NRA_model_for_NEMO2 (EMC Update) v0.29_NRA_model_for_NEMO2 (EMC Update) v0.29.4_NRA_model_for_NEMO2 (EMC Update) v0.29.5" xfId="1374" xr:uid="{00000000-0005-0000-0000-00005E050000}"/>
    <cellStyle name="%_NRA_model_for_NEMO2 (EMC Update) v0.21_NRA_model_for_NEMO2 (EMC Update) v0.25_NRA_model_for_NEMO2 (EMC Update) v0.26_NRA_model_for_NEMO2 (EMC Update) v0.29_NRA_model_for_NEMO2 (EMC Update) v0.29.5" xfId="1375" xr:uid="{00000000-0005-0000-0000-00005F050000}"/>
    <cellStyle name="%_NRA_model_for_NEMO2 (EMC Update) v0.21_NRA_model_for_NEMO2 (EMC Update) v0.25_NRA_model_for_NEMO2 (EMC Update) v0.26_NRA_model_for_NEMO2 (EMC Update) v0.29_NRA_model_for_NEMO2 (EMC Update) v0.29.5_NRA_model_for_NEMO2 (EMC Update) v0 30 1" xfId="1376" xr:uid="{00000000-0005-0000-0000-000060050000}"/>
    <cellStyle name="%_NRA_model_for_NEMO2 (EMC Update) v0.21_NRA_model_for_NEMO2 (EMC Update) v0.25_NRA_model_for_NEMO2 (EMC Update) v0.26_NRA_model_for_NEMO2 (EMC Update) v0.29.2" xfId="1343" xr:uid="{00000000-0005-0000-0000-00003F050000}"/>
    <cellStyle name="%_NRA_model_for_NEMO2 (EMC Update) v0.21_NRA_model_for_NEMO2 (EMC Update) v0.25_NRA_model_for_NEMO2 (EMC Update) v0.26_NRA_model_for_NEMO2 (EMC Update) v0.29.2_NRA_model_for_NEMO2 (EMC Update) v0 30 1" xfId="1344" xr:uid="{00000000-0005-0000-0000-000040050000}"/>
    <cellStyle name="%_NRA_model_for_NEMO2 (EMC Update) v0.21_NRA_model_for_NEMO2 (EMC Update) v0.25_NRA_model_for_NEMO2 (EMC Update) v0.26_NRA_model_for_NEMO2 (EMC Update) v0.29.2_NRA_model_for_NEMO2 (EMC Update) v0.29.3" xfId="1345" xr:uid="{00000000-0005-0000-0000-000041050000}"/>
    <cellStyle name="%_NRA_model_for_NEMO2 (EMC Update) v0.21_NRA_model_for_NEMO2 (EMC Update) v0.25_NRA_model_for_NEMO2 (EMC Update) v0.26_NRA_model_for_NEMO2 (EMC Update) v0.29.2_NRA_model_for_NEMO2 (EMC Update) v0.29.3_NRA_model_for_NEMO2 (EMC Update) v0 30 1" xfId="1346" xr:uid="{00000000-0005-0000-0000-000042050000}"/>
    <cellStyle name="%_NRA_model_for_NEMO2 (EMC Update) v0.21_NRA_model_for_NEMO2 (EMC Update) v0.25_NRA_model_for_NEMO2 (EMC Update) v0.26_NRA_model_for_NEMO2 (EMC Update) v0.29.2_NRA_model_for_NEMO2 (EMC Update) v0.29.3_NRA_model_for_NEMO2 (EMC Update) v0.29.5" xfId="1347" xr:uid="{00000000-0005-0000-0000-000043050000}"/>
    <cellStyle name="%_NRA_model_for_NEMO2 (EMC Update) v0.21_NRA_model_for_NEMO2 (EMC Update) v0.25_NRA_model_for_NEMO2 (EMC Update) v0.26_NRA_model_for_NEMO2 (EMC Update) v0.29.2_NRA_model_for_NEMO2 (EMC Update) v0.29.4" xfId="1348" xr:uid="{00000000-0005-0000-0000-000044050000}"/>
    <cellStyle name="%_NRA_model_for_NEMO2 (EMC Update) v0.21_NRA_model_for_NEMO2 (EMC Update) v0.25_NRA_model_for_NEMO2 (EMC Update) v0.26_NRA_model_for_NEMO2 (EMC Update) v0.29.2_NRA_model_for_NEMO2 (EMC Update) v0.29.4_NRA_model_for_NEMO2 (EMC Update) v0 30 1" xfId="1349" xr:uid="{00000000-0005-0000-0000-000045050000}"/>
    <cellStyle name="%_NRA_model_for_NEMO2 (EMC Update) v0.21_NRA_model_for_NEMO2 (EMC Update) v0.25_NRA_model_for_NEMO2 (EMC Update) v0.26_NRA_model_for_NEMO2 (EMC Update) v0.29.2_NRA_model_for_NEMO2 (EMC Update) v0.29.4_NRA_model_for_NEMO2 (EMC Update) v0.29.5" xfId="1350" xr:uid="{00000000-0005-0000-0000-000046050000}"/>
    <cellStyle name="%_NRA_model_for_NEMO2 (EMC Update) v0.21_NRA_model_for_NEMO2 (EMC Update) v0.25_NRA_model_for_NEMO2 (EMC Update) v0.26_NRA_model_for_NEMO2 (EMC Update) v0.29.2_NRA_model_for_NEMO2 (EMC Update) v0.29.5" xfId="1351" xr:uid="{00000000-0005-0000-0000-000047050000}"/>
    <cellStyle name="%_NRA_model_for_NEMO2 (EMC Update) v0.21_NRA_model_for_NEMO2 (EMC Update) v0.25_NRA_model_for_NEMO2 (EMC Update) v0.26_NRA_model_for_NEMO2 (EMC Update) v0.29.2_NRA_model_for_NEMO2 (EMC Update) v0.29.5_NRA_model_for_NEMO2 (EMC Update) v0 30 1" xfId="1352" xr:uid="{00000000-0005-0000-0000-000048050000}"/>
    <cellStyle name="%_NRA_model_for_NEMO2 (EMC Update) v0.21_NRA_model_for_NEMO2 (EMC Update) v0.25_NRA_model_for_NEMO2 (EMC Update) v0.26_NRA_model_for_NEMO2 (EMC Update) v0.29.3" xfId="1353" xr:uid="{00000000-0005-0000-0000-000049050000}"/>
    <cellStyle name="%_NRA_model_for_NEMO2 (EMC Update) v0.21_NRA_model_for_NEMO2 (EMC Update) v0.25_NRA_model_for_NEMO2 (EMC Update) v0.26_NRA_model_for_NEMO2 (EMC Update) v0.29.3_NRA_model_for_NEMO2 (EMC Update) v0 30 1" xfId="1354" xr:uid="{00000000-0005-0000-0000-00004A050000}"/>
    <cellStyle name="%_NRA_model_for_NEMO2 (EMC Update) v0.21_NRA_model_for_NEMO2 (EMC Update) v0.25_NRA_model_for_NEMO2 (EMC Update) v0.26_NRA_model_for_NEMO2 (EMC Update) v0.29.3_NRA_model_for_NEMO2 (EMC Update) v0.29.5" xfId="1355" xr:uid="{00000000-0005-0000-0000-00004B050000}"/>
    <cellStyle name="%_NRA_model_for_NEMO2 (EMC Update) v0.21_NRA_model_for_NEMO2 (EMC Update) v0.25_NRA_model_for_NEMO2 (EMC Update) v0.26_NRA_model_for_NEMO2 (EMC Update) v0.29.3_NRA_model_for_NEMO2 (EMC Update) v0.29.5_NRA_model_for_NEMO2 (EMC Update) v0 30 1" xfId="1356" xr:uid="{00000000-0005-0000-0000-00004C050000}"/>
    <cellStyle name="%_NRA_model_for_NEMO2 (EMC Update) v0.21_NRA_model_for_NEMO2 (EMC Update) v0.25_NRA_model_for_NEMO2 (EMC Update) v0.26_NRA_model_for_NEMO2 (EMC Update) v0.29.4" xfId="1357" xr:uid="{00000000-0005-0000-0000-00004D050000}"/>
    <cellStyle name="%_NRA_model_for_NEMO2 (EMC Update) v0.21_NRA_model_for_NEMO2 (EMC Update) v0.25_NRA_model_for_NEMO2 (EMC Update) v0.26_NRA_model_for_NEMO2 (EMC Update) v0.29.4_NRA_model_for_NEMO2 (EMC Update) v0 30 1" xfId="1358" xr:uid="{00000000-0005-0000-0000-00004E050000}"/>
    <cellStyle name="%_NRA_model_for_NEMO2 (EMC Update) v0.21_NRA_model_for_NEMO2 (EMC Update) v0.25_NRA_model_for_NEMO2 (EMC Update) v0.26_NRA_model_for_NEMO2 (EMC Update) v0.29.4_NRA_model_for_NEMO2 (EMC Update) v0.29.5" xfId="1359" xr:uid="{00000000-0005-0000-0000-00004F050000}"/>
    <cellStyle name="%_NRA_model_for_NEMO2 (EMC Update) v0.21_NRA_model_for_NEMO2 (EMC Update) v0.25_NRA_model_for_NEMO2 (EMC Update) v0.26_NRA_model_for_NEMO2 (EMC Update) v0.29.4_NRA_model_for_NEMO2 (EMC Update) v0.29.5_NRA_model_for_NEMO2 (EMC Update) v0 30 1" xfId="1360" xr:uid="{00000000-0005-0000-0000-000050050000}"/>
    <cellStyle name="%_NRA_model_for_NEMO2 (EMC Update) v0.21_NRA_model_for_NEMO2 (EMC Update) v0.25_NRA_model_for_NEMO2 (EMC Update) v0.26_NRA_model_for_NEMO2 (EMC Update) v0.29.5" xfId="1361" xr:uid="{00000000-0005-0000-0000-000051050000}"/>
    <cellStyle name="%_NRA_model_for_NEMO2 (EMC Update) v0.21_NRA_model_for_NEMO2 (EMC Update) v0.25_NRA_model_for_NEMO2 (EMC Update) v0.26_NRA_model_for_NEMO2 (EMC Update) v0.29.5_NRA_model_for_NEMO2 (EMC Update) v0 30 1" xfId="1362" xr:uid="{00000000-0005-0000-0000-000052050000}"/>
    <cellStyle name="%_NRA_model_for_NEMO2 (EMC Update) v0.21_NRA_model_for_NEMO2 (EMC Update) v0.25_NRA_model_for_NEMO2 (EMC Update) v0.29" xfId="1377" xr:uid="{00000000-0005-0000-0000-000061050000}"/>
    <cellStyle name="%_NRA_model_for_NEMO2 (EMC Update) v0.21_NRA_model_for_NEMO2 (EMC Update) v0.25_NRA_model_for_NEMO2 (EMC Update) v0.29_NRA_model_for_NEMO2 (EMC Update) v0 30 1" xfId="1400" xr:uid="{00000000-0005-0000-0000-000078050000}"/>
    <cellStyle name="%_NRA_model_for_NEMO2 (EMC Update) v0.21_NRA_model_for_NEMO2 (EMC Update) v0.25_NRA_model_for_NEMO2 (EMC Update) v0.29_NRA_model_for_NEMO2 (EMC Update) v0.29.2" xfId="1401" xr:uid="{00000000-0005-0000-0000-000079050000}"/>
    <cellStyle name="%_NRA_model_for_NEMO2 (EMC Update) v0.21_NRA_model_for_NEMO2 (EMC Update) v0.25_NRA_model_for_NEMO2 (EMC Update) v0.29_NRA_model_for_NEMO2 (EMC Update) v0.29.2_NRA_model_for_NEMO2 (EMC Update) v0 30 1" xfId="1402" xr:uid="{00000000-0005-0000-0000-00007A050000}"/>
    <cellStyle name="%_NRA_model_for_NEMO2 (EMC Update) v0.21_NRA_model_for_NEMO2 (EMC Update) v0.25_NRA_model_for_NEMO2 (EMC Update) v0.29_NRA_model_for_NEMO2 (EMC Update) v0.29.2_NRA_model_for_NEMO2 (EMC Update) v0.29.3" xfId="1403" xr:uid="{00000000-0005-0000-0000-00007B050000}"/>
    <cellStyle name="%_NRA_model_for_NEMO2 (EMC Update) v0.21_NRA_model_for_NEMO2 (EMC Update) v0.25_NRA_model_for_NEMO2 (EMC Update) v0.29_NRA_model_for_NEMO2 (EMC Update) v0.29.2_NRA_model_for_NEMO2 (EMC Update) v0.29.3_NRA_model_for_NEMO2 (EMC Update) v0 30 1" xfId="1404" xr:uid="{00000000-0005-0000-0000-00007C050000}"/>
    <cellStyle name="%_NRA_model_for_NEMO2 (EMC Update) v0.21_NRA_model_for_NEMO2 (EMC Update) v0.25_NRA_model_for_NEMO2 (EMC Update) v0.29_NRA_model_for_NEMO2 (EMC Update) v0.29.2_NRA_model_for_NEMO2 (EMC Update) v0.29.3_NRA_model_for_NEMO2 (EMC Update) v0.29.5" xfId="1405" xr:uid="{00000000-0005-0000-0000-00007D050000}"/>
    <cellStyle name="%_NRA_model_for_NEMO2 (EMC Update) v0.21_NRA_model_for_NEMO2 (EMC Update) v0.25_NRA_model_for_NEMO2 (EMC Update) v0.29_NRA_model_for_NEMO2 (EMC Update) v0.29.2_NRA_model_for_NEMO2 (EMC Update) v0.29.4" xfId="1406" xr:uid="{00000000-0005-0000-0000-00007E050000}"/>
    <cellStyle name="%_NRA_model_for_NEMO2 (EMC Update) v0.21_NRA_model_for_NEMO2 (EMC Update) v0.25_NRA_model_for_NEMO2 (EMC Update) v0.29_NRA_model_for_NEMO2 (EMC Update) v0.29.2_NRA_model_for_NEMO2 (EMC Update) v0.29.4_NRA_model_for_NEMO2 (EMC Update) v0 30 1" xfId="1407" xr:uid="{00000000-0005-0000-0000-00007F050000}"/>
    <cellStyle name="%_NRA_model_for_NEMO2 (EMC Update) v0.21_NRA_model_for_NEMO2 (EMC Update) v0.25_NRA_model_for_NEMO2 (EMC Update) v0.29_NRA_model_for_NEMO2 (EMC Update) v0.29.2_NRA_model_for_NEMO2 (EMC Update) v0.29.4_NRA_model_for_NEMO2 (EMC Update) v0.29.5" xfId="1408" xr:uid="{00000000-0005-0000-0000-000080050000}"/>
    <cellStyle name="%_NRA_model_for_NEMO2 (EMC Update) v0.21_NRA_model_for_NEMO2 (EMC Update) v0.25_NRA_model_for_NEMO2 (EMC Update) v0.29_NRA_model_for_NEMO2 (EMC Update) v0.29.2_NRA_model_for_NEMO2 (EMC Update) v0.29.5" xfId="1409" xr:uid="{00000000-0005-0000-0000-000081050000}"/>
    <cellStyle name="%_NRA_model_for_NEMO2 (EMC Update) v0.21_NRA_model_for_NEMO2 (EMC Update) v0.25_NRA_model_for_NEMO2 (EMC Update) v0.29_NRA_model_for_NEMO2 (EMC Update) v0.29.2_NRA_model_for_NEMO2 (EMC Update) v0.29.5_NRA_model_for_NEMO2 (EMC Update) v0 30 1" xfId="1410" xr:uid="{00000000-0005-0000-0000-000082050000}"/>
    <cellStyle name="%_NRA_model_for_NEMO2 (EMC Update) v0.21_NRA_model_for_NEMO2 (EMC Update) v0.25_NRA_model_for_NEMO2 (EMC Update) v0.29_NRA_model_for_NEMO2 (EMC Update) v0.29.3" xfId="1411" xr:uid="{00000000-0005-0000-0000-000083050000}"/>
    <cellStyle name="%_NRA_model_for_NEMO2 (EMC Update) v0.21_NRA_model_for_NEMO2 (EMC Update) v0.25_NRA_model_for_NEMO2 (EMC Update) v0.29_NRA_model_for_NEMO2 (EMC Update) v0.29.3_NRA_model_for_NEMO2 (EMC Update) v0 30 1" xfId="1412" xr:uid="{00000000-0005-0000-0000-000084050000}"/>
    <cellStyle name="%_NRA_model_for_NEMO2 (EMC Update) v0.21_NRA_model_for_NEMO2 (EMC Update) v0.25_NRA_model_for_NEMO2 (EMC Update) v0.29_NRA_model_for_NEMO2 (EMC Update) v0.29.3_NRA_model_for_NEMO2 (EMC Update) v0.29.5" xfId="1413" xr:uid="{00000000-0005-0000-0000-000085050000}"/>
    <cellStyle name="%_NRA_model_for_NEMO2 (EMC Update) v0.21_NRA_model_for_NEMO2 (EMC Update) v0.25_NRA_model_for_NEMO2 (EMC Update) v0.29_NRA_model_for_NEMO2 (EMC Update) v0.29.3_NRA_model_for_NEMO2 (EMC Update) v0.29.5_NRA_model_for_NEMO2 (EMC Update) v0 30 1" xfId="1414" xr:uid="{00000000-0005-0000-0000-000086050000}"/>
    <cellStyle name="%_NRA_model_for_NEMO2 (EMC Update) v0.21_NRA_model_for_NEMO2 (EMC Update) v0.25_NRA_model_for_NEMO2 (EMC Update) v0.29_NRA_model_for_NEMO2 (EMC Update) v0.29.4" xfId="1415" xr:uid="{00000000-0005-0000-0000-000087050000}"/>
    <cellStyle name="%_NRA_model_for_NEMO2 (EMC Update) v0.21_NRA_model_for_NEMO2 (EMC Update) v0.25_NRA_model_for_NEMO2 (EMC Update) v0.29_NRA_model_for_NEMO2 (EMC Update) v0.29.4_NRA_model_for_NEMO2 (EMC Update) v0 30 1" xfId="1416" xr:uid="{00000000-0005-0000-0000-000088050000}"/>
    <cellStyle name="%_NRA_model_for_NEMO2 (EMC Update) v0.21_NRA_model_for_NEMO2 (EMC Update) v0.25_NRA_model_for_NEMO2 (EMC Update) v0.29_NRA_model_for_NEMO2 (EMC Update) v0.29.4_NRA_model_for_NEMO2 (EMC Update) v0.29.5" xfId="1417" xr:uid="{00000000-0005-0000-0000-000089050000}"/>
    <cellStyle name="%_NRA_model_for_NEMO2 (EMC Update) v0.21_NRA_model_for_NEMO2 (EMC Update) v0.25_NRA_model_for_NEMO2 (EMC Update) v0.29_NRA_model_for_NEMO2 (EMC Update) v0.29.4_NRA_model_for_NEMO2 (EMC Update) v0.29.5_NRA_model_for_NEMO2 (EMC Update) v0 30 1" xfId="1418" xr:uid="{00000000-0005-0000-0000-00008A050000}"/>
    <cellStyle name="%_NRA_model_for_NEMO2 (EMC Update) v0.21_NRA_model_for_NEMO2 (EMC Update) v0.25_NRA_model_for_NEMO2 (EMC Update) v0.29_NRA_model_for_NEMO2 (EMC Update) v0.29.5" xfId="1419" xr:uid="{00000000-0005-0000-0000-00008B050000}"/>
    <cellStyle name="%_NRA_model_for_NEMO2 (EMC Update) v0.21_NRA_model_for_NEMO2 (EMC Update) v0.25_NRA_model_for_NEMO2 (EMC Update) v0.29_NRA_model_for_NEMO2 (EMC Update) v0.29.5_NRA_model_for_NEMO2 (EMC Update) v0 30 1" xfId="1420" xr:uid="{00000000-0005-0000-0000-00008C050000}"/>
    <cellStyle name="%_NRA_model_for_NEMO2 (EMC Update) v0.21_NRA_model_for_NEMO2 (EMC Update) v0.25_NRA_model_for_NEMO2 (EMC Update) v0.29.2" xfId="1378" xr:uid="{00000000-0005-0000-0000-000062050000}"/>
    <cellStyle name="%_NRA_model_for_NEMO2 (EMC Update) v0.21_NRA_model_for_NEMO2 (EMC Update) v0.25_NRA_model_for_NEMO2 (EMC Update) v0.29.2_NRA_model_for_NEMO2 (EMC Update) v0 30 1" xfId="1379" xr:uid="{00000000-0005-0000-0000-000063050000}"/>
    <cellStyle name="%_NRA_model_for_NEMO2 (EMC Update) v0.21_NRA_model_for_NEMO2 (EMC Update) v0.25_NRA_model_for_NEMO2 (EMC Update) v0.29.2_NRA_model_for_NEMO2 (EMC Update) v0.29.3" xfId="1380" xr:uid="{00000000-0005-0000-0000-000064050000}"/>
    <cellStyle name="%_NRA_model_for_NEMO2 (EMC Update) v0.21_NRA_model_for_NEMO2 (EMC Update) v0.25_NRA_model_for_NEMO2 (EMC Update) v0.29.2_NRA_model_for_NEMO2 (EMC Update) v0.29.3_NRA_model_for_NEMO2 (EMC Update) v0 30 1" xfId="1381" xr:uid="{00000000-0005-0000-0000-000065050000}"/>
    <cellStyle name="%_NRA_model_for_NEMO2 (EMC Update) v0.21_NRA_model_for_NEMO2 (EMC Update) v0.25_NRA_model_for_NEMO2 (EMC Update) v0.29.2_NRA_model_for_NEMO2 (EMC Update) v0.29.3_NRA_model_for_NEMO2 (EMC Update) v0.29.5" xfId="1382" xr:uid="{00000000-0005-0000-0000-000066050000}"/>
    <cellStyle name="%_NRA_model_for_NEMO2 (EMC Update) v0.21_NRA_model_for_NEMO2 (EMC Update) v0.25_NRA_model_for_NEMO2 (EMC Update) v0.29.2_NRA_model_for_NEMO2 (EMC Update) v0.29.3_NRA_model_for_NEMO2 (EMC Update) v0.29.5_NRA_model_for_NEMO2 (EMC Update) v0 30 1" xfId="1383" xr:uid="{00000000-0005-0000-0000-000067050000}"/>
    <cellStyle name="%_NRA_model_for_NEMO2 (EMC Update) v0.21_NRA_model_for_NEMO2 (EMC Update) v0.25_NRA_model_for_NEMO2 (EMC Update) v0.29.2_NRA_model_for_NEMO2 (EMC Update) v0.29.4" xfId="1384" xr:uid="{00000000-0005-0000-0000-000068050000}"/>
    <cellStyle name="%_NRA_model_for_NEMO2 (EMC Update) v0.21_NRA_model_for_NEMO2 (EMC Update) v0.25_NRA_model_for_NEMO2 (EMC Update) v0.29.2_NRA_model_for_NEMO2 (EMC Update) v0.29.4_NRA_model_for_NEMO2 (EMC Update) v0 30 1" xfId="1385" xr:uid="{00000000-0005-0000-0000-000069050000}"/>
    <cellStyle name="%_NRA_model_for_NEMO2 (EMC Update) v0.21_NRA_model_for_NEMO2 (EMC Update) v0.25_NRA_model_for_NEMO2 (EMC Update) v0.29.2_NRA_model_for_NEMO2 (EMC Update) v0.29.4_NRA_model_for_NEMO2 (EMC Update) v0.29.5" xfId="1386" xr:uid="{00000000-0005-0000-0000-00006A050000}"/>
    <cellStyle name="%_NRA_model_for_NEMO2 (EMC Update) v0.21_NRA_model_for_NEMO2 (EMC Update) v0.25_NRA_model_for_NEMO2 (EMC Update) v0.29.2_NRA_model_for_NEMO2 (EMC Update) v0.29.4_NRA_model_for_NEMO2 (EMC Update) v0.29.5_NRA_model_for_NEMO2 (EMC Update) v0 30 1" xfId="1387" xr:uid="{00000000-0005-0000-0000-00006B050000}"/>
    <cellStyle name="%_NRA_model_for_NEMO2 (EMC Update) v0.21_NRA_model_for_NEMO2 (EMC Update) v0.25_NRA_model_for_NEMO2 (EMC Update) v0.29.2_NRA_model_for_NEMO2 (EMC Update) v0.29.5" xfId="1388" xr:uid="{00000000-0005-0000-0000-00006C050000}"/>
    <cellStyle name="%_NRA_model_for_NEMO2 (EMC Update) v0.21_NRA_model_for_NEMO2 (EMC Update) v0.25_NRA_model_for_NEMO2 (EMC Update) v0.29.2_NRA_model_for_NEMO2 (EMC Update) v0.29.5_NRA_model_for_NEMO2 (EMC Update) v0 30 1" xfId="1389" xr:uid="{00000000-0005-0000-0000-00006D050000}"/>
    <cellStyle name="%_NRA_model_for_NEMO2 (EMC Update) v0.21_NRA_model_for_NEMO2 (EMC Update) v0.25_NRA_model_for_NEMO2 (EMC Update) v0.29.3" xfId="1390" xr:uid="{00000000-0005-0000-0000-00006E050000}"/>
    <cellStyle name="%_NRA_model_for_NEMO2 (EMC Update) v0.21_NRA_model_for_NEMO2 (EMC Update) v0.25_NRA_model_for_NEMO2 (EMC Update) v0.29.3_NRA_model_for_NEMO2 (EMC Update) v0 30 1" xfId="1391" xr:uid="{00000000-0005-0000-0000-00006F050000}"/>
    <cellStyle name="%_NRA_model_for_NEMO2 (EMC Update) v0.21_NRA_model_for_NEMO2 (EMC Update) v0.25_NRA_model_for_NEMO2 (EMC Update) v0.29.3_NRA_model_for_NEMO2 (EMC Update) v0.29.5" xfId="1392" xr:uid="{00000000-0005-0000-0000-000070050000}"/>
    <cellStyle name="%_NRA_model_for_NEMO2 (EMC Update) v0.21_NRA_model_for_NEMO2 (EMC Update) v0.25_NRA_model_for_NEMO2 (EMC Update) v0.29.3_NRA_model_for_NEMO2 (EMC Update) v0.29.5_NRA_model_for_NEMO2 (EMC Update) v0 30 1" xfId="1393" xr:uid="{00000000-0005-0000-0000-000071050000}"/>
    <cellStyle name="%_NRA_model_for_NEMO2 (EMC Update) v0.21_NRA_model_for_NEMO2 (EMC Update) v0.25_NRA_model_for_NEMO2 (EMC Update) v0.29.4" xfId="1394" xr:uid="{00000000-0005-0000-0000-000072050000}"/>
    <cellStyle name="%_NRA_model_for_NEMO2 (EMC Update) v0.21_NRA_model_for_NEMO2 (EMC Update) v0.25_NRA_model_for_NEMO2 (EMC Update) v0.29.4_NRA_model_for_NEMO2 (EMC Update) v0 30 1" xfId="1395" xr:uid="{00000000-0005-0000-0000-000073050000}"/>
    <cellStyle name="%_NRA_model_for_NEMO2 (EMC Update) v0.21_NRA_model_for_NEMO2 (EMC Update) v0.25_NRA_model_for_NEMO2 (EMC Update) v0.29.4_NRA_model_for_NEMO2 (EMC Update) v0.29.5" xfId="1396" xr:uid="{00000000-0005-0000-0000-000074050000}"/>
    <cellStyle name="%_NRA_model_for_NEMO2 (EMC Update) v0.21_NRA_model_for_NEMO2 (EMC Update) v0.25_NRA_model_for_NEMO2 (EMC Update) v0.29.4_NRA_model_for_NEMO2 (EMC Update) v0.29.5_NRA_model_for_NEMO2 (EMC Update) v0 30 1" xfId="1397" xr:uid="{00000000-0005-0000-0000-000075050000}"/>
    <cellStyle name="%_NRA_model_for_NEMO2 (EMC Update) v0.21_NRA_model_for_NEMO2 (EMC Update) v0.25_NRA_model_for_NEMO2 (EMC Update) v0.29.5" xfId="1398" xr:uid="{00000000-0005-0000-0000-000076050000}"/>
    <cellStyle name="%_NRA_model_for_NEMO2 (EMC Update) v0.21_NRA_model_for_NEMO2 (EMC Update) v0.25_NRA_model_for_NEMO2 (EMC Update) v0.29.5_NRA_model_for_NEMO2 (EMC Update) v0 30 1" xfId="1399" xr:uid="{00000000-0005-0000-0000-000077050000}"/>
    <cellStyle name="%_NRA_model_for_NEMO2 (EMC Update) v0.21_NRA_model_for_NEMO2 (EMC Update) v0.26" xfId="1421" xr:uid="{00000000-0005-0000-0000-00008D050000}"/>
    <cellStyle name="%_NRA_model_for_NEMO2 (EMC Update) v0.21_NRA_model_for_NEMO2 (EMC Update) v0.26_NRA_model_for_NEMO2 (EMC Update) v0 30 1" xfId="1422" xr:uid="{00000000-0005-0000-0000-00008E050000}"/>
    <cellStyle name="%_NRA_model_for_NEMO2 (EMC Update) v0.21_NRA_model_for_NEMO2 (EMC Update) v0.26_NRA_model_for_NEMO2 (EMC Update) v0.29" xfId="1423" xr:uid="{00000000-0005-0000-0000-00008F050000}"/>
    <cellStyle name="%_NRA_model_for_NEMO2 (EMC Update) v0.21_NRA_model_for_NEMO2 (EMC Update) v0.26_NRA_model_for_NEMO2 (EMC Update) v0.29_NRA_model_for_NEMO2 (EMC Update) v0 30 1" xfId="1446" xr:uid="{00000000-0005-0000-0000-0000A6050000}"/>
    <cellStyle name="%_NRA_model_for_NEMO2 (EMC Update) v0.21_NRA_model_for_NEMO2 (EMC Update) v0.26_NRA_model_for_NEMO2 (EMC Update) v0.29_NRA_model_for_NEMO2 (EMC Update) v0.29.2" xfId="1447" xr:uid="{00000000-0005-0000-0000-0000A7050000}"/>
    <cellStyle name="%_NRA_model_for_NEMO2 (EMC Update) v0.21_NRA_model_for_NEMO2 (EMC Update) v0.26_NRA_model_for_NEMO2 (EMC Update) v0.29_NRA_model_for_NEMO2 (EMC Update) v0.29.2_NRA_model_for_NEMO2 (EMC Update) v0 30 1" xfId="1448" xr:uid="{00000000-0005-0000-0000-0000A8050000}"/>
    <cellStyle name="%_NRA_model_for_NEMO2 (EMC Update) v0.21_NRA_model_for_NEMO2 (EMC Update) v0.26_NRA_model_for_NEMO2 (EMC Update) v0.29_NRA_model_for_NEMO2 (EMC Update) v0.29.2_NRA_model_for_NEMO2 (EMC Update) v0.29.3" xfId="1449" xr:uid="{00000000-0005-0000-0000-0000A9050000}"/>
    <cellStyle name="%_NRA_model_for_NEMO2 (EMC Update) v0.21_NRA_model_for_NEMO2 (EMC Update) v0.26_NRA_model_for_NEMO2 (EMC Update) v0.29_NRA_model_for_NEMO2 (EMC Update) v0.29.2_NRA_model_for_NEMO2 (EMC Update) v0.29.3_NRA_model_for_NEMO2 (EMC Update) v0 30 1" xfId="1450" xr:uid="{00000000-0005-0000-0000-0000AA050000}"/>
    <cellStyle name="%_NRA_model_for_NEMO2 (EMC Update) v0.21_NRA_model_for_NEMO2 (EMC Update) v0.26_NRA_model_for_NEMO2 (EMC Update) v0.29_NRA_model_for_NEMO2 (EMC Update) v0.29.2_NRA_model_for_NEMO2 (EMC Update) v0.29.3_NRA_model_for_NEMO2 (EMC Update) v0.29.5" xfId="1451" xr:uid="{00000000-0005-0000-0000-0000AB050000}"/>
    <cellStyle name="%_NRA_model_for_NEMO2 (EMC Update) v0.21_NRA_model_for_NEMO2 (EMC Update) v0.26_NRA_model_for_NEMO2 (EMC Update) v0.29_NRA_model_for_NEMO2 (EMC Update) v0.29.2_NRA_model_for_NEMO2 (EMC Update) v0.29.4" xfId="1452" xr:uid="{00000000-0005-0000-0000-0000AC050000}"/>
    <cellStyle name="%_NRA_model_for_NEMO2 (EMC Update) v0.21_NRA_model_for_NEMO2 (EMC Update) v0.26_NRA_model_for_NEMO2 (EMC Update) v0.29_NRA_model_for_NEMO2 (EMC Update) v0.29.2_NRA_model_for_NEMO2 (EMC Update) v0.29.4_NRA_model_for_NEMO2 (EMC Update) v0 30 1" xfId="1453" xr:uid="{00000000-0005-0000-0000-0000AD050000}"/>
    <cellStyle name="%_NRA_model_for_NEMO2 (EMC Update) v0.21_NRA_model_for_NEMO2 (EMC Update) v0.26_NRA_model_for_NEMO2 (EMC Update) v0.29_NRA_model_for_NEMO2 (EMC Update) v0.29.2_NRA_model_for_NEMO2 (EMC Update) v0.29.4_NRA_model_for_NEMO2 (EMC Update) v0.29.5" xfId="1454" xr:uid="{00000000-0005-0000-0000-0000AE050000}"/>
    <cellStyle name="%_NRA_model_for_NEMO2 (EMC Update) v0.21_NRA_model_for_NEMO2 (EMC Update) v0.26_NRA_model_for_NEMO2 (EMC Update) v0.29_NRA_model_for_NEMO2 (EMC Update) v0.29.2_NRA_model_for_NEMO2 (EMC Update) v0.29.5" xfId="1455" xr:uid="{00000000-0005-0000-0000-0000AF050000}"/>
    <cellStyle name="%_NRA_model_for_NEMO2 (EMC Update) v0.21_NRA_model_for_NEMO2 (EMC Update) v0.26_NRA_model_for_NEMO2 (EMC Update) v0.29_NRA_model_for_NEMO2 (EMC Update) v0.29.2_NRA_model_for_NEMO2 (EMC Update) v0.29.5_NRA_model_for_NEMO2 (EMC Update) v0 30 1" xfId="1456" xr:uid="{00000000-0005-0000-0000-0000B0050000}"/>
    <cellStyle name="%_NRA_model_for_NEMO2 (EMC Update) v0.21_NRA_model_for_NEMO2 (EMC Update) v0.26_NRA_model_for_NEMO2 (EMC Update) v0.29_NRA_model_for_NEMO2 (EMC Update) v0.29.3" xfId="1457" xr:uid="{00000000-0005-0000-0000-0000B1050000}"/>
    <cellStyle name="%_NRA_model_for_NEMO2 (EMC Update) v0.21_NRA_model_for_NEMO2 (EMC Update) v0.26_NRA_model_for_NEMO2 (EMC Update) v0.29_NRA_model_for_NEMO2 (EMC Update) v0.29.3_NRA_model_for_NEMO2 (EMC Update) v0 30 1" xfId="1458" xr:uid="{00000000-0005-0000-0000-0000B2050000}"/>
    <cellStyle name="%_NRA_model_for_NEMO2 (EMC Update) v0.21_NRA_model_for_NEMO2 (EMC Update) v0.26_NRA_model_for_NEMO2 (EMC Update) v0.29_NRA_model_for_NEMO2 (EMC Update) v0.29.3_NRA_model_for_NEMO2 (EMC Update) v0.29.5" xfId="1459" xr:uid="{00000000-0005-0000-0000-0000B3050000}"/>
    <cellStyle name="%_NRA_model_for_NEMO2 (EMC Update) v0.21_NRA_model_for_NEMO2 (EMC Update) v0.26_NRA_model_for_NEMO2 (EMC Update) v0.29_NRA_model_for_NEMO2 (EMC Update) v0.29.3_NRA_model_for_NEMO2 (EMC Update) v0.29.5_NRA_model_for_NEMO2 (EMC Update) v0 30 1" xfId="1460" xr:uid="{00000000-0005-0000-0000-0000B4050000}"/>
    <cellStyle name="%_NRA_model_for_NEMO2 (EMC Update) v0.21_NRA_model_for_NEMO2 (EMC Update) v0.26_NRA_model_for_NEMO2 (EMC Update) v0.29_NRA_model_for_NEMO2 (EMC Update) v0.29.4" xfId="1461" xr:uid="{00000000-0005-0000-0000-0000B5050000}"/>
    <cellStyle name="%_NRA_model_for_NEMO2 (EMC Update) v0.21_NRA_model_for_NEMO2 (EMC Update) v0.26_NRA_model_for_NEMO2 (EMC Update) v0.29_NRA_model_for_NEMO2 (EMC Update) v0.29.4_NRA_model_for_NEMO2 (EMC Update) v0 30 1" xfId="1462" xr:uid="{00000000-0005-0000-0000-0000B6050000}"/>
    <cellStyle name="%_NRA_model_for_NEMO2 (EMC Update) v0.21_NRA_model_for_NEMO2 (EMC Update) v0.26_NRA_model_for_NEMO2 (EMC Update) v0.29_NRA_model_for_NEMO2 (EMC Update) v0.29.4_NRA_model_for_NEMO2 (EMC Update) v0.29.5" xfId="1463" xr:uid="{00000000-0005-0000-0000-0000B7050000}"/>
    <cellStyle name="%_NRA_model_for_NEMO2 (EMC Update) v0.21_NRA_model_for_NEMO2 (EMC Update) v0.26_NRA_model_for_NEMO2 (EMC Update) v0.29_NRA_model_for_NEMO2 (EMC Update) v0.29.4_NRA_model_for_NEMO2 (EMC Update) v0.29.5_NRA_model_for_NEMO2 (EMC Update) v0 30 1" xfId="1464" xr:uid="{00000000-0005-0000-0000-0000B8050000}"/>
    <cellStyle name="%_NRA_model_for_NEMO2 (EMC Update) v0.21_NRA_model_for_NEMO2 (EMC Update) v0.26_NRA_model_for_NEMO2 (EMC Update) v0.29_NRA_model_for_NEMO2 (EMC Update) v0.29.5" xfId="1465" xr:uid="{00000000-0005-0000-0000-0000B9050000}"/>
    <cellStyle name="%_NRA_model_for_NEMO2 (EMC Update) v0.21_NRA_model_for_NEMO2 (EMC Update) v0.26_NRA_model_for_NEMO2 (EMC Update) v0.29_NRA_model_for_NEMO2 (EMC Update) v0.29.5_NRA_model_for_NEMO2 (EMC Update) v0 30 1" xfId="1466" xr:uid="{00000000-0005-0000-0000-0000BA050000}"/>
    <cellStyle name="%_NRA_model_for_NEMO2 (EMC Update) v0.21_NRA_model_for_NEMO2 (EMC Update) v0.26_NRA_model_for_NEMO2 (EMC Update) v0.29.2" xfId="1424" xr:uid="{00000000-0005-0000-0000-000090050000}"/>
    <cellStyle name="%_NRA_model_for_NEMO2 (EMC Update) v0.21_NRA_model_for_NEMO2 (EMC Update) v0.26_NRA_model_for_NEMO2 (EMC Update) v0.29.2_NRA_model_for_NEMO2 (EMC Update) v0 30 1" xfId="1425" xr:uid="{00000000-0005-0000-0000-000091050000}"/>
    <cellStyle name="%_NRA_model_for_NEMO2 (EMC Update) v0.21_NRA_model_for_NEMO2 (EMC Update) v0.26_NRA_model_for_NEMO2 (EMC Update) v0.29.2_NRA_model_for_NEMO2 (EMC Update) v0.29.3" xfId="1426" xr:uid="{00000000-0005-0000-0000-000092050000}"/>
    <cellStyle name="%_NRA_model_for_NEMO2 (EMC Update) v0.21_NRA_model_for_NEMO2 (EMC Update) v0.26_NRA_model_for_NEMO2 (EMC Update) v0.29.2_NRA_model_for_NEMO2 (EMC Update) v0.29.3_NRA_model_for_NEMO2 (EMC Update) v0 30 1" xfId="1427" xr:uid="{00000000-0005-0000-0000-000093050000}"/>
    <cellStyle name="%_NRA_model_for_NEMO2 (EMC Update) v0.21_NRA_model_for_NEMO2 (EMC Update) v0.26_NRA_model_for_NEMO2 (EMC Update) v0.29.2_NRA_model_for_NEMO2 (EMC Update) v0.29.3_NRA_model_for_NEMO2 (EMC Update) v0.29.5" xfId="1428" xr:uid="{00000000-0005-0000-0000-000094050000}"/>
    <cellStyle name="%_NRA_model_for_NEMO2 (EMC Update) v0.21_NRA_model_for_NEMO2 (EMC Update) v0.26_NRA_model_for_NEMO2 (EMC Update) v0.29.2_NRA_model_for_NEMO2 (EMC Update) v0.29.3_NRA_model_for_NEMO2 (EMC Update) v0.29.5_NRA_model_for_NEMO2 (EMC Update) v0 30 1" xfId="1429" xr:uid="{00000000-0005-0000-0000-000095050000}"/>
    <cellStyle name="%_NRA_model_for_NEMO2 (EMC Update) v0.21_NRA_model_for_NEMO2 (EMC Update) v0.26_NRA_model_for_NEMO2 (EMC Update) v0.29.2_NRA_model_for_NEMO2 (EMC Update) v0.29.4" xfId="1430" xr:uid="{00000000-0005-0000-0000-000096050000}"/>
    <cellStyle name="%_NRA_model_for_NEMO2 (EMC Update) v0.21_NRA_model_for_NEMO2 (EMC Update) v0.26_NRA_model_for_NEMO2 (EMC Update) v0.29.2_NRA_model_for_NEMO2 (EMC Update) v0.29.4_NRA_model_for_NEMO2 (EMC Update) v0 30 1" xfId="1431" xr:uid="{00000000-0005-0000-0000-000097050000}"/>
    <cellStyle name="%_NRA_model_for_NEMO2 (EMC Update) v0.21_NRA_model_for_NEMO2 (EMC Update) v0.26_NRA_model_for_NEMO2 (EMC Update) v0.29.2_NRA_model_for_NEMO2 (EMC Update) v0.29.4_NRA_model_for_NEMO2 (EMC Update) v0.29.5" xfId="1432" xr:uid="{00000000-0005-0000-0000-000098050000}"/>
    <cellStyle name="%_NRA_model_for_NEMO2 (EMC Update) v0.21_NRA_model_for_NEMO2 (EMC Update) v0.26_NRA_model_for_NEMO2 (EMC Update) v0.29.2_NRA_model_for_NEMO2 (EMC Update) v0.29.4_NRA_model_for_NEMO2 (EMC Update) v0.29.5_NRA_model_for_NEMO2 (EMC Update) v0 30 1" xfId="1433" xr:uid="{00000000-0005-0000-0000-000099050000}"/>
    <cellStyle name="%_NRA_model_for_NEMO2 (EMC Update) v0.21_NRA_model_for_NEMO2 (EMC Update) v0.26_NRA_model_for_NEMO2 (EMC Update) v0.29.2_NRA_model_for_NEMO2 (EMC Update) v0.29.5" xfId="1434" xr:uid="{00000000-0005-0000-0000-00009A050000}"/>
    <cellStyle name="%_NRA_model_for_NEMO2 (EMC Update) v0.21_NRA_model_for_NEMO2 (EMC Update) v0.26_NRA_model_for_NEMO2 (EMC Update) v0.29.2_NRA_model_for_NEMO2 (EMC Update) v0.29.5_NRA_model_for_NEMO2 (EMC Update) v0 30 1" xfId="1435" xr:uid="{00000000-0005-0000-0000-00009B050000}"/>
    <cellStyle name="%_NRA_model_for_NEMO2 (EMC Update) v0.21_NRA_model_for_NEMO2 (EMC Update) v0.26_NRA_model_for_NEMO2 (EMC Update) v0.29.3" xfId="1436" xr:uid="{00000000-0005-0000-0000-00009C050000}"/>
    <cellStyle name="%_NRA_model_for_NEMO2 (EMC Update) v0.21_NRA_model_for_NEMO2 (EMC Update) v0.26_NRA_model_for_NEMO2 (EMC Update) v0.29.3_NRA_model_for_NEMO2 (EMC Update) v0 30 1" xfId="1437" xr:uid="{00000000-0005-0000-0000-00009D050000}"/>
    <cellStyle name="%_NRA_model_for_NEMO2 (EMC Update) v0.21_NRA_model_for_NEMO2 (EMC Update) v0.26_NRA_model_for_NEMO2 (EMC Update) v0.29.3_NRA_model_for_NEMO2 (EMC Update) v0.29.5" xfId="1438" xr:uid="{00000000-0005-0000-0000-00009E050000}"/>
    <cellStyle name="%_NRA_model_for_NEMO2 (EMC Update) v0.21_NRA_model_for_NEMO2 (EMC Update) v0.26_NRA_model_for_NEMO2 (EMC Update) v0.29.3_NRA_model_for_NEMO2 (EMC Update) v0.29.5_NRA_model_for_NEMO2 (EMC Update) v0 30 1" xfId="1439" xr:uid="{00000000-0005-0000-0000-00009F050000}"/>
    <cellStyle name="%_NRA_model_for_NEMO2 (EMC Update) v0.21_NRA_model_for_NEMO2 (EMC Update) v0.26_NRA_model_for_NEMO2 (EMC Update) v0.29.4" xfId="1440" xr:uid="{00000000-0005-0000-0000-0000A0050000}"/>
    <cellStyle name="%_NRA_model_for_NEMO2 (EMC Update) v0.21_NRA_model_for_NEMO2 (EMC Update) v0.26_NRA_model_for_NEMO2 (EMC Update) v0.29.4_NRA_model_for_NEMO2 (EMC Update) v0 30 1" xfId="1441" xr:uid="{00000000-0005-0000-0000-0000A1050000}"/>
    <cellStyle name="%_NRA_model_for_NEMO2 (EMC Update) v0.21_NRA_model_for_NEMO2 (EMC Update) v0.26_NRA_model_for_NEMO2 (EMC Update) v0.29.4_NRA_model_for_NEMO2 (EMC Update) v0.29.5" xfId="1442" xr:uid="{00000000-0005-0000-0000-0000A2050000}"/>
    <cellStyle name="%_NRA_model_for_NEMO2 (EMC Update) v0.21_NRA_model_for_NEMO2 (EMC Update) v0.26_NRA_model_for_NEMO2 (EMC Update) v0.29.4_NRA_model_for_NEMO2 (EMC Update) v0.29.5_NRA_model_for_NEMO2 (EMC Update) v0 30 1" xfId="1443" xr:uid="{00000000-0005-0000-0000-0000A3050000}"/>
    <cellStyle name="%_NRA_model_for_NEMO2 (EMC Update) v0.21_NRA_model_for_NEMO2 (EMC Update) v0.26_NRA_model_for_NEMO2 (EMC Update) v0.29.5" xfId="1444" xr:uid="{00000000-0005-0000-0000-0000A4050000}"/>
    <cellStyle name="%_NRA_model_for_NEMO2 (EMC Update) v0.21_NRA_model_for_NEMO2 (EMC Update) v0.26_NRA_model_for_NEMO2 (EMC Update) v0.29.5_NRA_model_for_NEMO2 (EMC Update) v0 30 1" xfId="1445" xr:uid="{00000000-0005-0000-0000-0000A5050000}"/>
    <cellStyle name="%_NRA_model_for_NEMO2 (EMC Update) v0.21_NRA_model_for_NEMO2 (EMC Update) v0.29" xfId="1467" xr:uid="{00000000-0005-0000-0000-0000BB050000}"/>
    <cellStyle name="%_NRA_model_for_NEMO2 (EMC Update) v0.21_NRA_model_for_NEMO2 (EMC Update) v0.29_NRA_model_for_NEMO2 (EMC Update) v0 30 1" xfId="1490" xr:uid="{00000000-0005-0000-0000-0000D2050000}"/>
    <cellStyle name="%_NRA_model_for_NEMO2 (EMC Update) v0.21_NRA_model_for_NEMO2 (EMC Update) v0.29_NRA_model_for_NEMO2 (EMC Update) v0.29.2" xfId="1491" xr:uid="{00000000-0005-0000-0000-0000D3050000}"/>
    <cellStyle name="%_NRA_model_for_NEMO2 (EMC Update) v0.21_NRA_model_for_NEMO2 (EMC Update) v0.29_NRA_model_for_NEMO2 (EMC Update) v0.29.2_NRA_model_for_NEMO2 (EMC Update) v0 30 1" xfId="1492" xr:uid="{00000000-0005-0000-0000-0000D4050000}"/>
    <cellStyle name="%_NRA_model_for_NEMO2 (EMC Update) v0.21_NRA_model_for_NEMO2 (EMC Update) v0.29_NRA_model_for_NEMO2 (EMC Update) v0.29.2_NRA_model_for_NEMO2 (EMC Update) v0.29.3" xfId="1493" xr:uid="{00000000-0005-0000-0000-0000D5050000}"/>
    <cellStyle name="%_NRA_model_for_NEMO2 (EMC Update) v0.21_NRA_model_for_NEMO2 (EMC Update) v0.29_NRA_model_for_NEMO2 (EMC Update) v0.29.2_NRA_model_for_NEMO2 (EMC Update) v0.29.3_NRA_model_for_NEMO2 (EMC Update) v0 30 1" xfId="1494" xr:uid="{00000000-0005-0000-0000-0000D6050000}"/>
    <cellStyle name="%_NRA_model_for_NEMO2 (EMC Update) v0.21_NRA_model_for_NEMO2 (EMC Update) v0.29_NRA_model_for_NEMO2 (EMC Update) v0.29.2_NRA_model_for_NEMO2 (EMC Update) v0.29.3_NRA_model_for_NEMO2 (EMC Update) v0.29.5" xfId="1495" xr:uid="{00000000-0005-0000-0000-0000D7050000}"/>
    <cellStyle name="%_NRA_model_for_NEMO2 (EMC Update) v0.21_NRA_model_for_NEMO2 (EMC Update) v0.29_NRA_model_for_NEMO2 (EMC Update) v0.29.2_NRA_model_for_NEMO2 (EMC Update) v0.29.3_NRA_model_for_NEMO2 (EMC Update) v0.29.5_NRA_model_for_NEMO2 (EMC Update) v0 30 1" xfId="1496" xr:uid="{00000000-0005-0000-0000-0000D8050000}"/>
    <cellStyle name="%_NRA_model_for_NEMO2 (EMC Update) v0.21_NRA_model_for_NEMO2 (EMC Update) v0.29_NRA_model_for_NEMO2 (EMC Update) v0.29.2_NRA_model_for_NEMO2 (EMC Update) v0.29.4" xfId="1497" xr:uid="{00000000-0005-0000-0000-0000D9050000}"/>
    <cellStyle name="%_NRA_model_for_NEMO2 (EMC Update) v0.21_NRA_model_for_NEMO2 (EMC Update) v0.29_NRA_model_for_NEMO2 (EMC Update) v0.29.2_NRA_model_for_NEMO2 (EMC Update) v0.29.4_NRA_model_for_NEMO2 (EMC Update) v0 30 1" xfId="1498" xr:uid="{00000000-0005-0000-0000-0000DA050000}"/>
    <cellStyle name="%_NRA_model_for_NEMO2 (EMC Update) v0.21_NRA_model_for_NEMO2 (EMC Update) v0.29_NRA_model_for_NEMO2 (EMC Update) v0.29.2_NRA_model_for_NEMO2 (EMC Update) v0.29.4_NRA_model_for_NEMO2 (EMC Update) v0.29.5" xfId="1499" xr:uid="{00000000-0005-0000-0000-0000DB050000}"/>
    <cellStyle name="%_NRA_model_for_NEMO2 (EMC Update) v0.21_NRA_model_for_NEMO2 (EMC Update) v0.29_NRA_model_for_NEMO2 (EMC Update) v0.29.2_NRA_model_for_NEMO2 (EMC Update) v0.29.4_NRA_model_for_NEMO2 (EMC Update) v0.29.5_NRA_model_for_NEMO2 (EMC Update) v0 30 1" xfId="1500" xr:uid="{00000000-0005-0000-0000-0000DC050000}"/>
    <cellStyle name="%_NRA_model_for_NEMO2 (EMC Update) v0.21_NRA_model_for_NEMO2 (EMC Update) v0.29_NRA_model_for_NEMO2 (EMC Update) v0.29.2_NRA_model_for_NEMO2 (EMC Update) v0.29.5" xfId="1501" xr:uid="{00000000-0005-0000-0000-0000DD050000}"/>
    <cellStyle name="%_NRA_model_for_NEMO2 (EMC Update) v0.21_NRA_model_for_NEMO2 (EMC Update) v0.29_NRA_model_for_NEMO2 (EMC Update) v0.29.2_NRA_model_for_NEMO2 (EMC Update) v0.29.5_NRA_model_for_NEMO2 (EMC Update) v0 30 1" xfId="1502" xr:uid="{00000000-0005-0000-0000-0000DE050000}"/>
    <cellStyle name="%_NRA_model_for_NEMO2 (EMC Update) v0.21_NRA_model_for_NEMO2 (EMC Update) v0.29_NRA_model_for_NEMO2 (EMC Update) v0.29.3" xfId="1503" xr:uid="{00000000-0005-0000-0000-0000DF050000}"/>
    <cellStyle name="%_NRA_model_for_NEMO2 (EMC Update) v0.21_NRA_model_for_NEMO2 (EMC Update) v0.29_NRA_model_for_NEMO2 (EMC Update) v0.29.3_NRA_model_for_NEMO2 (EMC Update) v0 30 1" xfId="1504" xr:uid="{00000000-0005-0000-0000-0000E0050000}"/>
    <cellStyle name="%_NRA_model_for_NEMO2 (EMC Update) v0.21_NRA_model_for_NEMO2 (EMC Update) v0.29_NRA_model_for_NEMO2 (EMC Update) v0.29.3_NRA_model_for_NEMO2 (EMC Update) v0.29.5" xfId="1505" xr:uid="{00000000-0005-0000-0000-0000E1050000}"/>
    <cellStyle name="%_NRA_model_for_NEMO2 (EMC Update) v0.21_NRA_model_for_NEMO2 (EMC Update) v0.29_NRA_model_for_NEMO2 (EMC Update) v0.29.3_NRA_model_for_NEMO2 (EMC Update) v0.29.5_NRA_model_for_NEMO2 (EMC Update) v0 30 1" xfId="1506" xr:uid="{00000000-0005-0000-0000-0000E2050000}"/>
    <cellStyle name="%_NRA_model_for_NEMO2 (EMC Update) v0.21_NRA_model_for_NEMO2 (EMC Update) v0.29_NRA_model_for_NEMO2 (EMC Update) v0.29.4" xfId="1507" xr:uid="{00000000-0005-0000-0000-0000E3050000}"/>
    <cellStyle name="%_NRA_model_for_NEMO2 (EMC Update) v0.21_NRA_model_for_NEMO2 (EMC Update) v0.29_NRA_model_for_NEMO2 (EMC Update) v0.29.4_NRA_model_for_NEMO2 (EMC Update) v0 30 1" xfId="1508" xr:uid="{00000000-0005-0000-0000-0000E4050000}"/>
    <cellStyle name="%_NRA_model_for_NEMO2 (EMC Update) v0.21_NRA_model_for_NEMO2 (EMC Update) v0.29_NRA_model_for_NEMO2 (EMC Update) v0.29.4_NRA_model_for_NEMO2 (EMC Update) v0.29.5" xfId="1509" xr:uid="{00000000-0005-0000-0000-0000E5050000}"/>
    <cellStyle name="%_NRA_model_for_NEMO2 (EMC Update) v0.21_NRA_model_for_NEMO2 (EMC Update) v0.29_NRA_model_for_NEMO2 (EMC Update) v0.29.4_NRA_model_for_NEMO2 (EMC Update) v0.29.5_NRA_model_for_NEMO2 (EMC Update) v0 30 1" xfId="1510" xr:uid="{00000000-0005-0000-0000-0000E6050000}"/>
    <cellStyle name="%_NRA_model_for_NEMO2 (EMC Update) v0.21_NRA_model_for_NEMO2 (EMC Update) v0.29_NRA_model_for_NEMO2 (EMC Update) v0.29.5" xfId="1511" xr:uid="{00000000-0005-0000-0000-0000E7050000}"/>
    <cellStyle name="%_NRA_model_for_NEMO2 (EMC Update) v0.21_NRA_model_for_NEMO2 (EMC Update) v0.29_NRA_model_for_NEMO2 (EMC Update) v0.29.5_NRA_model_for_NEMO2 (EMC Update) v0 30 1" xfId="1512" xr:uid="{00000000-0005-0000-0000-0000E8050000}"/>
    <cellStyle name="%_NRA_model_for_NEMO2 (EMC Update) v0.21_NRA_model_for_NEMO2 (EMC Update) v0.29.2" xfId="1468" xr:uid="{00000000-0005-0000-0000-0000BC050000}"/>
    <cellStyle name="%_NRA_model_for_NEMO2 (EMC Update) v0.21_NRA_model_for_NEMO2 (EMC Update) v0.29.2_NRA_model_for_NEMO2 (EMC Update) v0 30 1" xfId="1469" xr:uid="{00000000-0005-0000-0000-0000BD050000}"/>
    <cellStyle name="%_NRA_model_for_NEMO2 (EMC Update) v0.21_NRA_model_for_NEMO2 (EMC Update) v0.29.2_NRA_model_for_NEMO2 (EMC Update) v0.29.3" xfId="1470" xr:uid="{00000000-0005-0000-0000-0000BE050000}"/>
    <cellStyle name="%_NRA_model_for_NEMO2 (EMC Update) v0.21_NRA_model_for_NEMO2 (EMC Update) v0.29.2_NRA_model_for_NEMO2 (EMC Update) v0.29.3_NRA_model_for_NEMO2 (EMC Update) v0 30 1" xfId="1471" xr:uid="{00000000-0005-0000-0000-0000BF050000}"/>
    <cellStyle name="%_NRA_model_for_NEMO2 (EMC Update) v0.21_NRA_model_for_NEMO2 (EMC Update) v0.29.2_NRA_model_for_NEMO2 (EMC Update) v0.29.3_NRA_model_for_NEMO2 (EMC Update) v0.29.5" xfId="1472" xr:uid="{00000000-0005-0000-0000-0000C0050000}"/>
    <cellStyle name="%_NRA_model_for_NEMO2 (EMC Update) v0.21_NRA_model_for_NEMO2 (EMC Update) v0.29.2_NRA_model_for_NEMO2 (EMC Update) v0.29.3_NRA_model_for_NEMO2 (EMC Update) v0.29.5_NRA_model_for_NEMO2 (EMC Update) v0 30 1" xfId="1473" xr:uid="{00000000-0005-0000-0000-0000C1050000}"/>
    <cellStyle name="%_NRA_model_for_NEMO2 (EMC Update) v0.21_NRA_model_for_NEMO2 (EMC Update) v0.29.2_NRA_model_for_NEMO2 (EMC Update) v0.29.4" xfId="1474" xr:uid="{00000000-0005-0000-0000-0000C2050000}"/>
    <cellStyle name="%_NRA_model_for_NEMO2 (EMC Update) v0.21_NRA_model_for_NEMO2 (EMC Update) v0.29.2_NRA_model_for_NEMO2 (EMC Update) v0.29.4_NRA_model_for_NEMO2 (EMC Update) v0 30 1" xfId="1475" xr:uid="{00000000-0005-0000-0000-0000C3050000}"/>
    <cellStyle name="%_NRA_model_for_NEMO2 (EMC Update) v0.21_NRA_model_for_NEMO2 (EMC Update) v0.29.2_NRA_model_for_NEMO2 (EMC Update) v0.29.4_NRA_model_for_NEMO2 (EMC Update) v0.29.5" xfId="1476" xr:uid="{00000000-0005-0000-0000-0000C4050000}"/>
    <cellStyle name="%_NRA_model_for_NEMO2 (EMC Update) v0.21_NRA_model_for_NEMO2 (EMC Update) v0.29.2_NRA_model_for_NEMO2 (EMC Update) v0.29.4_NRA_model_for_NEMO2 (EMC Update) v0.29.5_NRA_model_for_NEMO2 (EMC Update) v0 30 1" xfId="1477" xr:uid="{00000000-0005-0000-0000-0000C5050000}"/>
    <cellStyle name="%_NRA_model_for_NEMO2 (EMC Update) v0.21_NRA_model_for_NEMO2 (EMC Update) v0.29.2_NRA_model_for_NEMO2 (EMC Update) v0.29.5" xfId="1478" xr:uid="{00000000-0005-0000-0000-0000C6050000}"/>
    <cellStyle name="%_NRA_model_for_NEMO2 (EMC Update) v0.21_NRA_model_for_NEMO2 (EMC Update) v0.29.2_NRA_model_for_NEMO2 (EMC Update) v0.29.5_NRA_model_for_NEMO2 (EMC Update) v0 30 1" xfId="1479" xr:uid="{00000000-0005-0000-0000-0000C7050000}"/>
    <cellStyle name="%_NRA_model_for_NEMO2 (EMC Update) v0.21_NRA_model_for_NEMO2 (EMC Update) v0.29.3" xfId="1480" xr:uid="{00000000-0005-0000-0000-0000C8050000}"/>
    <cellStyle name="%_NRA_model_for_NEMO2 (EMC Update) v0.21_NRA_model_for_NEMO2 (EMC Update) v0.29.3_NRA_model_for_NEMO2 (EMC Update) v0 30 1" xfId="1481" xr:uid="{00000000-0005-0000-0000-0000C9050000}"/>
    <cellStyle name="%_NRA_model_for_NEMO2 (EMC Update) v0.21_NRA_model_for_NEMO2 (EMC Update) v0.29.3_NRA_model_for_NEMO2 (EMC Update) v0.29.5" xfId="1482" xr:uid="{00000000-0005-0000-0000-0000CA050000}"/>
    <cellStyle name="%_NRA_model_for_NEMO2 (EMC Update) v0.21_NRA_model_for_NEMO2 (EMC Update) v0.29.3_NRA_model_for_NEMO2 (EMC Update) v0.29.5_NRA_model_for_NEMO2 (EMC Update) v0 30 1" xfId="1483" xr:uid="{00000000-0005-0000-0000-0000CB050000}"/>
    <cellStyle name="%_NRA_model_for_NEMO2 (EMC Update) v0.21_NRA_model_for_NEMO2 (EMC Update) v0.29.4" xfId="1484" xr:uid="{00000000-0005-0000-0000-0000CC050000}"/>
    <cellStyle name="%_NRA_model_for_NEMO2 (EMC Update) v0.21_NRA_model_for_NEMO2 (EMC Update) v0.29.4_NRA_model_for_NEMO2 (EMC Update) v0 30 1" xfId="1485" xr:uid="{00000000-0005-0000-0000-0000CD050000}"/>
    <cellStyle name="%_NRA_model_for_NEMO2 (EMC Update) v0.21_NRA_model_for_NEMO2 (EMC Update) v0.29.4_NRA_model_for_NEMO2 (EMC Update) v0.29.5" xfId="1486" xr:uid="{00000000-0005-0000-0000-0000CE050000}"/>
    <cellStyle name="%_NRA_model_for_NEMO2 (EMC Update) v0.21_NRA_model_for_NEMO2 (EMC Update) v0.29.4_NRA_model_for_NEMO2 (EMC Update) v0.29.5_NRA_model_for_NEMO2 (EMC Update) v0 30 1" xfId="1487" xr:uid="{00000000-0005-0000-0000-0000CF050000}"/>
    <cellStyle name="%_NRA_model_for_NEMO2 (EMC Update) v0.21_NRA_model_for_NEMO2 (EMC Update) v0.29.5" xfId="1488" xr:uid="{00000000-0005-0000-0000-0000D0050000}"/>
    <cellStyle name="%_NRA_model_for_NEMO2 (EMC Update) v0.21_NRA_model_for_NEMO2 (EMC Update) v0.29.5_NRA_model_for_NEMO2 (EMC Update) v0 30 1" xfId="1489" xr:uid="{00000000-0005-0000-0000-0000D1050000}"/>
    <cellStyle name="%_NRA_model_for_NEMO2 (EMC Update) v0.22" xfId="1513" xr:uid="{00000000-0005-0000-0000-0000E9050000}"/>
    <cellStyle name="%_NRA_model_for_NEMO2 (EMC Update) v0.22_NRA_model_for_NEMO2 (EMC Update) v0 30 1" xfId="1514" xr:uid="{00000000-0005-0000-0000-0000EA050000}"/>
    <cellStyle name="%_NRA_model_for_NEMO2 (EMC Update) v0.22_NRA_model_for_NEMO2 (EMC Update) v0.25" xfId="1515" xr:uid="{00000000-0005-0000-0000-0000EB050000}"/>
    <cellStyle name="%_NRA_model_for_NEMO2 (EMC Update) v0.22_NRA_model_for_NEMO2 (EMC Update) v0.25_NRA_model_for_NEMO2 (EMC Update) v0 30 1" xfId="1516" xr:uid="{00000000-0005-0000-0000-0000EC050000}"/>
    <cellStyle name="%_NRA_model_for_NEMO2 (EMC Update) v0.22_NRA_model_for_NEMO2 (EMC Update) v0.25_NRA_model_for_NEMO2 (EMC Update) v0.26" xfId="1517" xr:uid="{00000000-0005-0000-0000-0000ED050000}"/>
    <cellStyle name="%_NRA_model_for_NEMO2 (EMC Update) v0.22_NRA_model_for_NEMO2 (EMC Update) v0.25_NRA_model_for_NEMO2 (EMC Update) v0.26_NRA_model_for_NEMO2 (EMC Update) v0 30 1" xfId="1518" xr:uid="{00000000-0005-0000-0000-0000EE050000}"/>
    <cellStyle name="%_NRA_model_for_NEMO2 (EMC Update) v0.22_NRA_model_for_NEMO2 (EMC Update) v0.25_NRA_model_for_NEMO2 (EMC Update) v0.26_NRA_model_for_NEMO2 (EMC Update) v0.29" xfId="1519" xr:uid="{00000000-0005-0000-0000-0000EF050000}"/>
    <cellStyle name="%_NRA_model_for_NEMO2 (EMC Update) v0.22_NRA_model_for_NEMO2 (EMC Update) v0.25_NRA_model_for_NEMO2 (EMC Update) v0.26_NRA_model_for_NEMO2 (EMC Update) v0.29_NRA_model_for_NEMO2 (EMC Update) v0 30 1" xfId="1540" xr:uid="{00000000-0005-0000-0000-000004060000}"/>
    <cellStyle name="%_NRA_model_for_NEMO2 (EMC Update) v0.22_NRA_model_for_NEMO2 (EMC Update) v0.25_NRA_model_for_NEMO2 (EMC Update) v0.26_NRA_model_for_NEMO2 (EMC Update) v0.29_NRA_model_for_NEMO2 (EMC Update) v0.29.2" xfId="1541" xr:uid="{00000000-0005-0000-0000-000005060000}"/>
    <cellStyle name="%_NRA_model_for_NEMO2 (EMC Update) v0.22_NRA_model_for_NEMO2 (EMC Update) v0.25_NRA_model_for_NEMO2 (EMC Update) v0.26_NRA_model_for_NEMO2 (EMC Update) v0.29_NRA_model_for_NEMO2 (EMC Update) v0.29.2_NRA_model_for_NEMO2 (EMC Update) v0 30 1" xfId="1542" xr:uid="{00000000-0005-0000-0000-000006060000}"/>
    <cellStyle name="%_NRA_model_for_NEMO2 (EMC Update) v0.22_NRA_model_for_NEMO2 (EMC Update) v0.25_NRA_model_for_NEMO2 (EMC Update) v0.26_NRA_model_for_NEMO2 (EMC Update) v0.29_NRA_model_for_NEMO2 (EMC Update) v0.29.2_NRA_model_for_NEMO2 (EMC Update) v0.29.3" xfId="1543" xr:uid="{00000000-0005-0000-0000-000007060000}"/>
    <cellStyle name="%_NRA_model_for_NEMO2 (EMC Update) v0.22_NRA_model_for_NEMO2 (EMC Update) v0.25_NRA_model_for_NEMO2 (EMC Update) v0.26_NRA_model_for_NEMO2 (EMC Update) v0.29_NRA_model_for_NEMO2 (EMC Update) v0.29.2_NRA_model_for_NEMO2 (EMC Update) v0.29.4" xfId="1544" xr:uid="{00000000-0005-0000-0000-000008060000}"/>
    <cellStyle name="%_NRA_model_for_NEMO2 (EMC Update) v0.22_NRA_model_for_NEMO2 (EMC Update) v0.25_NRA_model_for_NEMO2 (EMC Update) v0.26_NRA_model_for_NEMO2 (EMC Update) v0.29_NRA_model_for_NEMO2 (EMC Update) v0.29.2_NRA_model_for_NEMO2 (EMC Update) v0.29.5" xfId="1545" xr:uid="{00000000-0005-0000-0000-000009060000}"/>
    <cellStyle name="%_NRA_model_for_NEMO2 (EMC Update) v0.22_NRA_model_for_NEMO2 (EMC Update) v0.25_NRA_model_for_NEMO2 (EMC Update) v0.26_NRA_model_for_NEMO2 (EMC Update) v0.29_NRA_model_for_NEMO2 (EMC Update) v0.29.3" xfId="1546" xr:uid="{00000000-0005-0000-0000-00000A060000}"/>
    <cellStyle name="%_NRA_model_for_NEMO2 (EMC Update) v0.22_NRA_model_for_NEMO2 (EMC Update) v0.25_NRA_model_for_NEMO2 (EMC Update) v0.26_NRA_model_for_NEMO2 (EMC Update) v0.29_NRA_model_for_NEMO2 (EMC Update) v0.29.3_NRA_model_for_NEMO2 (EMC Update) v0 30 1" xfId="1547" xr:uid="{00000000-0005-0000-0000-00000B060000}"/>
    <cellStyle name="%_NRA_model_for_NEMO2 (EMC Update) v0.22_NRA_model_for_NEMO2 (EMC Update) v0.25_NRA_model_for_NEMO2 (EMC Update) v0.26_NRA_model_for_NEMO2 (EMC Update) v0.29_NRA_model_for_NEMO2 (EMC Update) v0.29.3_NRA_model_for_NEMO2 (EMC Update) v0.29.5" xfId="1548" xr:uid="{00000000-0005-0000-0000-00000C060000}"/>
    <cellStyle name="%_NRA_model_for_NEMO2 (EMC Update) v0.22_NRA_model_for_NEMO2 (EMC Update) v0.25_NRA_model_for_NEMO2 (EMC Update) v0.26_NRA_model_for_NEMO2 (EMC Update) v0.29_NRA_model_for_NEMO2 (EMC Update) v0.29.4" xfId="1549" xr:uid="{00000000-0005-0000-0000-00000D060000}"/>
    <cellStyle name="%_NRA_model_for_NEMO2 (EMC Update) v0.22_NRA_model_for_NEMO2 (EMC Update) v0.25_NRA_model_for_NEMO2 (EMC Update) v0.26_NRA_model_for_NEMO2 (EMC Update) v0.29_NRA_model_for_NEMO2 (EMC Update) v0.29.4_NRA_model_for_NEMO2 (EMC Update) v0 30 1" xfId="1550" xr:uid="{00000000-0005-0000-0000-00000E060000}"/>
    <cellStyle name="%_NRA_model_for_NEMO2 (EMC Update) v0.22_NRA_model_for_NEMO2 (EMC Update) v0.25_NRA_model_for_NEMO2 (EMC Update) v0.26_NRA_model_for_NEMO2 (EMC Update) v0.29_NRA_model_for_NEMO2 (EMC Update) v0.29.4_NRA_model_for_NEMO2 (EMC Update) v0.29.5" xfId="1551" xr:uid="{00000000-0005-0000-0000-00000F060000}"/>
    <cellStyle name="%_NRA_model_for_NEMO2 (EMC Update) v0.22_NRA_model_for_NEMO2 (EMC Update) v0.25_NRA_model_for_NEMO2 (EMC Update) v0.26_NRA_model_for_NEMO2 (EMC Update) v0.29_NRA_model_for_NEMO2 (EMC Update) v0.29.5" xfId="1552" xr:uid="{00000000-0005-0000-0000-000010060000}"/>
    <cellStyle name="%_NRA_model_for_NEMO2 (EMC Update) v0.22_NRA_model_for_NEMO2 (EMC Update) v0.25_NRA_model_for_NEMO2 (EMC Update) v0.26_NRA_model_for_NEMO2 (EMC Update) v0.29_NRA_model_for_NEMO2 (EMC Update) v0.29.5_NRA_model_for_NEMO2 (EMC Update) v0 30 1" xfId="1553" xr:uid="{00000000-0005-0000-0000-000011060000}"/>
    <cellStyle name="%_NRA_model_for_NEMO2 (EMC Update) v0.22_NRA_model_for_NEMO2 (EMC Update) v0.25_NRA_model_for_NEMO2 (EMC Update) v0.26_NRA_model_for_NEMO2 (EMC Update) v0.29.2" xfId="1520" xr:uid="{00000000-0005-0000-0000-0000F0050000}"/>
    <cellStyle name="%_NRA_model_for_NEMO2 (EMC Update) v0.22_NRA_model_for_NEMO2 (EMC Update) v0.25_NRA_model_for_NEMO2 (EMC Update) v0.26_NRA_model_for_NEMO2 (EMC Update) v0.29.2_NRA_model_for_NEMO2 (EMC Update) v0 30 1" xfId="1521" xr:uid="{00000000-0005-0000-0000-0000F1050000}"/>
    <cellStyle name="%_NRA_model_for_NEMO2 (EMC Update) v0.22_NRA_model_for_NEMO2 (EMC Update) v0.25_NRA_model_for_NEMO2 (EMC Update) v0.26_NRA_model_for_NEMO2 (EMC Update) v0.29.2_NRA_model_for_NEMO2 (EMC Update) v0.29.3" xfId="1522" xr:uid="{00000000-0005-0000-0000-0000F2050000}"/>
    <cellStyle name="%_NRA_model_for_NEMO2 (EMC Update) v0.22_NRA_model_for_NEMO2 (EMC Update) v0.25_NRA_model_for_NEMO2 (EMC Update) v0.26_NRA_model_for_NEMO2 (EMC Update) v0.29.2_NRA_model_for_NEMO2 (EMC Update) v0.29.3_NRA_model_for_NEMO2 (EMC Update) v0 30 1" xfId="1523" xr:uid="{00000000-0005-0000-0000-0000F3050000}"/>
    <cellStyle name="%_NRA_model_for_NEMO2 (EMC Update) v0.22_NRA_model_for_NEMO2 (EMC Update) v0.25_NRA_model_for_NEMO2 (EMC Update) v0.26_NRA_model_for_NEMO2 (EMC Update) v0.29.2_NRA_model_for_NEMO2 (EMC Update) v0.29.3_NRA_model_for_NEMO2 (EMC Update) v0.29.5" xfId="1524" xr:uid="{00000000-0005-0000-0000-0000F4050000}"/>
    <cellStyle name="%_NRA_model_for_NEMO2 (EMC Update) v0.22_NRA_model_for_NEMO2 (EMC Update) v0.25_NRA_model_for_NEMO2 (EMC Update) v0.26_NRA_model_for_NEMO2 (EMC Update) v0.29.2_NRA_model_for_NEMO2 (EMC Update) v0.29.4" xfId="1525" xr:uid="{00000000-0005-0000-0000-0000F5050000}"/>
    <cellStyle name="%_NRA_model_for_NEMO2 (EMC Update) v0.22_NRA_model_for_NEMO2 (EMC Update) v0.25_NRA_model_for_NEMO2 (EMC Update) v0.26_NRA_model_for_NEMO2 (EMC Update) v0.29.2_NRA_model_for_NEMO2 (EMC Update) v0.29.4_NRA_model_for_NEMO2 (EMC Update) v0 30 1" xfId="1526" xr:uid="{00000000-0005-0000-0000-0000F6050000}"/>
    <cellStyle name="%_NRA_model_for_NEMO2 (EMC Update) v0.22_NRA_model_for_NEMO2 (EMC Update) v0.25_NRA_model_for_NEMO2 (EMC Update) v0.26_NRA_model_for_NEMO2 (EMC Update) v0.29.2_NRA_model_for_NEMO2 (EMC Update) v0.29.4_NRA_model_for_NEMO2 (EMC Update) v0.29.5" xfId="1527" xr:uid="{00000000-0005-0000-0000-0000F7050000}"/>
    <cellStyle name="%_NRA_model_for_NEMO2 (EMC Update) v0.22_NRA_model_for_NEMO2 (EMC Update) v0.25_NRA_model_for_NEMO2 (EMC Update) v0.26_NRA_model_for_NEMO2 (EMC Update) v0.29.2_NRA_model_for_NEMO2 (EMC Update) v0.29.5" xfId="1528" xr:uid="{00000000-0005-0000-0000-0000F8050000}"/>
    <cellStyle name="%_NRA_model_for_NEMO2 (EMC Update) v0.22_NRA_model_for_NEMO2 (EMC Update) v0.25_NRA_model_for_NEMO2 (EMC Update) v0.26_NRA_model_for_NEMO2 (EMC Update) v0.29.2_NRA_model_for_NEMO2 (EMC Update) v0.29.5_NRA_model_for_NEMO2 (EMC Update) v0 30 1" xfId="1529" xr:uid="{00000000-0005-0000-0000-0000F9050000}"/>
    <cellStyle name="%_NRA_model_for_NEMO2 (EMC Update) v0.22_NRA_model_for_NEMO2 (EMC Update) v0.25_NRA_model_for_NEMO2 (EMC Update) v0.26_NRA_model_for_NEMO2 (EMC Update) v0.29.3" xfId="1530" xr:uid="{00000000-0005-0000-0000-0000FA050000}"/>
    <cellStyle name="%_NRA_model_for_NEMO2 (EMC Update) v0.22_NRA_model_for_NEMO2 (EMC Update) v0.25_NRA_model_for_NEMO2 (EMC Update) v0.26_NRA_model_for_NEMO2 (EMC Update) v0.29.3_NRA_model_for_NEMO2 (EMC Update) v0 30 1" xfId="1531" xr:uid="{00000000-0005-0000-0000-0000FB050000}"/>
    <cellStyle name="%_NRA_model_for_NEMO2 (EMC Update) v0.22_NRA_model_for_NEMO2 (EMC Update) v0.25_NRA_model_for_NEMO2 (EMC Update) v0.26_NRA_model_for_NEMO2 (EMC Update) v0.29.3_NRA_model_for_NEMO2 (EMC Update) v0.29.5" xfId="1532" xr:uid="{00000000-0005-0000-0000-0000FC050000}"/>
    <cellStyle name="%_NRA_model_for_NEMO2 (EMC Update) v0.22_NRA_model_for_NEMO2 (EMC Update) v0.25_NRA_model_for_NEMO2 (EMC Update) v0.26_NRA_model_for_NEMO2 (EMC Update) v0.29.3_NRA_model_for_NEMO2 (EMC Update) v0.29.5_NRA_model_for_NEMO2 (EMC Update) v0 30 1" xfId="1533" xr:uid="{00000000-0005-0000-0000-0000FD050000}"/>
    <cellStyle name="%_NRA_model_for_NEMO2 (EMC Update) v0.22_NRA_model_for_NEMO2 (EMC Update) v0.25_NRA_model_for_NEMO2 (EMC Update) v0.26_NRA_model_for_NEMO2 (EMC Update) v0.29.4" xfId="1534" xr:uid="{00000000-0005-0000-0000-0000FE050000}"/>
    <cellStyle name="%_NRA_model_for_NEMO2 (EMC Update) v0.22_NRA_model_for_NEMO2 (EMC Update) v0.25_NRA_model_for_NEMO2 (EMC Update) v0.26_NRA_model_for_NEMO2 (EMC Update) v0.29.4_NRA_model_for_NEMO2 (EMC Update) v0 30 1" xfId="1535" xr:uid="{00000000-0005-0000-0000-0000FF050000}"/>
    <cellStyle name="%_NRA_model_for_NEMO2 (EMC Update) v0.22_NRA_model_for_NEMO2 (EMC Update) v0.25_NRA_model_for_NEMO2 (EMC Update) v0.26_NRA_model_for_NEMO2 (EMC Update) v0.29.4_NRA_model_for_NEMO2 (EMC Update) v0.29.5" xfId="1536" xr:uid="{00000000-0005-0000-0000-000000060000}"/>
    <cellStyle name="%_NRA_model_for_NEMO2 (EMC Update) v0.22_NRA_model_for_NEMO2 (EMC Update) v0.25_NRA_model_for_NEMO2 (EMC Update) v0.26_NRA_model_for_NEMO2 (EMC Update) v0.29.4_NRA_model_for_NEMO2 (EMC Update) v0.29.5_NRA_model_for_NEMO2 (EMC Update) v0 30 1" xfId="1537" xr:uid="{00000000-0005-0000-0000-000001060000}"/>
    <cellStyle name="%_NRA_model_for_NEMO2 (EMC Update) v0.22_NRA_model_for_NEMO2 (EMC Update) v0.25_NRA_model_for_NEMO2 (EMC Update) v0.26_NRA_model_for_NEMO2 (EMC Update) v0.29.5" xfId="1538" xr:uid="{00000000-0005-0000-0000-000002060000}"/>
    <cellStyle name="%_NRA_model_for_NEMO2 (EMC Update) v0.22_NRA_model_for_NEMO2 (EMC Update) v0.25_NRA_model_for_NEMO2 (EMC Update) v0.26_NRA_model_for_NEMO2 (EMC Update) v0.29.5_NRA_model_for_NEMO2 (EMC Update) v0 30 1" xfId="1539" xr:uid="{00000000-0005-0000-0000-000003060000}"/>
    <cellStyle name="%_NRA_model_for_NEMO2 (EMC Update) v0.22_NRA_model_for_NEMO2 (EMC Update) v0.25_NRA_model_for_NEMO2 (EMC Update) v0.29" xfId="1554" xr:uid="{00000000-0005-0000-0000-000012060000}"/>
    <cellStyle name="%_NRA_model_for_NEMO2 (EMC Update) v0.22_NRA_model_for_NEMO2 (EMC Update) v0.25_NRA_model_for_NEMO2 (EMC Update) v0.29_NRA_model_for_NEMO2 (EMC Update) v0 30 1" xfId="1577" xr:uid="{00000000-0005-0000-0000-000029060000}"/>
    <cellStyle name="%_NRA_model_for_NEMO2 (EMC Update) v0.22_NRA_model_for_NEMO2 (EMC Update) v0.25_NRA_model_for_NEMO2 (EMC Update) v0.29_NRA_model_for_NEMO2 (EMC Update) v0.29.2" xfId="1578" xr:uid="{00000000-0005-0000-0000-00002A060000}"/>
    <cellStyle name="%_NRA_model_for_NEMO2 (EMC Update) v0.22_NRA_model_for_NEMO2 (EMC Update) v0.25_NRA_model_for_NEMO2 (EMC Update) v0.29_NRA_model_for_NEMO2 (EMC Update) v0.29.2_NRA_model_for_NEMO2 (EMC Update) v0 30 1" xfId="1579" xr:uid="{00000000-0005-0000-0000-00002B060000}"/>
    <cellStyle name="%_NRA_model_for_NEMO2 (EMC Update) v0.22_NRA_model_for_NEMO2 (EMC Update) v0.25_NRA_model_for_NEMO2 (EMC Update) v0.29_NRA_model_for_NEMO2 (EMC Update) v0.29.2_NRA_model_for_NEMO2 (EMC Update) v0.29.3" xfId="1580" xr:uid="{00000000-0005-0000-0000-00002C060000}"/>
    <cellStyle name="%_NRA_model_for_NEMO2 (EMC Update) v0.22_NRA_model_for_NEMO2 (EMC Update) v0.25_NRA_model_for_NEMO2 (EMC Update) v0.29_NRA_model_for_NEMO2 (EMC Update) v0.29.2_NRA_model_for_NEMO2 (EMC Update) v0.29.3_NRA_model_for_NEMO2 (EMC Update) v0 30 1" xfId="1581" xr:uid="{00000000-0005-0000-0000-00002D060000}"/>
    <cellStyle name="%_NRA_model_for_NEMO2 (EMC Update) v0.22_NRA_model_for_NEMO2 (EMC Update) v0.25_NRA_model_for_NEMO2 (EMC Update) v0.29_NRA_model_for_NEMO2 (EMC Update) v0.29.2_NRA_model_for_NEMO2 (EMC Update) v0.29.3_NRA_model_for_NEMO2 (EMC Update) v0.29.5" xfId="1582" xr:uid="{00000000-0005-0000-0000-00002E060000}"/>
    <cellStyle name="%_NRA_model_for_NEMO2 (EMC Update) v0.22_NRA_model_for_NEMO2 (EMC Update) v0.25_NRA_model_for_NEMO2 (EMC Update) v0.29_NRA_model_for_NEMO2 (EMC Update) v0.29.2_NRA_model_for_NEMO2 (EMC Update) v0.29.4" xfId="1583" xr:uid="{00000000-0005-0000-0000-00002F060000}"/>
    <cellStyle name="%_NRA_model_for_NEMO2 (EMC Update) v0.22_NRA_model_for_NEMO2 (EMC Update) v0.25_NRA_model_for_NEMO2 (EMC Update) v0.29_NRA_model_for_NEMO2 (EMC Update) v0.29.2_NRA_model_for_NEMO2 (EMC Update) v0.29.4_NRA_model_for_NEMO2 (EMC Update) v0 30 1" xfId="1584" xr:uid="{00000000-0005-0000-0000-000030060000}"/>
    <cellStyle name="%_NRA_model_for_NEMO2 (EMC Update) v0.22_NRA_model_for_NEMO2 (EMC Update) v0.25_NRA_model_for_NEMO2 (EMC Update) v0.29_NRA_model_for_NEMO2 (EMC Update) v0.29.2_NRA_model_for_NEMO2 (EMC Update) v0.29.4_NRA_model_for_NEMO2 (EMC Update) v0.29.5" xfId="1585" xr:uid="{00000000-0005-0000-0000-000031060000}"/>
    <cellStyle name="%_NRA_model_for_NEMO2 (EMC Update) v0.22_NRA_model_for_NEMO2 (EMC Update) v0.25_NRA_model_for_NEMO2 (EMC Update) v0.29_NRA_model_for_NEMO2 (EMC Update) v0.29.2_NRA_model_for_NEMO2 (EMC Update) v0.29.5" xfId="1586" xr:uid="{00000000-0005-0000-0000-000032060000}"/>
    <cellStyle name="%_NRA_model_for_NEMO2 (EMC Update) v0.22_NRA_model_for_NEMO2 (EMC Update) v0.25_NRA_model_for_NEMO2 (EMC Update) v0.29_NRA_model_for_NEMO2 (EMC Update) v0.29.2_NRA_model_for_NEMO2 (EMC Update) v0.29.5_NRA_model_for_NEMO2 (EMC Update) v0 30 1" xfId="1587" xr:uid="{00000000-0005-0000-0000-000033060000}"/>
    <cellStyle name="%_NRA_model_for_NEMO2 (EMC Update) v0.22_NRA_model_for_NEMO2 (EMC Update) v0.25_NRA_model_for_NEMO2 (EMC Update) v0.29_NRA_model_for_NEMO2 (EMC Update) v0.29.3" xfId="1588" xr:uid="{00000000-0005-0000-0000-000034060000}"/>
    <cellStyle name="%_NRA_model_for_NEMO2 (EMC Update) v0.22_NRA_model_for_NEMO2 (EMC Update) v0.25_NRA_model_for_NEMO2 (EMC Update) v0.29_NRA_model_for_NEMO2 (EMC Update) v0.29.3_NRA_model_for_NEMO2 (EMC Update) v0 30 1" xfId="1589" xr:uid="{00000000-0005-0000-0000-000035060000}"/>
    <cellStyle name="%_NRA_model_for_NEMO2 (EMC Update) v0.22_NRA_model_for_NEMO2 (EMC Update) v0.25_NRA_model_for_NEMO2 (EMC Update) v0.29_NRA_model_for_NEMO2 (EMC Update) v0.29.3_NRA_model_for_NEMO2 (EMC Update) v0.29.5" xfId="1590" xr:uid="{00000000-0005-0000-0000-000036060000}"/>
    <cellStyle name="%_NRA_model_for_NEMO2 (EMC Update) v0.22_NRA_model_for_NEMO2 (EMC Update) v0.25_NRA_model_for_NEMO2 (EMC Update) v0.29_NRA_model_for_NEMO2 (EMC Update) v0.29.3_NRA_model_for_NEMO2 (EMC Update) v0.29.5_NRA_model_for_NEMO2 (EMC Update) v0 30 1" xfId="1591" xr:uid="{00000000-0005-0000-0000-000037060000}"/>
    <cellStyle name="%_NRA_model_for_NEMO2 (EMC Update) v0.22_NRA_model_for_NEMO2 (EMC Update) v0.25_NRA_model_for_NEMO2 (EMC Update) v0.29_NRA_model_for_NEMO2 (EMC Update) v0.29.4" xfId="1592" xr:uid="{00000000-0005-0000-0000-000038060000}"/>
    <cellStyle name="%_NRA_model_for_NEMO2 (EMC Update) v0.22_NRA_model_for_NEMO2 (EMC Update) v0.25_NRA_model_for_NEMO2 (EMC Update) v0.29_NRA_model_for_NEMO2 (EMC Update) v0.29.4_NRA_model_for_NEMO2 (EMC Update) v0 30 1" xfId="1593" xr:uid="{00000000-0005-0000-0000-000039060000}"/>
    <cellStyle name="%_NRA_model_for_NEMO2 (EMC Update) v0.22_NRA_model_for_NEMO2 (EMC Update) v0.25_NRA_model_for_NEMO2 (EMC Update) v0.29_NRA_model_for_NEMO2 (EMC Update) v0.29.4_NRA_model_for_NEMO2 (EMC Update) v0.29.5" xfId="1594" xr:uid="{00000000-0005-0000-0000-00003A060000}"/>
    <cellStyle name="%_NRA_model_for_NEMO2 (EMC Update) v0.22_NRA_model_for_NEMO2 (EMC Update) v0.25_NRA_model_for_NEMO2 (EMC Update) v0.29_NRA_model_for_NEMO2 (EMC Update) v0.29.4_NRA_model_for_NEMO2 (EMC Update) v0.29.5_NRA_model_for_NEMO2 (EMC Update) v0 30 1" xfId="1595" xr:uid="{00000000-0005-0000-0000-00003B060000}"/>
    <cellStyle name="%_NRA_model_for_NEMO2 (EMC Update) v0.22_NRA_model_for_NEMO2 (EMC Update) v0.25_NRA_model_for_NEMO2 (EMC Update) v0.29_NRA_model_for_NEMO2 (EMC Update) v0.29.5" xfId="1596" xr:uid="{00000000-0005-0000-0000-00003C060000}"/>
    <cellStyle name="%_NRA_model_for_NEMO2 (EMC Update) v0.22_NRA_model_for_NEMO2 (EMC Update) v0.25_NRA_model_for_NEMO2 (EMC Update) v0.29_NRA_model_for_NEMO2 (EMC Update) v0.29.5_NRA_model_for_NEMO2 (EMC Update) v0 30 1" xfId="1597" xr:uid="{00000000-0005-0000-0000-00003D060000}"/>
    <cellStyle name="%_NRA_model_for_NEMO2 (EMC Update) v0.22_NRA_model_for_NEMO2 (EMC Update) v0.25_NRA_model_for_NEMO2 (EMC Update) v0.29.2" xfId="1555" xr:uid="{00000000-0005-0000-0000-000013060000}"/>
    <cellStyle name="%_NRA_model_for_NEMO2 (EMC Update) v0.22_NRA_model_for_NEMO2 (EMC Update) v0.25_NRA_model_for_NEMO2 (EMC Update) v0.29.2_NRA_model_for_NEMO2 (EMC Update) v0 30 1" xfId="1556" xr:uid="{00000000-0005-0000-0000-000014060000}"/>
    <cellStyle name="%_NRA_model_for_NEMO2 (EMC Update) v0.22_NRA_model_for_NEMO2 (EMC Update) v0.25_NRA_model_for_NEMO2 (EMC Update) v0.29.2_NRA_model_for_NEMO2 (EMC Update) v0.29.3" xfId="1557" xr:uid="{00000000-0005-0000-0000-000015060000}"/>
    <cellStyle name="%_NRA_model_for_NEMO2 (EMC Update) v0.22_NRA_model_for_NEMO2 (EMC Update) v0.25_NRA_model_for_NEMO2 (EMC Update) v0.29.2_NRA_model_for_NEMO2 (EMC Update) v0.29.3_NRA_model_for_NEMO2 (EMC Update) v0 30 1" xfId="1558" xr:uid="{00000000-0005-0000-0000-000016060000}"/>
    <cellStyle name="%_NRA_model_for_NEMO2 (EMC Update) v0.22_NRA_model_for_NEMO2 (EMC Update) v0.25_NRA_model_for_NEMO2 (EMC Update) v0.29.2_NRA_model_for_NEMO2 (EMC Update) v0.29.3_NRA_model_for_NEMO2 (EMC Update) v0.29.5" xfId="1559" xr:uid="{00000000-0005-0000-0000-000017060000}"/>
    <cellStyle name="%_NRA_model_for_NEMO2 (EMC Update) v0.22_NRA_model_for_NEMO2 (EMC Update) v0.25_NRA_model_for_NEMO2 (EMC Update) v0.29.2_NRA_model_for_NEMO2 (EMC Update) v0.29.3_NRA_model_for_NEMO2 (EMC Update) v0.29.5_NRA_model_for_NEMO2 (EMC Update) v0 30 1" xfId="1560" xr:uid="{00000000-0005-0000-0000-000018060000}"/>
    <cellStyle name="%_NRA_model_for_NEMO2 (EMC Update) v0.22_NRA_model_for_NEMO2 (EMC Update) v0.25_NRA_model_for_NEMO2 (EMC Update) v0.29.2_NRA_model_for_NEMO2 (EMC Update) v0.29.4" xfId="1561" xr:uid="{00000000-0005-0000-0000-000019060000}"/>
    <cellStyle name="%_NRA_model_for_NEMO2 (EMC Update) v0.22_NRA_model_for_NEMO2 (EMC Update) v0.25_NRA_model_for_NEMO2 (EMC Update) v0.29.2_NRA_model_for_NEMO2 (EMC Update) v0.29.4_NRA_model_for_NEMO2 (EMC Update) v0 30 1" xfId="1562" xr:uid="{00000000-0005-0000-0000-00001A060000}"/>
    <cellStyle name="%_NRA_model_for_NEMO2 (EMC Update) v0.22_NRA_model_for_NEMO2 (EMC Update) v0.25_NRA_model_for_NEMO2 (EMC Update) v0.29.2_NRA_model_for_NEMO2 (EMC Update) v0.29.4_NRA_model_for_NEMO2 (EMC Update) v0.29.5" xfId="1563" xr:uid="{00000000-0005-0000-0000-00001B060000}"/>
    <cellStyle name="%_NRA_model_for_NEMO2 (EMC Update) v0.22_NRA_model_for_NEMO2 (EMC Update) v0.25_NRA_model_for_NEMO2 (EMC Update) v0.29.2_NRA_model_for_NEMO2 (EMC Update) v0.29.4_NRA_model_for_NEMO2 (EMC Update) v0.29.5_NRA_model_for_NEMO2 (EMC Update) v0 30 1" xfId="1564" xr:uid="{00000000-0005-0000-0000-00001C060000}"/>
    <cellStyle name="%_NRA_model_for_NEMO2 (EMC Update) v0.22_NRA_model_for_NEMO2 (EMC Update) v0.25_NRA_model_for_NEMO2 (EMC Update) v0.29.2_NRA_model_for_NEMO2 (EMC Update) v0.29.5" xfId="1565" xr:uid="{00000000-0005-0000-0000-00001D060000}"/>
    <cellStyle name="%_NRA_model_for_NEMO2 (EMC Update) v0.22_NRA_model_for_NEMO2 (EMC Update) v0.25_NRA_model_for_NEMO2 (EMC Update) v0.29.2_NRA_model_for_NEMO2 (EMC Update) v0.29.5_NRA_model_for_NEMO2 (EMC Update) v0 30 1" xfId="1566" xr:uid="{00000000-0005-0000-0000-00001E060000}"/>
    <cellStyle name="%_NRA_model_for_NEMO2 (EMC Update) v0.22_NRA_model_for_NEMO2 (EMC Update) v0.25_NRA_model_for_NEMO2 (EMC Update) v0.29.3" xfId="1567" xr:uid="{00000000-0005-0000-0000-00001F060000}"/>
    <cellStyle name="%_NRA_model_for_NEMO2 (EMC Update) v0.22_NRA_model_for_NEMO2 (EMC Update) v0.25_NRA_model_for_NEMO2 (EMC Update) v0.29.3_NRA_model_for_NEMO2 (EMC Update) v0 30 1" xfId="1568" xr:uid="{00000000-0005-0000-0000-000020060000}"/>
    <cellStyle name="%_NRA_model_for_NEMO2 (EMC Update) v0.22_NRA_model_for_NEMO2 (EMC Update) v0.25_NRA_model_for_NEMO2 (EMC Update) v0.29.3_NRA_model_for_NEMO2 (EMC Update) v0.29.5" xfId="1569" xr:uid="{00000000-0005-0000-0000-000021060000}"/>
    <cellStyle name="%_NRA_model_for_NEMO2 (EMC Update) v0.22_NRA_model_for_NEMO2 (EMC Update) v0.25_NRA_model_for_NEMO2 (EMC Update) v0.29.3_NRA_model_for_NEMO2 (EMC Update) v0.29.5_NRA_model_for_NEMO2 (EMC Update) v0 30 1" xfId="1570" xr:uid="{00000000-0005-0000-0000-000022060000}"/>
    <cellStyle name="%_NRA_model_for_NEMO2 (EMC Update) v0.22_NRA_model_for_NEMO2 (EMC Update) v0.25_NRA_model_for_NEMO2 (EMC Update) v0.29.4" xfId="1571" xr:uid="{00000000-0005-0000-0000-000023060000}"/>
    <cellStyle name="%_NRA_model_for_NEMO2 (EMC Update) v0.22_NRA_model_for_NEMO2 (EMC Update) v0.25_NRA_model_for_NEMO2 (EMC Update) v0.29.4_NRA_model_for_NEMO2 (EMC Update) v0 30 1" xfId="1572" xr:uid="{00000000-0005-0000-0000-000024060000}"/>
    <cellStyle name="%_NRA_model_for_NEMO2 (EMC Update) v0.22_NRA_model_for_NEMO2 (EMC Update) v0.25_NRA_model_for_NEMO2 (EMC Update) v0.29.4_NRA_model_for_NEMO2 (EMC Update) v0.29.5" xfId="1573" xr:uid="{00000000-0005-0000-0000-000025060000}"/>
    <cellStyle name="%_NRA_model_for_NEMO2 (EMC Update) v0.22_NRA_model_for_NEMO2 (EMC Update) v0.25_NRA_model_for_NEMO2 (EMC Update) v0.29.4_NRA_model_for_NEMO2 (EMC Update) v0.29.5_NRA_model_for_NEMO2 (EMC Update) v0 30 1" xfId="1574" xr:uid="{00000000-0005-0000-0000-000026060000}"/>
    <cellStyle name="%_NRA_model_for_NEMO2 (EMC Update) v0.22_NRA_model_for_NEMO2 (EMC Update) v0.25_NRA_model_for_NEMO2 (EMC Update) v0.29.5" xfId="1575" xr:uid="{00000000-0005-0000-0000-000027060000}"/>
    <cellStyle name="%_NRA_model_for_NEMO2 (EMC Update) v0.22_NRA_model_for_NEMO2 (EMC Update) v0.25_NRA_model_for_NEMO2 (EMC Update) v0.29.5_NRA_model_for_NEMO2 (EMC Update) v0 30 1" xfId="1576" xr:uid="{00000000-0005-0000-0000-000028060000}"/>
    <cellStyle name="%_NRA_model_for_NEMO2 (EMC Update) v0.22_NRA_model_for_NEMO2 (EMC Update) v0.26" xfId="1598" xr:uid="{00000000-0005-0000-0000-00003E060000}"/>
    <cellStyle name="%_NRA_model_for_NEMO2 (EMC Update) v0.22_NRA_model_for_NEMO2 (EMC Update) v0.26_NRA_model_for_NEMO2 (EMC Update) v0 30 1" xfId="1599" xr:uid="{00000000-0005-0000-0000-00003F060000}"/>
    <cellStyle name="%_NRA_model_for_NEMO2 (EMC Update) v0.22_NRA_model_for_NEMO2 (EMC Update) v0.26_NRA_model_for_NEMO2 (EMC Update) v0.29" xfId="1600" xr:uid="{00000000-0005-0000-0000-000040060000}"/>
    <cellStyle name="%_NRA_model_for_NEMO2 (EMC Update) v0.22_NRA_model_for_NEMO2 (EMC Update) v0.26_NRA_model_for_NEMO2 (EMC Update) v0.29_NRA_model_for_NEMO2 (EMC Update) v0 30 1" xfId="1623" xr:uid="{00000000-0005-0000-0000-000057060000}"/>
    <cellStyle name="%_NRA_model_for_NEMO2 (EMC Update) v0.22_NRA_model_for_NEMO2 (EMC Update) v0.26_NRA_model_for_NEMO2 (EMC Update) v0.29_NRA_model_for_NEMO2 (EMC Update) v0.29.2" xfId="1624" xr:uid="{00000000-0005-0000-0000-000058060000}"/>
    <cellStyle name="%_NRA_model_for_NEMO2 (EMC Update) v0.22_NRA_model_for_NEMO2 (EMC Update) v0.26_NRA_model_for_NEMO2 (EMC Update) v0.29_NRA_model_for_NEMO2 (EMC Update) v0.29.2_NRA_model_for_NEMO2 (EMC Update) v0 30 1" xfId="1625" xr:uid="{00000000-0005-0000-0000-000059060000}"/>
    <cellStyle name="%_NRA_model_for_NEMO2 (EMC Update) v0.22_NRA_model_for_NEMO2 (EMC Update) v0.26_NRA_model_for_NEMO2 (EMC Update) v0.29_NRA_model_for_NEMO2 (EMC Update) v0.29.2_NRA_model_for_NEMO2 (EMC Update) v0.29.3" xfId="1626" xr:uid="{00000000-0005-0000-0000-00005A060000}"/>
    <cellStyle name="%_NRA_model_for_NEMO2 (EMC Update) v0.22_NRA_model_for_NEMO2 (EMC Update) v0.26_NRA_model_for_NEMO2 (EMC Update) v0.29_NRA_model_for_NEMO2 (EMC Update) v0.29.2_NRA_model_for_NEMO2 (EMC Update) v0.29.3_NRA_model_for_NEMO2 (EMC Update) v0 30 1" xfId="1627" xr:uid="{00000000-0005-0000-0000-00005B060000}"/>
    <cellStyle name="%_NRA_model_for_NEMO2 (EMC Update) v0.22_NRA_model_for_NEMO2 (EMC Update) v0.26_NRA_model_for_NEMO2 (EMC Update) v0.29_NRA_model_for_NEMO2 (EMC Update) v0.29.2_NRA_model_for_NEMO2 (EMC Update) v0.29.3_NRA_model_for_NEMO2 (EMC Update) v0.29.5" xfId="1628" xr:uid="{00000000-0005-0000-0000-00005C060000}"/>
    <cellStyle name="%_NRA_model_for_NEMO2 (EMC Update) v0.22_NRA_model_for_NEMO2 (EMC Update) v0.26_NRA_model_for_NEMO2 (EMC Update) v0.29_NRA_model_for_NEMO2 (EMC Update) v0.29.2_NRA_model_for_NEMO2 (EMC Update) v0.29.4" xfId="1629" xr:uid="{00000000-0005-0000-0000-00005D060000}"/>
    <cellStyle name="%_NRA_model_for_NEMO2 (EMC Update) v0.22_NRA_model_for_NEMO2 (EMC Update) v0.26_NRA_model_for_NEMO2 (EMC Update) v0.29_NRA_model_for_NEMO2 (EMC Update) v0.29.2_NRA_model_for_NEMO2 (EMC Update) v0.29.4_NRA_model_for_NEMO2 (EMC Update) v0 30 1" xfId="1630" xr:uid="{00000000-0005-0000-0000-00005E060000}"/>
    <cellStyle name="%_NRA_model_for_NEMO2 (EMC Update) v0.22_NRA_model_for_NEMO2 (EMC Update) v0.26_NRA_model_for_NEMO2 (EMC Update) v0.29_NRA_model_for_NEMO2 (EMC Update) v0.29.2_NRA_model_for_NEMO2 (EMC Update) v0.29.4_NRA_model_for_NEMO2 (EMC Update) v0.29.5" xfId="1631" xr:uid="{00000000-0005-0000-0000-00005F060000}"/>
    <cellStyle name="%_NRA_model_for_NEMO2 (EMC Update) v0.22_NRA_model_for_NEMO2 (EMC Update) v0.26_NRA_model_for_NEMO2 (EMC Update) v0.29_NRA_model_for_NEMO2 (EMC Update) v0.29.2_NRA_model_for_NEMO2 (EMC Update) v0.29.5" xfId="1632" xr:uid="{00000000-0005-0000-0000-000060060000}"/>
    <cellStyle name="%_NRA_model_for_NEMO2 (EMC Update) v0.22_NRA_model_for_NEMO2 (EMC Update) v0.26_NRA_model_for_NEMO2 (EMC Update) v0.29_NRA_model_for_NEMO2 (EMC Update) v0.29.2_NRA_model_for_NEMO2 (EMC Update) v0.29.5_NRA_model_for_NEMO2 (EMC Update) v0 30 1" xfId="1633" xr:uid="{00000000-0005-0000-0000-000061060000}"/>
    <cellStyle name="%_NRA_model_for_NEMO2 (EMC Update) v0.22_NRA_model_for_NEMO2 (EMC Update) v0.26_NRA_model_for_NEMO2 (EMC Update) v0.29_NRA_model_for_NEMO2 (EMC Update) v0.29.3" xfId="1634" xr:uid="{00000000-0005-0000-0000-000062060000}"/>
    <cellStyle name="%_NRA_model_for_NEMO2 (EMC Update) v0.22_NRA_model_for_NEMO2 (EMC Update) v0.26_NRA_model_for_NEMO2 (EMC Update) v0.29_NRA_model_for_NEMO2 (EMC Update) v0.29.3_NRA_model_for_NEMO2 (EMC Update) v0 30 1" xfId="1635" xr:uid="{00000000-0005-0000-0000-000063060000}"/>
    <cellStyle name="%_NRA_model_for_NEMO2 (EMC Update) v0.22_NRA_model_for_NEMO2 (EMC Update) v0.26_NRA_model_for_NEMO2 (EMC Update) v0.29_NRA_model_for_NEMO2 (EMC Update) v0.29.3_NRA_model_for_NEMO2 (EMC Update) v0.29.5" xfId="1636" xr:uid="{00000000-0005-0000-0000-000064060000}"/>
    <cellStyle name="%_NRA_model_for_NEMO2 (EMC Update) v0.22_NRA_model_for_NEMO2 (EMC Update) v0.26_NRA_model_for_NEMO2 (EMC Update) v0.29_NRA_model_for_NEMO2 (EMC Update) v0.29.3_NRA_model_for_NEMO2 (EMC Update) v0.29.5_NRA_model_for_NEMO2 (EMC Update) v0 30 1" xfId="1637" xr:uid="{00000000-0005-0000-0000-000065060000}"/>
    <cellStyle name="%_NRA_model_for_NEMO2 (EMC Update) v0.22_NRA_model_for_NEMO2 (EMC Update) v0.26_NRA_model_for_NEMO2 (EMC Update) v0.29_NRA_model_for_NEMO2 (EMC Update) v0.29.4" xfId="1638" xr:uid="{00000000-0005-0000-0000-000066060000}"/>
    <cellStyle name="%_NRA_model_for_NEMO2 (EMC Update) v0.22_NRA_model_for_NEMO2 (EMC Update) v0.26_NRA_model_for_NEMO2 (EMC Update) v0.29_NRA_model_for_NEMO2 (EMC Update) v0.29.4_NRA_model_for_NEMO2 (EMC Update) v0 30 1" xfId="1639" xr:uid="{00000000-0005-0000-0000-000067060000}"/>
    <cellStyle name="%_NRA_model_for_NEMO2 (EMC Update) v0.22_NRA_model_for_NEMO2 (EMC Update) v0.26_NRA_model_for_NEMO2 (EMC Update) v0.29_NRA_model_for_NEMO2 (EMC Update) v0.29.4_NRA_model_for_NEMO2 (EMC Update) v0.29.5" xfId="1640" xr:uid="{00000000-0005-0000-0000-000068060000}"/>
    <cellStyle name="%_NRA_model_for_NEMO2 (EMC Update) v0.22_NRA_model_for_NEMO2 (EMC Update) v0.26_NRA_model_for_NEMO2 (EMC Update) v0.29_NRA_model_for_NEMO2 (EMC Update) v0.29.4_NRA_model_for_NEMO2 (EMC Update) v0.29.5_NRA_model_for_NEMO2 (EMC Update) v0 30 1" xfId="1641" xr:uid="{00000000-0005-0000-0000-000069060000}"/>
    <cellStyle name="%_NRA_model_for_NEMO2 (EMC Update) v0.22_NRA_model_for_NEMO2 (EMC Update) v0.26_NRA_model_for_NEMO2 (EMC Update) v0.29_NRA_model_for_NEMO2 (EMC Update) v0.29.5" xfId="1642" xr:uid="{00000000-0005-0000-0000-00006A060000}"/>
    <cellStyle name="%_NRA_model_for_NEMO2 (EMC Update) v0.22_NRA_model_for_NEMO2 (EMC Update) v0.26_NRA_model_for_NEMO2 (EMC Update) v0.29_NRA_model_for_NEMO2 (EMC Update) v0.29.5_NRA_model_for_NEMO2 (EMC Update) v0 30 1" xfId="1643" xr:uid="{00000000-0005-0000-0000-00006B060000}"/>
    <cellStyle name="%_NRA_model_for_NEMO2 (EMC Update) v0.22_NRA_model_for_NEMO2 (EMC Update) v0.26_NRA_model_for_NEMO2 (EMC Update) v0.29.2" xfId="1601" xr:uid="{00000000-0005-0000-0000-000041060000}"/>
    <cellStyle name="%_NRA_model_for_NEMO2 (EMC Update) v0.22_NRA_model_for_NEMO2 (EMC Update) v0.26_NRA_model_for_NEMO2 (EMC Update) v0.29.2_NRA_model_for_NEMO2 (EMC Update) v0 30 1" xfId="1602" xr:uid="{00000000-0005-0000-0000-000042060000}"/>
    <cellStyle name="%_NRA_model_for_NEMO2 (EMC Update) v0.22_NRA_model_for_NEMO2 (EMC Update) v0.26_NRA_model_for_NEMO2 (EMC Update) v0.29.2_NRA_model_for_NEMO2 (EMC Update) v0.29.3" xfId="1603" xr:uid="{00000000-0005-0000-0000-000043060000}"/>
    <cellStyle name="%_NRA_model_for_NEMO2 (EMC Update) v0.22_NRA_model_for_NEMO2 (EMC Update) v0.26_NRA_model_for_NEMO2 (EMC Update) v0.29.2_NRA_model_for_NEMO2 (EMC Update) v0.29.3_NRA_model_for_NEMO2 (EMC Update) v0 30 1" xfId="1604" xr:uid="{00000000-0005-0000-0000-000044060000}"/>
    <cellStyle name="%_NRA_model_for_NEMO2 (EMC Update) v0.22_NRA_model_for_NEMO2 (EMC Update) v0.26_NRA_model_for_NEMO2 (EMC Update) v0.29.2_NRA_model_for_NEMO2 (EMC Update) v0.29.3_NRA_model_for_NEMO2 (EMC Update) v0.29.5" xfId="1605" xr:uid="{00000000-0005-0000-0000-000045060000}"/>
    <cellStyle name="%_NRA_model_for_NEMO2 (EMC Update) v0.22_NRA_model_for_NEMO2 (EMC Update) v0.26_NRA_model_for_NEMO2 (EMC Update) v0.29.2_NRA_model_for_NEMO2 (EMC Update) v0.29.3_NRA_model_for_NEMO2 (EMC Update) v0.29.5_NRA_model_for_NEMO2 (EMC Update) v0 30 1" xfId="1606" xr:uid="{00000000-0005-0000-0000-000046060000}"/>
    <cellStyle name="%_NRA_model_for_NEMO2 (EMC Update) v0.22_NRA_model_for_NEMO2 (EMC Update) v0.26_NRA_model_for_NEMO2 (EMC Update) v0.29.2_NRA_model_for_NEMO2 (EMC Update) v0.29.4" xfId="1607" xr:uid="{00000000-0005-0000-0000-000047060000}"/>
    <cellStyle name="%_NRA_model_for_NEMO2 (EMC Update) v0.22_NRA_model_for_NEMO2 (EMC Update) v0.26_NRA_model_for_NEMO2 (EMC Update) v0.29.2_NRA_model_for_NEMO2 (EMC Update) v0.29.4_NRA_model_for_NEMO2 (EMC Update) v0 30 1" xfId="1608" xr:uid="{00000000-0005-0000-0000-000048060000}"/>
    <cellStyle name="%_NRA_model_for_NEMO2 (EMC Update) v0.22_NRA_model_for_NEMO2 (EMC Update) v0.26_NRA_model_for_NEMO2 (EMC Update) v0.29.2_NRA_model_for_NEMO2 (EMC Update) v0.29.4_NRA_model_for_NEMO2 (EMC Update) v0.29.5" xfId="1609" xr:uid="{00000000-0005-0000-0000-000049060000}"/>
    <cellStyle name="%_NRA_model_for_NEMO2 (EMC Update) v0.22_NRA_model_for_NEMO2 (EMC Update) v0.26_NRA_model_for_NEMO2 (EMC Update) v0.29.2_NRA_model_for_NEMO2 (EMC Update) v0.29.4_NRA_model_for_NEMO2 (EMC Update) v0.29.5_NRA_model_for_NEMO2 (EMC Update) v0 30 1" xfId="1610" xr:uid="{00000000-0005-0000-0000-00004A060000}"/>
    <cellStyle name="%_NRA_model_for_NEMO2 (EMC Update) v0.22_NRA_model_for_NEMO2 (EMC Update) v0.26_NRA_model_for_NEMO2 (EMC Update) v0.29.2_NRA_model_for_NEMO2 (EMC Update) v0.29.5" xfId="1611" xr:uid="{00000000-0005-0000-0000-00004B060000}"/>
    <cellStyle name="%_NRA_model_for_NEMO2 (EMC Update) v0.22_NRA_model_for_NEMO2 (EMC Update) v0.26_NRA_model_for_NEMO2 (EMC Update) v0.29.2_NRA_model_for_NEMO2 (EMC Update) v0.29.5_NRA_model_for_NEMO2 (EMC Update) v0 30 1" xfId="1612" xr:uid="{00000000-0005-0000-0000-00004C060000}"/>
    <cellStyle name="%_NRA_model_for_NEMO2 (EMC Update) v0.22_NRA_model_for_NEMO2 (EMC Update) v0.26_NRA_model_for_NEMO2 (EMC Update) v0.29.3" xfId="1613" xr:uid="{00000000-0005-0000-0000-00004D060000}"/>
    <cellStyle name="%_NRA_model_for_NEMO2 (EMC Update) v0.22_NRA_model_for_NEMO2 (EMC Update) v0.26_NRA_model_for_NEMO2 (EMC Update) v0.29.3_NRA_model_for_NEMO2 (EMC Update) v0 30 1" xfId="1614" xr:uid="{00000000-0005-0000-0000-00004E060000}"/>
    <cellStyle name="%_NRA_model_for_NEMO2 (EMC Update) v0.22_NRA_model_for_NEMO2 (EMC Update) v0.26_NRA_model_for_NEMO2 (EMC Update) v0.29.3_NRA_model_for_NEMO2 (EMC Update) v0.29.5" xfId="1615" xr:uid="{00000000-0005-0000-0000-00004F060000}"/>
    <cellStyle name="%_NRA_model_for_NEMO2 (EMC Update) v0.22_NRA_model_for_NEMO2 (EMC Update) v0.26_NRA_model_for_NEMO2 (EMC Update) v0.29.3_NRA_model_for_NEMO2 (EMC Update) v0.29.5_NRA_model_for_NEMO2 (EMC Update) v0 30 1" xfId="1616" xr:uid="{00000000-0005-0000-0000-000050060000}"/>
    <cellStyle name="%_NRA_model_for_NEMO2 (EMC Update) v0.22_NRA_model_for_NEMO2 (EMC Update) v0.26_NRA_model_for_NEMO2 (EMC Update) v0.29.4" xfId="1617" xr:uid="{00000000-0005-0000-0000-000051060000}"/>
    <cellStyle name="%_NRA_model_for_NEMO2 (EMC Update) v0.22_NRA_model_for_NEMO2 (EMC Update) v0.26_NRA_model_for_NEMO2 (EMC Update) v0.29.4_NRA_model_for_NEMO2 (EMC Update) v0 30 1" xfId="1618" xr:uid="{00000000-0005-0000-0000-000052060000}"/>
    <cellStyle name="%_NRA_model_for_NEMO2 (EMC Update) v0.22_NRA_model_for_NEMO2 (EMC Update) v0.26_NRA_model_for_NEMO2 (EMC Update) v0.29.4_NRA_model_for_NEMO2 (EMC Update) v0.29.5" xfId="1619" xr:uid="{00000000-0005-0000-0000-000053060000}"/>
    <cellStyle name="%_NRA_model_for_NEMO2 (EMC Update) v0.22_NRA_model_for_NEMO2 (EMC Update) v0.26_NRA_model_for_NEMO2 (EMC Update) v0.29.4_NRA_model_for_NEMO2 (EMC Update) v0.29.5_NRA_model_for_NEMO2 (EMC Update) v0 30 1" xfId="1620" xr:uid="{00000000-0005-0000-0000-000054060000}"/>
    <cellStyle name="%_NRA_model_for_NEMO2 (EMC Update) v0.22_NRA_model_for_NEMO2 (EMC Update) v0.26_NRA_model_for_NEMO2 (EMC Update) v0.29.5" xfId="1621" xr:uid="{00000000-0005-0000-0000-000055060000}"/>
    <cellStyle name="%_NRA_model_for_NEMO2 (EMC Update) v0.22_NRA_model_for_NEMO2 (EMC Update) v0.26_NRA_model_for_NEMO2 (EMC Update) v0.29.5_NRA_model_for_NEMO2 (EMC Update) v0 30 1" xfId="1622" xr:uid="{00000000-0005-0000-0000-000056060000}"/>
    <cellStyle name="%_NRA_model_for_NEMO2 (EMC Update) v0.22_NRA_model_for_NEMO2 (EMC Update) v0.29" xfId="1644" xr:uid="{00000000-0005-0000-0000-00006C060000}"/>
    <cellStyle name="%_NRA_model_for_NEMO2 (EMC Update) v0.22_NRA_model_for_NEMO2 (EMC Update) v0.29_NRA_model_for_NEMO2 (EMC Update) v0 30 1" xfId="1667" xr:uid="{00000000-0005-0000-0000-000083060000}"/>
    <cellStyle name="%_NRA_model_for_NEMO2 (EMC Update) v0.22_NRA_model_for_NEMO2 (EMC Update) v0.29_NRA_model_for_NEMO2 (EMC Update) v0.29.2" xfId="1668" xr:uid="{00000000-0005-0000-0000-000084060000}"/>
    <cellStyle name="%_NRA_model_for_NEMO2 (EMC Update) v0.22_NRA_model_for_NEMO2 (EMC Update) v0.29_NRA_model_for_NEMO2 (EMC Update) v0.29.2_NRA_model_for_NEMO2 (EMC Update) v0 30 1" xfId="1669" xr:uid="{00000000-0005-0000-0000-000085060000}"/>
    <cellStyle name="%_NRA_model_for_NEMO2 (EMC Update) v0.22_NRA_model_for_NEMO2 (EMC Update) v0.29_NRA_model_for_NEMO2 (EMC Update) v0.29.2_NRA_model_for_NEMO2 (EMC Update) v0.29.3" xfId="1670" xr:uid="{00000000-0005-0000-0000-000086060000}"/>
    <cellStyle name="%_NRA_model_for_NEMO2 (EMC Update) v0.22_NRA_model_for_NEMO2 (EMC Update) v0.29_NRA_model_for_NEMO2 (EMC Update) v0.29.2_NRA_model_for_NEMO2 (EMC Update) v0.29.3_NRA_model_for_NEMO2 (EMC Update) v0 30 1" xfId="1671" xr:uid="{00000000-0005-0000-0000-000087060000}"/>
    <cellStyle name="%_NRA_model_for_NEMO2 (EMC Update) v0.22_NRA_model_for_NEMO2 (EMC Update) v0.29_NRA_model_for_NEMO2 (EMC Update) v0.29.2_NRA_model_for_NEMO2 (EMC Update) v0.29.3_NRA_model_for_NEMO2 (EMC Update) v0.29.5" xfId="1672" xr:uid="{00000000-0005-0000-0000-000088060000}"/>
    <cellStyle name="%_NRA_model_for_NEMO2 (EMC Update) v0.22_NRA_model_for_NEMO2 (EMC Update) v0.29_NRA_model_for_NEMO2 (EMC Update) v0.29.2_NRA_model_for_NEMO2 (EMC Update) v0.29.3_NRA_model_for_NEMO2 (EMC Update) v0.29.5_NRA_model_for_NEMO2 (EMC Update) v0 30 1" xfId="1673" xr:uid="{00000000-0005-0000-0000-000089060000}"/>
    <cellStyle name="%_NRA_model_for_NEMO2 (EMC Update) v0.22_NRA_model_for_NEMO2 (EMC Update) v0.29_NRA_model_for_NEMO2 (EMC Update) v0.29.2_NRA_model_for_NEMO2 (EMC Update) v0.29.4" xfId="1674" xr:uid="{00000000-0005-0000-0000-00008A060000}"/>
    <cellStyle name="%_NRA_model_for_NEMO2 (EMC Update) v0.22_NRA_model_for_NEMO2 (EMC Update) v0.29_NRA_model_for_NEMO2 (EMC Update) v0.29.2_NRA_model_for_NEMO2 (EMC Update) v0.29.4_NRA_model_for_NEMO2 (EMC Update) v0 30 1" xfId="1675" xr:uid="{00000000-0005-0000-0000-00008B060000}"/>
    <cellStyle name="%_NRA_model_for_NEMO2 (EMC Update) v0.22_NRA_model_for_NEMO2 (EMC Update) v0.29_NRA_model_for_NEMO2 (EMC Update) v0.29.2_NRA_model_for_NEMO2 (EMC Update) v0.29.4_NRA_model_for_NEMO2 (EMC Update) v0.29.5" xfId="1676" xr:uid="{00000000-0005-0000-0000-00008C060000}"/>
    <cellStyle name="%_NRA_model_for_NEMO2 (EMC Update) v0.22_NRA_model_for_NEMO2 (EMC Update) v0.29_NRA_model_for_NEMO2 (EMC Update) v0.29.2_NRA_model_for_NEMO2 (EMC Update) v0.29.4_NRA_model_for_NEMO2 (EMC Update) v0.29.5_NRA_model_for_NEMO2 (EMC Update) v0 30 1" xfId="1677" xr:uid="{00000000-0005-0000-0000-00008D060000}"/>
    <cellStyle name="%_NRA_model_for_NEMO2 (EMC Update) v0.22_NRA_model_for_NEMO2 (EMC Update) v0.29_NRA_model_for_NEMO2 (EMC Update) v0.29.2_NRA_model_for_NEMO2 (EMC Update) v0.29.5" xfId="1678" xr:uid="{00000000-0005-0000-0000-00008E060000}"/>
    <cellStyle name="%_NRA_model_for_NEMO2 (EMC Update) v0.22_NRA_model_for_NEMO2 (EMC Update) v0.29_NRA_model_for_NEMO2 (EMC Update) v0.29.2_NRA_model_for_NEMO2 (EMC Update) v0.29.5_NRA_model_for_NEMO2 (EMC Update) v0 30 1" xfId="1679" xr:uid="{00000000-0005-0000-0000-00008F060000}"/>
    <cellStyle name="%_NRA_model_for_NEMO2 (EMC Update) v0.22_NRA_model_for_NEMO2 (EMC Update) v0.29_NRA_model_for_NEMO2 (EMC Update) v0.29.3" xfId="1680" xr:uid="{00000000-0005-0000-0000-000090060000}"/>
    <cellStyle name="%_NRA_model_for_NEMO2 (EMC Update) v0.22_NRA_model_for_NEMO2 (EMC Update) v0.29_NRA_model_for_NEMO2 (EMC Update) v0.29.3_NRA_model_for_NEMO2 (EMC Update) v0 30 1" xfId="1681" xr:uid="{00000000-0005-0000-0000-000091060000}"/>
    <cellStyle name="%_NRA_model_for_NEMO2 (EMC Update) v0.22_NRA_model_for_NEMO2 (EMC Update) v0.29_NRA_model_for_NEMO2 (EMC Update) v0.29.3_NRA_model_for_NEMO2 (EMC Update) v0.29.5" xfId="1682" xr:uid="{00000000-0005-0000-0000-000092060000}"/>
    <cellStyle name="%_NRA_model_for_NEMO2 (EMC Update) v0.22_NRA_model_for_NEMO2 (EMC Update) v0.29_NRA_model_for_NEMO2 (EMC Update) v0.29.3_NRA_model_for_NEMO2 (EMC Update) v0.29.5_NRA_model_for_NEMO2 (EMC Update) v0 30 1" xfId="1683" xr:uid="{00000000-0005-0000-0000-000093060000}"/>
    <cellStyle name="%_NRA_model_for_NEMO2 (EMC Update) v0.22_NRA_model_for_NEMO2 (EMC Update) v0.29_NRA_model_for_NEMO2 (EMC Update) v0.29.4" xfId="1684" xr:uid="{00000000-0005-0000-0000-000094060000}"/>
    <cellStyle name="%_NRA_model_for_NEMO2 (EMC Update) v0.22_NRA_model_for_NEMO2 (EMC Update) v0.29_NRA_model_for_NEMO2 (EMC Update) v0.29.4_NRA_model_for_NEMO2 (EMC Update) v0 30 1" xfId="1685" xr:uid="{00000000-0005-0000-0000-000095060000}"/>
    <cellStyle name="%_NRA_model_for_NEMO2 (EMC Update) v0.22_NRA_model_for_NEMO2 (EMC Update) v0.29_NRA_model_for_NEMO2 (EMC Update) v0.29.4_NRA_model_for_NEMO2 (EMC Update) v0.29.5" xfId="1686" xr:uid="{00000000-0005-0000-0000-000096060000}"/>
    <cellStyle name="%_NRA_model_for_NEMO2 (EMC Update) v0.22_NRA_model_for_NEMO2 (EMC Update) v0.29_NRA_model_for_NEMO2 (EMC Update) v0.29.4_NRA_model_for_NEMO2 (EMC Update) v0.29.5_NRA_model_for_NEMO2 (EMC Update) v0 30 1" xfId="1687" xr:uid="{00000000-0005-0000-0000-000097060000}"/>
    <cellStyle name="%_NRA_model_for_NEMO2 (EMC Update) v0.22_NRA_model_for_NEMO2 (EMC Update) v0.29_NRA_model_for_NEMO2 (EMC Update) v0.29.5" xfId="1688" xr:uid="{00000000-0005-0000-0000-000098060000}"/>
    <cellStyle name="%_NRA_model_for_NEMO2 (EMC Update) v0.22_NRA_model_for_NEMO2 (EMC Update) v0.29_NRA_model_for_NEMO2 (EMC Update) v0.29.5_NRA_model_for_NEMO2 (EMC Update) v0 30 1" xfId="1689" xr:uid="{00000000-0005-0000-0000-000099060000}"/>
    <cellStyle name="%_NRA_model_for_NEMO2 (EMC Update) v0.22_NRA_model_for_NEMO2 (EMC Update) v0.29.2" xfId="1645" xr:uid="{00000000-0005-0000-0000-00006D060000}"/>
    <cellStyle name="%_NRA_model_for_NEMO2 (EMC Update) v0.22_NRA_model_for_NEMO2 (EMC Update) v0.29.2_NRA_model_for_NEMO2 (EMC Update) v0 30 1" xfId="1646" xr:uid="{00000000-0005-0000-0000-00006E060000}"/>
    <cellStyle name="%_NRA_model_for_NEMO2 (EMC Update) v0.22_NRA_model_for_NEMO2 (EMC Update) v0.29.2_NRA_model_for_NEMO2 (EMC Update) v0.29.3" xfId="1647" xr:uid="{00000000-0005-0000-0000-00006F060000}"/>
    <cellStyle name="%_NRA_model_for_NEMO2 (EMC Update) v0.22_NRA_model_for_NEMO2 (EMC Update) v0.29.2_NRA_model_for_NEMO2 (EMC Update) v0.29.3_NRA_model_for_NEMO2 (EMC Update) v0 30 1" xfId="1648" xr:uid="{00000000-0005-0000-0000-000070060000}"/>
    <cellStyle name="%_NRA_model_for_NEMO2 (EMC Update) v0.22_NRA_model_for_NEMO2 (EMC Update) v0.29.2_NRA_model_for_NEMO2 (EMC Update) v0.29.3_NRA_model_for_NEMO2 (EMC Update) v0.29.5" xfId="1649" xr:uid="{00000000-0005-0000-0000-000071060000}"/>
    <cellStyle name="%_NRA_model_for_NEMO2 (EMC Update) v0.22_NRA_model_for_NEMO2 (EMC Update) v0.29.2_NRA_model_for_NEMO2 (EMC Update) v0.29.3_NRA_model_for_NEMO2 (EMC Update) v0.29.5_NRA_model_for_NEMO2 (EMC Update) v0 30 1" xfId="1650" xr:uid="{00000000-0005-0000-0000-000072060000}"/>
    <cellStyle name="%_NRA_model_for_NEMO2 (EMC Update) v0.22_NRA_model_for_NEMO2 (EMC Update) v0.29.2_NRA_model_for_NEMO2 (EMC Update) v0.29.4" xfId="1651" xr:uid="{00000000-0005-0000-0000-000073060000}"/>
    <cellStyle name="%_NRA_model_for_NEMO2 (EMC Update) v0.22_NRA_model_for_NEMO2 (EMC Update) v0.29.2_NRA_model_for_NEMO2 (EMC Update) v0.29.4_NRA_model_for_NEMO2 (EMC Update) v0 30 1" xfId="1652" xr:uid="{00000000-0005-0000-0000-000074060000}"/>
    <cellStyle name="%_NRA_model_for_NEMO2 (EMC Update) v0.22_NRA_model_for_NEMO2 (EMC Update) v0.29.2_NRA_model_for_NEMO2 (EMC Update) v0.29.4_NRA_model_for_NEMO2 (EMC Update) v0.29.5" xfId="1653" xr:uid="{00000000-0005-0000-0000-000075060000}"/>
    <cellStyle name="%_NRA_model_for_NEMO2 (EMC Update) v0.22_NRA_model_for_NEMO2 (EMC Update) v0.29.2_NRA_model_for_NEMO2 (EMC Update) v0.29.4_NRA_model_for_NEMO2 (EMC Update) v0.29.5_NRA_model_for_NEMO2 (EMC Update) v0 30 1" xfId="1654" xr:uid="{00000000-0005-0000-0000-000076060000}"/>
    <cellStyle name="%_NRA_model_for_NEMO2 (EMC Update) v0.22_NRA_model_for_NEMO2 (EMC Update) v0.29.2_NRA_model_for_NEMO2 (EMC Update) v0.29.5" xfId="1655" xr:uid="{00000000-0005-0000-0000-000077060000}"/>
    <cellStyle name="%_NRA_model_for_NEMO2 (EMC Update) v0.22_NRA_model_for_NEMO2 (EMC Update) v0.29.2_NRA_model_for_NEMO2 (EMC Update) v0.29.5_NRA_model_for_NEMO2 (EMC Update) v0 30 1" xfId="1656" xr:uid="{00000000-0005-0000-0000-000078060000}"/>
    <cellStyle name="%_NRA_model_for_NEMO2 (EMC Update) v0.22_NRA_model_for_NEMO2 (EMC Update) v0.29.3" xfId="1657" xr:uid="{00000000-0005-0000-0000-000079060000}"/>
    <cellStyle name="%_NRA_model_for_NEMO2 (EMC Update) v0.22_NRA_model_for_NEMO2 (EMC Update) v0.29.3_NRA_model_for_NEMO2 (EMC Update) v0 30 1" xfId="1658" xr:uid="{00000000-0005-0000-0000-00007A060000}"/>
    <cellStyle name="%_NRA_model_for_NEMO2 (EMC Update) v0.22_NRA_model_for_NEMO2 (EMC Update) v0.29.3_NRA_model_for_NEMO2 (EMC Update) v0.29.5" xfId="1659" xr:uid="{00000000-0005-0000-0000-00007B060000}"/>
    <cellStyle name="%_NRA_model_for_NEMO2 (EMC Update) v0.22_NRA_model_for_NEMO2 (EMC Update) v0.29.3_NRA_model_for_NEMO2 (EMC Update) v0.29.5_NRA_model_for_NEMO2 (EMC Update) v0 30 1" xfId="1660" xr:uid="{00000000-0005-0000-0000-00007C060000}"/>
    <cellStyle name="%_NRA_model_for_NEMO2 (EMC Update) v0.22_NRA_model_for_NEMO2 (EMC Update) v0.29.4" xfId="1661" xr:uid="{00000000-0005-0000-0000-00007D060000}"/>
    <cellStyle name="%_NRA_model_for_NEMO2 (EMC Update) v0.22_NRA_model_for_NEMO2 (EMC Update) v0.29.4_NRA_model_for_NEMO2 (EMC Update) v0 30 1" xfId="1662" xr:uid="{00000000-0005-0000-0000-00007E060000}"/>
    <cellStyle name="%_NRA_model_for_NEMO2 (EMC Update) v0.22_NRA_model_for_NEMO2 (EMC Update) v0.29.4_NRA_model_for_NEMO2 (EMC Update) v0.29.5" xfId="1663" xr:uid="{00000000-0005-0000-0000-00007F060000}"/>
    <cellStyle name="%_NRA_model_for_NEMO2 (EMC Update) v0.22_NRA_model_for_NEMO2 (EMC Update) v0.29.4_NRA_model_for_NEMO2 (EMC Update) v0.29.5_NRA_model_for_NEMO2 (EMC Update) v0 30 1" xfId="1664" xr:uid="{00000000-0005-0000-0000-000080060000}"/>
    <cellStyle name="%_NRA_model_for_NEMO2 (EMC Update) v0.22_NRA_model_for_NEMO2 (EMC Update) v0.29.5" xfId="1665" xr:uid="{00000000-0005-0000-0000-000081060000}"/>
    <cellStyle name="%_NRA_model_for_NEMO2 (EMC Update) v0.22_NRA_model_for_NEMO2 (EMC Update) v0.29.5_NRA_model_for_NEMO2 (EMC Update) v0 30 1" xfId="1666" xr:uid="{00000000-0005-0000-0000-000082060000}"/>
    <cellStyle name="%_NRA_model_for_NEMO2 (EMC Update) v0.25" xfId="1690" xr:uid="{00000000-0005-0000-0000-00009A060000}"/>
    <cellStyle name="%_NRA_model_for_NEMO2 (EMC Update) v0.25_NRA_model_for_NEMO2 (EMC Update) v0 30 1" xfId="1691" xr:uid="{00000000-0005-0000-0000-00009B060000}"/>
    <cellStyle name="%_NRA_model_for_NEMO2 (EMC Update) v0.25_NRA_model_for_NEMO2 (EMC Update) v0.26" xfId="1692" xr:uid="{00000000-0005-0000-0000-00009C060000}"/>
    <cellStyle name="%_NRA_model_for_NEMO2 (EMC Update) v0.25_NRA_model_for_NEMO2 (EMC Update) v0.26_NRA_model_for_NEMO2 (EMC Update) v0 30 1" xfId="1693" xr:uid="{00000000-0005-0000-0000-00009D060000}"/>
    <cellStyle name="%_NRA_model_for_NEMO2 (EMC Update) v0.25_NRA_model_for_NEMO2 (EMC Update) v0.26_NRA_model_for_NEMO2 (EMC Update) v0.29" xfId="1694" xr:uid="{00000000-0005-0000-0000-00009E060000}"/>
    <cellStyle name="%_NRA_model_for_NEMO2 (EMC Update) v0.25_NRA_model_for_NEMO2 (EMC Update) v0.26_NRA_model_for_NEMO2 (EMC Update) v0.29_NRA_model_for_NEMO2 (EMC Update) v0 30 1" xfId="1717" xr:uid="{00000000-0005-0000-0000-0000B5060000}"/>
    <cellStyle name="%_NRA_model_for_NEMO2 (EMC Update) v0.25_NRA_model_for_NEMO2 (EMC Update) v0.26_NRA_model_for_NEMO2 (EMC Update) v0.29_NRA_model_for_NEMO2 (EMC Update) v0.29.2" xfId="1718" xr:uid="{00000000-0005-0000-0000-0000B6060000}"/>
    <cellStyle name="%_NRA_model_for_NEMO2 (EMC Update) v0.25_NRA_model_for_NEMO2 (EMC Update) v0.26_NRA_model_for_NEMO2 (EMC Update) v0.29_NRA_model_for_NEMO2 (EMC Update) v0.29.2_NRA_model_for_NEMO2 (EMC Update) v0 30 1" xfId="1719" xr:uid="{00000000-0005-0000-0000-0000B7060000}"/>
    <cellStyle name="%_NRA_model_for_NEMO2 (EMC Update) v0.25_NRA_model_for_NEMO2 (EMC Update) v0.26_NRA_model_for_NEMO2 (EMC Update) v0.29_NRA_model_for_NEMO2 (EMC Update) v0.29.2_NRA_model_for_NEMO2 (EMC Update) v0.29.3" xfId="1720" xr:uid="{00000000-0005-0000-0000-0000B8060000}"/>
    <cellStyle name="%_NRA_model_for_NEMO2 (EMC Update) v0.25_NRA_model_for_NEMO2 (EMC Update) v0.26_NRA_model_for_NEMO2 (EMC Update) v0.29_NRA_model_for_NEMO2 (EMC Update) v0.29.2_NRA_model_for_NEMO2 (EMC Update) v0.29.3_NRA_model_for_NEMO2 (EMC Update) v0 30 1" xfId="1721" xr:uid="{00000000-0005-0000-0000-0000B9060000}"/>
    <cellStyle name="%_NRA_model_for_NEMO2 (EMC Update) v0.25_NRA_model_for_NEMO2 (EMC Update) v0.26_NRA_model_for_NEMO2 (EMC Update) v0.29_NRA_model_for_NEMO2 (EMC Update) v0.29.2_NRA_model_for_NEMO2 (EMC Update) v0.29.3_NRA_model_for_NEMO2 (EMC Update) v0.29.5" xfId="1722" xr:uid="{00000000-0005-0000-0000-0000BA060000}"/>
    <cellStyle name="%_NRA_model_for_NEMO2 (EMC Update) v0.25_NRA_model_for_NEMO2 (EMC Update) v0.26_NRA_model_for_NEMO2 (EMC Update) v0.29_NRA_model_for_NEMO2 (EMC Update) v0.29.2_NRA_model_for_NEMO2 (EMC Update) v0.29.4" xfId="1723" xr:uid="{00000000-0005-0000-0000-0000BB060000}"/>
    <cellStyle name="%_NRA_model_for_NEMO2 (EMC Update) v0.25_NRA_model_for_NEMO2 (EMC Update) v0.26_NRA_model_for_NEMO2 (EMC Update) v0.29_NRA_model_for_NEMO2 (EMC Update) v0.29.2_NRA_model_for_NEMO2 (EMC Update) v0.29.4_NRA_model_for_NEMO2 (EMC Update) v0 30 1" xfId="1724" xr:uid="{00000000-0005-0000-0000-0000BC060000}"/>
    <cellStyle name="%_NRA_model_for_NEMO2 (EMC Update) v0.25_NRA_model_for_NEMO2 (EMC Update) v0.26_NRA_model_for_NEMO2 (EMC Update) v0.29_NRA_model_for_NEMO2 (EMC Update) v0.29.2_NRA_model_for_NEMO2 (EMC Update) v0.29.4_NRA_model_for_NEMO2 (EMC Update) v0.29.5" xfId="1725" xr:uid="{00000000-0005-0000-0000-0000BD060000}"/>
    <cellStyle name="%_NRA_model_for_NEMO2 (EMC Update) v0.25_NRA_model_for_NEMO2 (EMC Update) v0.26_NRA_model_for_NEMO2 (EMC Update) v0.29_NRA_model_for_NEMO2 (EMC Update) v0.29.2_NRA_model_for_NEMO2 (EMC Update) v0.29.5" xfId="1726" xr:uid="{00000000-0005-0000-0000-0000BE060000}"/>
    <cellStyle name="%_NRA_model_for_NEMO2 (EMC Update) v0.25_NRA_model_for_NEMO2 (EMC Update) v0.26_NRA_model_for_NEMO2 (EMC Update) v0.29_NRA_model_for_NEMO2 (EMC Update) v0.29.2_NRA_model_for_NEMO2 (EMC Update) v0.29.5_NRA_model_for_NEMO2 (EMC Update) v0 30 1" xfId="1727" xr:uid="{00000000-0005-0000-0000-0000BF060000}"/>
    <cellStyle name="%_NRA_model_for_NEMO2 (EMC Update) v0.25_NRA_model_for_NEMO2 (EMC Update) v0.26_NRA_model_for_NEMO2 (EMC Update) v0.29_NRA_model_for_NEMO2 (EMC Update) v0.29.3" xfId="1728" xr:uid="{00000000-0005-0000-0000-0000C0060000}"/>
    <cellStyle name="%_NRA_model_for_NEMO2 (EMC Update) v0.25_NRA_model_for_NEMO2 (EMC Update) v0.26_NRA_model_for_NEMO2 (EMC Update) v0.29_NRA_model_for_NEMO2 (EMC Update) v0.29.3_NRA_model_for_NEMO2 (EMC Update) v0 30 1" xfId="1729" xr:uid="{00000000-0005-0000-0000-0000C1060000}"/>
    <cellStyle name="%_NRA_model_for_NEMO2 (EMC Update) v0.25_NRA_model_for_NEMO2 (EMC Update) v0.26_NRA_model_for_NEMO2 (EMC Update) v0.29_NRA_model_for_NEMO2 (EMC Update) v0.29.3_NRA_model_for_NEMO2 (EMC Update) v0.29.5" xfId="1730" xr:uid="{00000000-0005-0000-0000-0000C2060000}"/>
    <cellStyle name="%_NRA_model_for_NEMO2 (EMC Update) v0.25_NRA_model_for_NEMO2 (EMC Update) v0.26_NRA_model_for_NEMO2 (EMC Update) v0.29_NRA_model_for_NEMO2 (EMC Update) v0.29.3_NRA_model_for_NEMO2 (EMC Update) v0.29.5_NRA_model_for_NEMO2 (EMC Update) v0 30 1" xfId="1731" xr:uid="{00000000-0005-0000-0000-0000C3060000}"/>
    <cellStyle name="%_NRA_model_for_NEMO2 (EMC Update) v0.25_NRA_model_for_NEMO2 (EMC Update) v0.26_NRA_model_for_NEMO2 (EMC Update) v0.29_NRA_model_for_NEMO2 (EMC Update) v0.29.4" xfId="1732" xr:uid="{00000000-0005-0000-0000-0000C4060000}"/>
    <cellStyle name="%_NRA_model_for_NEMO2 (EMC Update) v0.25_NRA_model_for_NEMO2 (EMC Update) v0.26_NRA_model_for_NEMO2 (EMC Update) v0.29_NRA_model_for_NEMO2 (EMC Update) v0.29.4_NRA_model_for_NEMO2 (EMC Update) v0 30 1" xfId="1733" xr:uid="{00000000-0005-0000-0000-0000C5060000}"/>
    <cellStyle name="%_NRA_model_for_NEMO2 (EMC Update) v0.25_NRA_model_for_NEMO2 (EMC Update) v0.26_NRA_model_for_NEMO2 (EMC Update) v0.29_NRA_model_for_NEMO2 (EMC Update) v0.29.4_NRA_model_for_NEMO2 (EMC Update) v0.29.5" xfId="1734" xr:uid="{00000000-0005-0000-0000-0000C6060000}"/>
    <cellStyle name="%_NRA_model_for_NEMO2 (EMC Update) v0.25_NRA_model_for_NEMO2 (EMC Update) v0.26_NRA_model_for_NEMO2 (EMC Update) v0.29_NRA_model_for_NEMO2 (EMC Update) v0.29.4_NRA_model_for_NEMO2 (EMC Update) v0.29.5_NRA_model_for_NEMO2 (EMC Update) v0 30 1" xfId="1735" xr:uid="{00000000-0005-0000-0000-0000C7060000}"/>
    <cellStyle name="%_NRA_model_for_NEMO2 (EMC Update) v0.25_NRA_model_for_NEMO2 (EMC Update) v0.26_NRA_model_for_NEMO2 (EMC Update) v0.29_NRA_model_for_NEMO2 (EMC Update) v0.29.5" xfId="1736" xr:uid="{00000000-0005-0000-0000-0000C8060000}"/>
    <cellStyle name="%_NRA_model_for_NEMO2 (EMC Update) v0.25_NRA_model_for_NEMO2 (EMC Update) v0.26_NRA_model_for_NEMO2 (EMC Update) v0.29_NRA_model_for_NEMO2 (EMC Update) v0.29.5_NRA_model_for_NEMO2 (EMC Update) v0 30 1" xfId="1737" xr:uid="{00000000-0005-0000-0000-0000C9060000}"/>
    <cellStyle name="%_NRA_model_for_NEMO2 (EMC Update) v0.25_NRA_model_for_NEMO2 (EMC Update) v0.26_NRA_model_for_NEMO2 (EMC Update) v0.29.2" xfId="1695" xr:uid="{00000000-0005-0000-0000-00009F060000}"/>
    <cellStyle name="%_NRA_model_for_NEMO2 (EMC Update) v0.25_NRA_model_for_NEMO2 (EMC Update) v0.26_NRA_model_for_NEMO2 (EMC Update) v0.29.2_NRA_model_for_NEMO2 (EMC Update) v0 30 1" xfId="1696" xr:uid="{00000000-0005-0000-0000-0000A0060000}"/>
    <cellStyle name="%_NRA_model_for_NEMO2 (EMC Update) v0.25_NRA_model_for_NEMO2 (EMC Update) v0.26_NRA_model_for_NEMO2 (EMC Update) v0.29.2_NRA_model_for_NEMO2 (EMC Update) v0.29.3" xfId="1697" xr:uid="{00000000-0005-0000-0000-0000A1060000}"/>
    <cellStyle name="%_NRA_model_for_NEMO2 (EMC Update) v0.25_NRA_model_for_NEMO2 (EMC Update) v0.26_NRA_model_for_NEMO2 (EMC Update) v0.29.2_NRA_model_for_NEMO2 (EMC Update) v0.29.3_NRA_model_for_NEMO2 (EMC Update) v0 30 1" xfId="1698" xr:uid="{00000000-0005-0000-0000-0000A2060000}"/>
    <cellStyle name="%_NRA_model_for_NEMO2 (EMC Update) v0.25_NRA_model_for_NEMO2 (EMC Update) v0.26_NRA_model_for_NEMO2 (EMC Update) v0.29.2_NRA_model_for_NEMO2 (EMC Update) v0.29.3_NRA_model_for_NEMO2 (EMC Update) v0.29.5" xfId="1699" xr:uid="{00000000-0005-0000-0000-0000A3060000}"/>
    <cellStyle name="%_NRA_model_for_NEMO2 (EMC Update) v0.25_NRA_model_for_NEMO2 (EMC Update) v0.26_NRA_model_for_NEMO2 (EMC Update) v0.29.2_NRA_model_for_NEMO2 (EMC Update) v0.29.3_NRA_model_for_NEMO2 (EMC Update) v0.29.5_NRA_model_for_NEMO2 (EMC Update) v0 30 1" xfId="1700" xr:uid="{00000000-0005-0000-0000-0000A4060000}"/>
    <cellStyle name="%_NRA_model_for_NEMO2 (EMC Update) v0.25_NRA_model_for_NEMO2 (EMC Update) v0.26_NRA_model_for_NEMO2 (EMC Update) v0.29.2_NRA_model_for_NEMO2 (EMC Update) v0.29.4" xfId="1701" xr:uid="{00000000-0005-0000-0000-0000A5060000}"/>
    <cellStyle name="%_NRA_model_for_NEMO2 (EMC Update) v0.25_NRA_model_for_NEMO2 (EMC Update) v0.26_NRA_model_for_NEMO2 (EMC Update) v0.29.2_NRA_model_for_NEMO2 (EMC Update) v0.29.4_NRA_model_for_NEMO2 (EMC Update) v0 30 1" xfId="1702" xr:uid="{00000000-0005-0000-0000-0000A6060000}"/>
    <cellStyle name="%_NRA_model_for_NEMO2 (EMC Update) v0.25_NRA_model_for_NEMO2 (EMC Update) v0.26_NRA_model_for_NEMO2 (EMC Update) v0.29.2_NRA_model_for_NEMO2 (EMC Update) v0.29.4_NRA_model_for_NEMO2 (EMC Update) v0.29.5" xfId="1703" xr:uid="{00000000-0005-0000-0000-0000A7060000}"/>
    <cellStyle name="%_NRA_model_for_NEMO2 (EMC Update) v0.25_NRA_model_for_NEMO2 (EMC Update) v0.26_NRA_model_for_NEMO2 (EMC Update) v0.29.2_NRA_model_for_NEMO2 (EMC Update) v0.29.4_NRA_model_for_NEMO2 (EMC Update) v0.29.5_NRA_model_for_NEMO2 (EMC Update) v0 30 1" xfId="1704" xr:uid="{00000000-0005-0000-0000-0000A8060000}"/>
    <cellStyle name="%_NRA_model_for_NEMO2 (EMC Update) v0.25_NRA_model_for_NEMO2 (EMC Update) v0.26_NRA_model_for_NEMO2 (EMC Update) v0.29.2_NRA_model_for_NEMO2 (EMC Update) v0.29.5" xfId="1705" xr:uid="{00000000-0005-0000-0000-0000A9060000}"/>
    <cellStyle name="%_NRA_model_for_NEMO2 (EMC Update) v0.25_NRA_model_for_NEMO2 (EMC Update) v0.26_NRA_model_for_NEMO2 (EMC Update) v0.29.2_NRA_model_for_NEMO2 (EMC Update) v0.29.5_NRA_model_for_NEMO2 (EMC Update) v0 30 1" xfId="1706" xr:uid="{00000000-0005-0000-0000-0000AA060000}"/>
    <cellStyle name="%_NRA_model_for_NEMO2 (EMC Update) v0.25_NRA_model_for_NEMO2 (EMC Update) v0.26_NRA_model_for_NEMO2 (EMC Update) v0.29.3" xfId="1707" xr:uid="{00000000-0005-0000-0000-0000AB060000}"/>
    <cellStyle name="%_NRA_model_for_NEMO2 (EMC Update) v0.25_NRA_model_for_NEMO2 (EMC Update) v0.26_NRA_model_for_NEMO2 (EMC Update) v0.29.3_NRA_model_for_NEMO2 (EMC Update) v0 30 1" xfId="1708" xr:uid="{00000000-0005-0000-0000-0000AC060000}"/>
    <cellStyle name="%_NRA_model_for_NEMO2 (EMC Update) v0.25_NRA_model_for_NEMO2 (EMC Update) v0.26_NRA_model_for_NEMO2 (EMC Update) v0.29.3_NRA_model_for_NEMO2 (EMC Update) v0.29.5" xfId="1709" xr:uid="{00000000-0005-0000-0000-0000AD060000}"/>
    <cellStyle name="%_NRA_model_for_NEMO2 (EMC Update) v0.25_NRA_model_for_NEMO2 (EMC Update) v0.26_NRA_model_for_NEMO2 (EMC Update) v0.29.3_NRA_model_for_NEMO2 (EMC Update) v0.29.5_NRA_model_for_NEMO2 (EMC Update) v0 30 1" xfId="1710" xr:uid="{00000000-0005-0000-0000-0000AE060000}"/>
    <cellStyle name="%_NRA_model_for_NEMO2 (EMC Update) v0.25_NRA_model_for_NEMO2 (EMC Update) v0.26_NRA_model_for_NEMO2 (EMC Update) v0.29.4" xfId="1711" xr:uid="{00000000-0005-0000-0000-0000AF060000}"/>
    <cellStyle name="%_NRA_model_for_NEMO2 (EMC Update) v0.25_NRA_model_for_NEMO2 (EMC Update) v0.26_NRA_model_for_NEMO2 (EMC Update) v0.29.4_NRA_model_for_NEMO2 (EMC Update) v0 30 1" xfId="1712" xr:uid="{00000000-0005-0000-0000-0000B0060000}"/>
    <cellStyle name="%_NRA_model_for_NEMO2 (EMC Update) v0.25_NRA_model_for_NEMO2 (EMC Update) v0.26_NRA_model_for_NEMO2 (EMC Update) v0.29.4_NRA_model_for_NEMO2 (EMC Update) v0.29.5" xfId="1713" xr:uid="{00000000-0005-0000-0000-0000B1060000}"/>
    <cellStyle name="%_NRA_model_for_NEMO2 (EMC Update) v0.25_NRA_model_for_NEMO2 (EMC Update) v0.26_NRA_model_for_NEMO2 (EMC Update) v0.29.4_NRA_model_for_NEMO2 (EMC Update) v0.29.5_NRA_model_for_NEMO2 (EMC Update) v0 30 1" xfId="1714" xr:uid="{00000000-0005-0000-0000-0000B2060000}"/>
    <cellStyle name="%_NRA_model_for_NEMO2 (EMC Update) v0.25_NRA_model_for_NEMO2 (EMC Update) v0.26_NRA_model_for_NEMO2 (EMC Update) v0.29.5" xfId="1715" xr:uid="{00000000-0005-0000-0000-0000B3060000}"/>
    <cellStyle name="%_NRA_model_for_NEMO2 (EMC Update) v0.25_NRA_model_for_NEMO2 (EMC Update) v0.26_NRA_model_for_NEMO2 (EMC Update) v0.29.5_NRA_model_for_NEMO2 (EMC Update) v0 30 1" xfId="1716" xr:uid="{00000000-0005-0000-0000-0000B4060000}"/>
    <cellStyle name="%_NRA_model_for_NEMO2 (EMC Update) v0.25_NRA_model_for_NEMO2 (EMC Update) v0.29" xfId="1738" xr:uid="{00000000-0005-0000-0000-0000CA060000}"/>
    <cellStyle name="%_NRA_model_for_NEMO2 (EMC Update) v0.25_NRA_model_for_NEMO2 (EMC Update) v0.29_NRA_model_for_NEMO2 (EMC Update) v0 30 1" xfId="1761" xr:uid="{00000000-0005-0000-0000-0000E1060000}"/>
    <cellStyle name="%_NRA_model_for_NEMO2 (EMC Update) v0.25_NRA_model_for_NEMO2 (EMC Update) v0.29_NRA_model_for_NEMO2 (EMC Update) v0.29.2" xfId="1762" xr:uid="{00000000-0005-0000-0000-0000E2060000}"/>
    <cellStyle name="%_NRA_model_for_NEMO2 (EMC Update) v0.25_NRA_model_for_NEMO2 (EMC Update) v0.29_NRA_model_for_NEMO2 (EMC Update) v0.29.2_NRA_model_for_NEMO2 (EMC Update) v0 30 1" xfId="1763" xr:uid="{00000000-0005-0000-0000-0000E3060000}"/>
    <cellStyle name="%_NRA_model_for_NEMO2 (EMC Update) v0.25_NRA_model_for_NEMO2 (EMC Update) v0.29_NRA_model_for_NEMO2 (EMC Update) v0.29.2_NRA_model_for_NEMO2 (EMC Update) v0.29.3" xfId="1764" xr:uid="{00000000-0005-0000-0000-0000E4060000}"/>
    <cellStyle name="%_NRA_model_for_NEMO2 (EMC Update) v0.25_NRA_model_for_NEMO2 (EMC Update) v0.29_NRA_model_for_NEMO2 (EMC Update) v0.29.2_NRA_model_for_NEMO2 (EMC Update) v0.29.3_NRA_model_for_NEMO2 (EMC Update) v0 30 1" xfId="1765" xr:uid="{00000000-0005-0000-0000-0000E5060000}"/>
    <cellStyle name="%_NRA_model_for_NEMO2 (EMC Update) v0.25_NRA_model_for_NEMO2 (EMC Update) v0.29_NRA_model_for_NEMO2 (EMC Update) v0.29.2_NRA_model_for_NEMO2 (EMC Update) v0.29.3_NRA_model_for_NEMO2 (EMC Update) v0.29.5" xfId="1766" xr:uid="{00000000-0005-0000-0000-0000E6060000}"/>
    <cellStyle name="%_NRA_model_for_NEMO2 (EMC Update) v0.25_NRA_model_for_NEMO2 (EMC Update) v0.29_NRA_model_for_NEMO2 (EMC Update) v0.29.2_NRA_model_for_NEMO2 (EMC Update) v0.29.3_NRA_model_for_NEMO2 (EMC Update) v0.29.5_NRA_model_for_NEMO2 (EMC Update) v0 30 1" xfId="1767" xr:uid="{00000000-0005-0000-0000-0000E7060000}"/>
    <cellStyle name="%_NRA_model_for_NEMO2 (EMC Update) v0.25_NRA_model_for_NEMO2 (EMC Update) v0.29_NRA_model_for_NEMO2 (EMC Update) v0.29.2_NRA_model_for_NEMO2 (EMC Update) v0.29.4" xfId="1768" xr:uid="{00000000-0005-0000-0000-0000E8060000}"/>
    <cellStyle name="%_NRA_model_for_NEMO2 (EMC Update) v0.25_NRA_model_for_NEMO2 (EMC Update) v0.29_NRA_model_for_NEMO2 (EMC Update) v0.29.2_NRA_model_for_NEMO2 (EMC Update) v0.29.4_NRA_model_for_NEMO2 (EMC Update) v0 30 1" xfId="1769" xr:uid="{00000000-0005-0000-0000-0000E9060000}"/>
    <cellStyle name="%_NRA_model_for_NEMO2 (EMC Update) v0.25_NRA_model_for_NEMO2 (EMC Update) v0.29_NRA_model_for_NEMO2 (EMC Update) v0.29.2_NRA_model_for_NEMO2 (EMC Update) v0.29.4_NRA_model_for_NEMO2 (EMC Update) v0.29.5" xfId="1770" xr:uid="{00000000-0005-0000-0000-0000EA060000}"/>
    <cellStyle name="%_NRA_model_for_NEMO2 (EMC Update) v0.25_NRA_model_for_NEMO2 (EMC Update) v0.29_NRA_model_for_NEMO2 (EMC Update) v0.29.2_NRA_model_for_NEMO2 (EMC Update) v0.29.4_NRA_model_for_NEMO2 (EMC Update) v0.29.5_NRA_model_for_NEMO2 (EMC Update) v0 30 1" xfId="1771" xr:uid="{00000000-0005-0000-0000-0000EB060000}"/>
    <cellStyle name="%_NRA_model_for_NEMO2 (EMC Update) v0.25_NRA_model_for_NEMO2 (EMC Update) v0.29_NRA_model_for_NEMO2 (EMC Update) v0.29.2_NRA_model_for_NEMO2 (EMC Update) v0.29.5" xfId="1772" xr:uid="{00000000-0005-0000-0000-0000EC060000}"/>
    <cellStyle name="%_NRA_model_for_NEMO2 (EMC Update) v0.25_NRA_model_for_NEMO2 (EMC Update) v0.29_NRA_model_for_NEMO2 (EMC Update) v0.29.2_NRA_model_for_NEMO2 (EMC Update) v0.29.5_NRA_model_for_NEMO2 (EMC Update) v0 30 1" xfId="1773" xr:uid="{00000000-0005-0000-0000-0000ED060000}"/>
    <cellStyle name="%_NRA_model_for_NEMO2 (EMC Update) v0.25_NRA_model_for_NEMO2 (EMC Update) v0.29_NRA_model_for_NEMO2 (EMC Update) v0.29.3" xfId="1774" xr:uid="{00000000-0005-0000-0000-0000EE060000}"/>
    <cellStyle name="%_NRA_model_for_NEMO2 (EMC Update) v0.25_NRA_model_for_NEMO2 (EMC Update) v0.29_NRA_model_for_NEMO2 (EMC Update) v0.29.3_NRA_model_for_NEMO2 (EMC Update) v0 30 1" xfId="1775" xr:uid="{00000000-0005-0000-0000-0000EF060000}"/>
    <cellStyle name="%_NRA_model_for_NEMO2 (EMC Update) v0.25_NRA_model_for_NEMO2 (EMC Update) v0.29_NRA_model_for_NEMO2 (EMC Update) v0.29.3_NRA_model_for_NEMO2 (EMC Update) v0.29.5" xfId="1776" xr:uid="{00000000-0005-0000-0000-0000F0060000}"/>
    <cellStyle name="%_NRA_model_for_NEMO2 (EMC Update) v0.25_NRA_model_for_NEMO2 (EMC Update) v0.29_NRA_model_for_NEMO2 (EMC Update) v0.29.3_NRA_model_for_NEMO2 (EMC Update) v0.29.5_NRA_model_for_NEMO2 (EMC Update) v0 30 1" xfId="1777" xr:uid="{00000000-0005-0000-0000-0000F1060000}"/>
    <cellStyle name="%_NRA_model_for_NEMO2 (EMC Update) v0.25_NRA_model_for_NEMO2 (EMC Update) v0.29_NRA_model_for_NEMO2 (EMC Update) v0.29.4" xfId="1778" xr:uid="{00000000-0005-0000-0000-0000F2060000}"/>
    <cellStyle name="%_NRA_model_for_NEMO2 (EMC Update) v0.25_NRA_model_for_NEMO2 (EMC Update) v0.29_NRA_model_for_NEMO2 (EMC Update) v0.29.4_NRA_model_for_NEMO2 (EMC Update) v0 30 1" xfId="1779" xr:uid="{00000000-0005-0000-0000-0000F3060000}"/>
    <cellStyle name="%_NRA_model_for_NEMO2 (EMC Update) v0.25_NRA_model_for_NEMO2 (EMC Update) v0.29_NRA_model_for_NEMO2 (EMC Update) v0.29.4_NRA_model_for_NEMO2 (EMC Update) v0.29.5" xfId="1780" xr:uid="{00000000-0005-0000-0000-0000F4060000}"/>
    <cellStyle name="%_NRA_model_for_NEMO2 (EMC Update) v0.25_NRA_model_for_NEMO2 (EMC Update) v0.29_NRA_model_for_NEMO2 (EMC Update) v0.29.4_NRA_model_for_NEMO2 (EMC Update) v0.29.5_NRA_model_for_NEMO2 (EMC Update) v0 30 1" xfId="1781" xr:uid="{00000000-0005-0000-0000-0000F5060000}"/>
    <cellStyle name="%_NRA_model_for_NEMO2 (EMC Update) v0.25_NRA_model_for_NEMO2 (EMC Update) v0.29_NRA_model_for_NEMO2 (EMC Update) v0.29.5" xfId="1782" xr:uid="{00000000-0005-0000-0000-0000F6060000}"/>
    <cellStyle name="%_NRA_model_for_NEMO2 (EMC Update) v0.25_NRA_model_for_NEMO2 (EMC Update) v0.29_NRA_model_for_NEMO2 (EMC Update) v0.29.5_NRA_model_for_NEMO2 (EMC Update) v0 30 1" xfId="1783" xr:uid="{00000000-0005-0000-0000-0000F7060000}"/>
    <cellStyle name="%_NRA_model_for_NEMO2 (EMC Update) v0.25_NRA_model_for_NEMO2 (EMC Update) v0.29.2" xfId="1739" xr:uid="{00000000-0005-0000-0000-0000CB060000}"/>
    <cellStyle name="%_NRA_model_for_NEMO2 (EMC Update) v0.25_NRA_model_for_NEMO2 (EMC Update) v0.29.2_NRA_model_for_NEMO2 (EMC Update) v0 30 1" xfId="1740" xr:uid="{00000000-0005-0000-0000-0000CC060000}"/>
    <cellStyle name="%_NRA_model_for_NEMO2 (EMC Update) v0.25_NRA_model_for_NEMO2 (EMC Update) v0.29.2_NRA_model_for_NEMO2 (EMC Update) v0.29.3" xfId="1741" xr:uid="{00000000-0005-0000-0000-0000CD060000}"/>
    <cellStyle name="%_NRA_model_for_NEMO2 (EMC Update) v0.25_NRA_model_for_NEMO2 (EMC Update) v0.29.2_NRA_model_for_NEMO2 (EMC Update) v0.29.3_NRA_model_for_NEMO2 (EMC Update) v0 30 1" xfId="1742" xr:uid="{00000000-0005-0000-0000-0000CE060000}"/>
    <cellStyle name="%_NRA_model_for_NEMO2 (EMC Update) v0.25_NRA_model_for_NEMO2 (EMC Update) v0.29.2_NRA_model_for_NEMO2 (EMC Update) v0.29.3_NRA_model_for_NEMO2 (EMC Update) v0.29.5" xfId="1743" xr:uid="{00000000-0005-0000-0000-0000CF060000}"/>
    <cellStyle name="%_NRA_model_for_NEMO2 (EMC Update) v0.25_NRA_model_for_NEMO2 (EMC Update) v0.29.2_NRA_model_for_NEMO2 (EMC Update) v0.29.3_NRA_model_for_NEMO2 (EMC Update) v0.29.5_NRA_model_for_NEMO2 (EMC Update) v0 30 1" xfId="1744" xr:uid="{00000000-0005-0000-0000-0000D0060000}"/>
    <cellStyle name="%_NRA_model_for_NEMO2 (EMC Update) v0.25_NRA_model_for_NEMO2 (EMC Update) v0.29.2_NRA_model_for_NEMO2 (EMC Update) v0.29.4" xfId="1745" xr:uid="{00000000-0005-0000-0000-0000D1060000}"/>
    <cellStyle name="%_NRA_model_for_NEMO2 (EMC Update) v0.25_NRA_model_for_NEMO2 (EMC Update) v0.29.2_NRA_model_for_NEMO2 (EMC Update) v0.29.4_NRA_model_for_NEMO2 (EMC Update) v0 30 1" xfId="1746" xr:uid="{00000000-0005-0000-0000-0000D2060000}"/>
    <cellStyle name="%_NRA_model_for_NEMO2 (EMC Update) v0.25_NRA_model_for_NEMO2 (EMC Update) v0.29.2_NRA_model_for_NEMO2 (EMC Update) v0.29.4_NRA_model_for_NEMO2 (EMC Update) v0.29.5" xfId="1747" xr:uid="{00000000-0005-0000-0000-0000D3060000}"/>
    <cellStyle name="%_NRA_model_for_NEMO2 (EMC Update) v0.25_NRA_model_for_NEMO2 (EMC Update) v0.29.2_NRA_model_for_NEMO2 (EMC Update) v0.29.4_NRA_model_for_NEMO2 (EMC Update) v0.29.5_NRA_model_for_NEMO2 (EMC Update) v0 30 1" xfId="1748" xr:uid="{00000000-0005-0000-0000-0000D4060000}"/>
    <cellStyle name="%_NRA_model_for_NEMO2 (EMC Update) v0.25_NRA_model_for_NEMO2 (EMC Update) v0.29.2_NRA_model_for_NEMO2 (EMC Update) v0.29.5" xfId="1749" xr:uid="{00000000-0005-0000-0000-0000D5060000}"/>
    <cellStyle name="%_NRA_model_for_NEMO2 (EMC Update) v0.25_NRA_model_for_NEMO2 (EMC Update) v0.29.2_NRA_model_for_NEMO2 (EMC Update) v0.29.5_NRA_model_for_NEMO2 (EMC Update) v0 30 1" xfId="1750" xr:uid="{00000000-0005-0000-0000-0000D6060000}"/>
    <cellStyle name="%_NRA_model_for_NEMO2 (EMC Update) v0.25_NRA_model_for_NEMO2 (EMC Update) v0.29.3" xfId="1751" xr:uid="{00000000-0005-0000-0000-0000D7060000}"/>
    <cellStyle name="%_NRA_model_for_NEMO2 (EMC Update) v0.25_NRA_model_for_NEMO2 (EMC Update) v0.29.3_NRA_model_for_NEMO2 (EMC Update) v0 30 1" xfId="1752" xr:uid="{00000000-0005-0000-0000-0000D8060000}"/>
    <cellStyle name="%_NRA_model_for_NEMO2 (EMC Update) v0.25_NRA_model_for_NEMO2 (EMC Update) v0.29.3_NRA_model_for_NEMO2 (EMC Update) v0.29.5" xfId="1753" xr:uid="{00000000-0005-0000-0000-0000D9060000}"/>
    <cellStyle name="%_NRA_model_for_NEMO2 (EMC Update) v0.25_NRA_model_for_NEMO2 (EMC Update) v0.29.3_NRA_model_for_NEMO2 (EMC Update) v0.29.5_NRA_model_for_NEMO2 (EMC Update) v0 30 1" xfId="1754" xr:uid="{00000000-0005-0000-0000-0000DA060000}"/>
    <cellStyle name="%_NRA_model_for_NEMO2 (EMC Update) v0.25_NRA_model_for_NEMO2 (EMC Update) v0.29.4" xfId="1755" xr:uid="{00000000-0005-0000-0000-0000DB060000}"/>
    <cellStyle name="%_NRA_model_for_NEMO2 (EMC Update) v0.25_NRA_model_for_NEMO2 (EMC Update) v0.29.4_NRA_model_for_NEMO2 (EMC Update) v0 30 1" xfId="1756" xr:uid="{00000000-0005-0000-0000-0000DC060000}"/>
    <cellStyle name="%_NRA_model_for_NEMO2 (EMC Update) v0.25_NRA_model_for_NEMO2 (EMC Update) v0.29.4_NRA_model_for_NEMO2 (EMC Update) v0.29.5" xfId="1757" xr:uid="{00000000-0005-0000-0000-0000DD060000}"/>
    <cellStyle name="%_NRA_model_for_NEMO2 (EMC Update) v0.25_NRA_model_for_NEMO2 (EMC Update) v0.29.4_NRA_model_for_NEMO2 (EMC Update) v0.29.5_NRA_model_for_NEMO2 (EMC Update) v0 30 1" xfId="1758" xr:uid="{00000000-0005-0000-0000-0000DE060000}"/>
    <cellStyle name="%_NRA_model_for_NEMO2 (EMC Update) v0.25_NRA_model_for_NEMO2 (EMC Update) v0.29.5" xfId="1759" xr:uid="{00000000-0005-0000-0000-0000DF060000}"/>
    <cellStyle name="%_NRA_model_for_NEMO2 (EMC Update) v0.25_NRA_model_for_NEMO2 (EMC Update) v0.29.5_NRA_model_for_NEMO2 (EMC Update) v0 30 1" xfId="1760" xr:uid="{00000000-0005-0000-0000-0000E0060000}"/>
    <cellStyle name="%_NRA_model_for_NEMO2 (EMC Update) v0.26" xfId="1784" xr:uid="{00000000-0005-0000-0000-0000F8060000}"/>
    <cellStyle name="%_NRA_model_for_NEMO2 (EMC Update) v0.26_NRA_model_for_NEMO2 (EMC Update) v0 30 1" xfId="1785" xr:uid="{00000000-0005-0000-0000-0000F9060000}"/>
    <cellStyle name="%_NRA_model_for_NEMO2 (EMC Update) v0.26_NRA_model_for_NEMO2 (EMC Update) v0.29" xfId="1786" xr:uid="{00000000-0005-0000-0000-0000FA060000}"/>
    <cellStyle name="%_NRA_model_for_NEMO2 (EMC Update) v0.26_NRA_model_for_NEMO2 (EMC Update) v0.29_NRA_model_for_NEMO2 (EMC Update) v0 30 1" xfId="1809" xr:uid="{00000000-0005-0000-0000-000011070000}"/>
    <cellStyle name="%_NRA_model_for_NEMO2 (EMC Update) v0.26_NRA_model_for_NEMO2 (EMC Update) v0.29_NRA_model_for_NEMO2 (EMC Update) v0.29.2" xfId="1810" xr:uid="{00000000-0005-0000-0000-000012070000}"/>
    <cellStyle name="%_NRA_model_for_NEMO2 (EMC Update) v0.26_NRA_model_for_NEMO2 (EMC Update) v0.29_NRA_model_for_NEMO2 (EMC Update) v0.29.2_NRA_model_for_NEMO2 (EMC Update) v0 30 1" xfId="1811" xr:uid="{00000000-0005-0000-0000-000013070000}"/>
    <cellStyle name="%_NRA_model_for_NEMO2 (EMC Update) v0.26_NRA_model_for_NEMO2 (EMC Update) v0.29_NRA_model_for_NEMO2 (EMC Update) v0.29.2_NRA_model_for_NEMO2 (EMC Update) v0.29.3" xfId="1812" xr:uid="{00000000-0005-0000-0000-000014070000}"/>
    <cellStyle name="%_NRA_model_for_NEMO2 (EMC Update) v0.26_NRA_model_for_NEMO2 (EMC Update) v0.29_NRA_model_for_NEMO2 (EMC Update) v0.29.2_NRA_model_for_NEMO2 (EMC Update) v0.29.3_NRA_model_for_NEMO2 (EMC Update) v0 30 1" xfId="1813" xr:uid="{00000000-0005-0000-0000-000015070000}"/>
    <cellStyle name="%_NRA_model_for_NEMO2 (EMC Update) v0.26_NRA_model_for_NEMO2 (EMC Update) v0.29_NRA_model_for_NEMO2 (EMC Update) v0.29.2_NRA_model_for_NEMO2 (EMC Update) v0.29.3_NRA_model_for_NEMO2 (EMC Update) v0.29.5" xfId="1814" xr:uid="{00000000-0005-0000-0000-000016070000}"/>
    <cellStyle name="%_NRA_model_for_NEMO2 (EMC Update) v0.26_NRA_model_for_NEMO2 (EMC Update) v0.29_NRA_model_for_NEMO2 (EMC Update) v0.29.2_NRA_model_for_NEMO2 (EMC Update) v0.29.3_NRA_model_for_NEMO2 (EMC Update) v0.29.5_NRA_model_for_NEMO2 (EMC Update) v0 30 1" xfId="1815" xr:uid="{00000000-0005-0000-0000-000017070000}"/>
    <cellStyle name="%_NRA_model_for_NEMO2 (EMC Update) v0.26_NRA_model_for_NEMO2 (EMC Update) v0.29_NRA_model_for_NEMO2 (EMC Update) v0.29.2_NRA_model_for_NEMO2 (EMC Update) v0.29.4" xfId="1816" xr:uid="{00000000-0005-0000-0000-000018070000}"/>
    <cellStyle name="%_NRA_model_for_NEMO2 (EMC Update) v0.26_NRA_model_for_NEMO2 (EMC Update) v0.29_NRA_model_for_NEMO2 (EMC Update) v0.29.2_NRA_model_for_NEMO2 (EMC Update) v0.29.4_NRA_model_for_NEMO2 (EMC Update) v0 30 1" xfId="1817" xr:uid="{00000000-0005-0000-0000-000019070000}"/>
    <cellStyle name="%_NRA_model_for_NEMO2 (EMC Update) v0.26_NRA_model_for_NEMO2 (EMC Update) v0.29_NRA_model_for_NEMO2 (EMC Update) v0.29.2_NRA_model_for_NEMO2 (EMC Update) v0.29.4_NRA_model_for_NEMO2 (EMC Update) v0.29.5" xfId="1818" xr:uid="{00000000-0005-0000-0000-00001A070000}"/>
    <cellStyle name="%_NRA_model_for_NEMO2 (EMC Update) v0.26_NRA_model_for_NEMO2 (EMC Update) v0.29_NRA_model_for_NEMO2 (EMC Update) v0.29.2_NRA_model_for_NEMO2 (EMC Update) v0.29.4_NRA_model_for_NEMO2 (EMC Update) v0.29.5_NRA_model_for_NEMO2 (EMC Update) v0 30 1" xfId="1819" xr:uid="{00000000-0005-0000-0000-00001B070000}"/>
    <cellStyle name="%_NRA_model_for_NEMO2 (EMC Update) v0.26_NRA_model_for_NEMO2 (EMC Update) v0.29_NRA_model_for_NEMO2 (EMC Update) v0.29.2_NRA_model_for_NEMO2 (EMC Update) v0.29.5" xfId="1820" xr:uid="{00000000-0005-0000-0000-00001C070000}"/>
    <cellStyle name="%_NRA_model_for_NEMO2 (EMC Update) v0.26_NRA_model_for_NEMO2 (EMC Update) v0.29_NRA_model_for_NEMO2 (EMC Update) v0.29.2_NRA_model_for_NEMO2 (EMC Update) v0.29.5_NRA_model_for_NEMO2 (EMC Update) v0 30 1" xfId="1821" xr:uid="{00000000-0005-0000-0000-00001D070000}"/>
    <cellStyle name="%_NRA_model_for_NEMO2 (EMC Update) v0.26_NRA_model_for_NEMO2 (EMC Update) v0.29_NRA_model_for_NEMO2 (EMC Update) v0.29.3" xfId="1822" xr:uid="{00000000-0005-0000-0000-00001E070000}"/>
    <cellStyle name="%_NRA_model_for_NEMO2 (EMC Update) v0.26_NRA_model_for_NEMO2 (EMC Update) v0.29_NRA_model_for_NEMO2 (EMC Update) v0.29.3_NRA_model_for_NEMO2 (EMC Update) v0 30 1" xfId="1823" xr:uid="{00000000-0005-0000-0000-00001F070000}"/>
    <cellStyle name="%_NRA_model_for_NEMO2 (EMC Update) v0.26_NRA_model_for_NEMO2 (EMC Update) v0.29_NRA_model_for_NEMO2 (EMC Update) v0.29.3_NRA_model_for_NEMO2 (EMC Update) v0.29.5" xfId="1824" xr:uid="{00000000-0005-0000-0000-000020070000}"/>
    <cellStyle name="%_NRA_model_for_NEMO2 (EMC Update) v0.26_NRA_model_for_NEMO2 (EMC Update) v0.29_NRA_model_for_NEMO2 (EMC Update) v0.29.3_NRA_model_for_NEMO2 (EMC Update) v0.29.5_NRA_model_for_NEMO2 (EMC Update) v0 30 1" xfId="1825" xr:uid="{00000000-0005-0000-0000-000021070000}"/>
    <cellStyle name="%_NRA_model_for_NEMO2 (EMC Update) v0.26_NRA_model_for_NEMO2 (EMC Update) v0.29_NRA_model_for_NEMO2 (EMC Update) v0.29.4" xfId="1826" xr:uid="{00000000-0005-0000-0000-000022070000}"/>
    <cellStyle name="%_NRA_model_for_NEMO2 (EMC Update) v0.26_NRA_model_for_NEMO2 (EMC Update) v0.29_NRA_model_for_NEMO2 (EMC Update) v0.29.4_NRA_model_for_NEMO2 (EMC Update) v0 30 1" xfId="1827" xr:uid="{00000000-0005-0000-0000-000023070000}"/>
    <cellStyle name="%_NRA_model_for_NEMO2 (EMC Update) v0.26_NRA_model_for_NEMO2 (EMC Update) v0.29_NRA_model_for_NEMO2 (EMC Update) v0.29.4_NRA_model_for_NEMO2 (EMC Update) v0.29.5" xfId="1828" xr:uid="{00000000-0005-0000-0000-000024070000}"/>
    <cellStyle name="%_NRA_model_for_NEMO2 (EMC Update) v0.26_NRA_model_for_NEMO2 (EMC Update) v0.29_NRA_model_for_NEMO2 (EMC Update) v0.29.4_NRA_model_for_NEMO2 (EMC Update) v0.29.5_NRA_model_for_NEMO2 (EMC Update) v0 30 1" xfId="1829" xr:uid="{00000000-0005-0000-0000-000025070000}"/>
    <cellStyle name="%_NRA_model_for_NEMO2 (EMC Update) v0.26_NRA_model_for_NEMO2 (EMC Update) v0.29_NRA_model_for_NEMO2 (EMC Update) v0.29.5" xfId="1830" xr:uid="{00000000-0005-0000-0000-000026070000}"/>
    <cellStyle name="%_NRA_model_for_NEMO2 (EMC Update) v0.26_NRA_model_for_NEMO2 (EMC Update) v0.29_NRA_model_for_NEMO2 (EMC Update) v0.29.5_NRA_model_for_NEMO2 (EMC Update) v0 30 1" xfId="1831" xr:uid="{00000000-0005-0000-0000-000027070000}"/>
    <cellStyle name="%_NRA_model_for_NEMO2 (EMC Update) v0.26_NRA_model_for_NEMO2 (EMC Update) v0.29.2" xfId="1787" xr:uid="{00000000-0005-0000-0000-0000FB060000}"/>
    <cellStyle name="%_NRA_model_for_NEMO2 (EMC Update) v0.26_NRA_model_for_NEMO2 (EMC Update) v0.29.2_NRA_model_for_NEMO2 (EMC Update) v0 30 1" xfId="1788" xr:uid="{00000000-0005-0000-0000-0000FC060000}"/>
    <cellStyle name="%_NRA_model_for_NEMO2 (EMC Update) v0.26_NRA_model_for_NEMO2 (EMC Update) v0.29.2_NRA_model_for_NEMO2 (EMC Update) v0.29.3" xfId="1789" xr:uid="{00000000-0005-0000-0000-0000FD060000}"/>
    <cellStyle name="%_NRA_model_for_NEMO2 (EMC Update) v0.26_NRA_model_for_NEMO2 (EMC Update) v0.29.2_NRA_model_for_NEMO2 (EMC Update) v0.29.3_NRA_model_for_NEMO2 (EMC Update) v0 30 1" xfId="1790" xr:uid="{00000000-0005-0000-0000-0000FE060000}"/>
    <cellStyle name="%_NRA_model_for_NEMO2 (EMC Update) v0.26_NRA_model_for_NEMO2 (EMC Update) v0.29.2_NRA_model_for_NEMO2 (EMC Update) v0.29.3_NRA_model_for_NEMO2 (EMC Update) v0.29.5" xfId="1791" xr:uid="{00000000-0005-0000-0000-0000FF060000}"/>
    <cellStyle name="%_NRA_model_for_NEMO2 (EMC Update) v0.26_NRA_model_for_NEMO2 (EMC Update) v0.29.2_NRA_model_for_NEMO2 (EMC Update) v0.29.3_NRA_model_for_NEMO2 (EMC Update) v0.29.5_NRA_model_for_NEMO2 (EMC Update) v0 30 1" xfId="1792" xr:uid="{00000000-0005-0000-0000-000000070000}"/>
    <cellStyle name="%_NRA_model_for_NEMO2 (EMC Update) v0.26_NRA_model_for_NEMO2 (EMC Update) v0.29.2_NRA_model_for_NEMO2 (EMC Update) v0.29.4" xfId="1793" xr:uid="{00000000-0005-0000-0000-000001070000}"/>
    <cellStyle name="%_NRA_model_for_NEMO2 (EMC Update) v0.26_NRA_model_for_NEMO2 (EMC Update) v0.29.2_NRA_model_for_NEMO2 (EMC Update) v0.29.4_NRA_model_for_NEMO2 (EMC Update) v0 30 1" xfId="1794" xr:uid="{00000000-0005-0000-0000-000002070000}"/>
    <cellStyle name="%_NRA_model_for_NEMO2 (EMC Update) v0.26_NRA_model_for_NEMO2 (EMC Update) v0.29.2_NRA_model_for_NEMO2 (EMC Update) v0.29.4_NRA_model_for_NEMO2 (EMC Update) v0.29.5" xfId="1795" xr:uid="{00000000-0005-0000-0000-000003070000}"/>
    <cellStyle name="%_NRA_model_for_NEMO2 (EMC Update) v0.26_NRA_model_for_NEMO2 (EMC Update) v0.29.2_NRA_model_for_NEMO2 (EMC Update) v0.29.4_NRA_model_for_NEMO2 (EMC Update) v0.29.5_NRA_model_for_NEMO2 (EMC Update) v0 30 1" xfId="1796" xr:uid="{00000000-0005-0000-0000-000004070000}"/>
    <cellStyle name="%_NRA_model_for_NEMO2 (EMC Update) v0.26_NRA_model_for_NEMO2 (EMC Update) v0.29.2_NRA_model_for_NEMO2 (EMC Update) v0.29.5" xfId="1797" xr:uid="{00000000-0005-0000-0000-000005070000}"/>
    <cellStyle name="%_NRA_model_for_NEMO2 (EMC Update) v0.26_NRA_model_for_NEMO2 (EMC Update) v0.29.2_NRA_model_for_NEMO2 (EMC Update) v0.29.5_NRA_model_for_NEMO2 (EMC Update) v0 30 1" xfId="1798" xr:uid="{00000000-0005-0000-0000-000006070000}"/>
    <cellStyle name="%_NRA_model_for_NEMO2 (EMC Update) v0.26_NRA_model_for_NEMO2 (EMC Update) v0.29.3" xfId="1799" xr:uid="{00000000-0005-0000-0000-000007070000}"/>
    <cellStyle name="%_NRA_model_for_NEMO2 (EMC Update) v0.26_NRA_model_for_NEMO2 (EMC Update) v0.29.3_NRA_model_for_NEMO2 (EMC Update) v0 30 1" xfId="1800" xr:uid="{00000000-0005-0000-0000-000008070000}"/>
    <cellStyle name="%_NRA_model_for_NEMO2 (EMC Update) v0.26_NRA_model_for_NEMO2 (EMC Update) v0.29.3_NRA_model_for_NEMO2 (EMC Update) v0.29.5" xfId="1801" xr:uid="{00000000-0005-0000-0000-000009070000}"/>
    <cellStyle name="%_NRA_model_for_NEMO2 (EMC Update) v0.26_NRA_model_for_NEMO2 (EMC Update) v0.29.3_NRA_model_for_NEMO2 (EMC Update) v0.29.5_NRA_model_for_NEMO2 (EMC Update) v0 30 1" xfId="1802" xr:uid="{00000000-0005-0000-0000-00000A070000}"/>
    <cellStyle name="%_NRA_model_for_NEMO2 (EMC Update) v0.26_NRA_model_for_NEMO2 (EMC Update) v0.29.4" xfId="1803" xr:uid="{00000000-0005-0000-0000-00000B070000}"/>
    <cellStyle name="%_NRA_model_for_NEMO2 (EMC Update) v0.26_NRA_model_for_NEMO2 (EMC Update) v0.29.4_NRA_model_for_NEMO2 (EMC Update) v0 30 1" xfId="1804" xr:uid="{00000000-0005-0000-0000-00000C070000}"/>
    <cellStyle name="%_NRA_model_for_NEMO2 (EMC Update) v0.26_NRA_model_for_NEMO2 (EMC Update) v0.29.4_NRA_model_for_NEMO2 (EMC Update) v0.29.5" xfId="1805" xr:uid="{00000000-0005-0000-0000-00000D070000}"/>
    <cellStyle name="%_NRA_model_for_NEMO2 (EMC Update) v0.26_NRA_model_for_NEMO2 (EMC Update) v0.29.4_NRA_model_for_NEMO2 (EMC Update) v0.29.5_NRA_model_for_NEMO2 (EMC Update) v0 30 1" xfId="1806" xr:uid="{00000000-0005-0000-0000-00000E070000}"/>
    <cellStyle name="%_NRA_model_for_NEMO2 (EMC Update) v0.26_NRA_model_for_NEMO2 (EMC Update) v0.29.5" xfId="1807" xr:uid="{00000000-0005-0000-0000-00000F070000}"/>
    <cellStyle name="%_NRA_model_for_NEMO2 (EMC Update) v0.26_NRA_model_for_NEMO2 (EMC Update) v0.29.5_NRA_model_for_NEMO2 (EMC Update) v0 30 1" xfId="1808" xr:uid="{00000000-0005-0000-0000-000010070000}"/>
    <cellStyle name="%_NRA_model_for_NEMO2 (EMC Update) v0.29" xfId="1832" xr:uid="{00000000-0005-0000-0000-000028070000}"/>
    <cellStyle name="%_NRA_model_for_NEMO2 (EMC Update) v0.29_NRA_model_for_NEMO2 (EMC Update) v0 30 1" xfId="1855" xr:uid="{00000000-0005-0000-0000-00003F070000}"/>
    <cellStyle name="%_NRA_model_for_NEMO2 (EMC Update) v0.29_NRA_model_for_NEMO2 (EMC Update) v0.29.2" xfId="1856" xr:uid="{00000000-0005-0000-0000-000040070000}"/>
    <cellStyle name="%_NRA_model_for_NEMO2 (EMC Update) v0.29_NRA_model_for_NEMO2 (EMC Update) v0.29.2_NRA_model_for_NEMO2 (EMC Update) v0 30 1" xfId="1857" xr:uid="{00000000-0005-0000-0000-000041070000}"/>
    <cellStyle name="%_NRA_model_for_NEMO2 (EMC Update) v0.29_NRA_model_for_NEMO2 (EMC Update) v0.29.2_NRA_model_for_NEMO2 (EMC Update) v0.29.3" xfId="1858" xr:uid="{00000000-0005-0000-0000-000042070000}"/>
    <cellStyle name="%_NRA_model_for_NEMO2 (EMC Update) v0.29_NRA_model_for_NEMO2 (EMC Update) v0.29.2_NRA_model_for_NEMO2 (EMC Update) v0.29.3_NRA_model_for_NEMO2 (EMC Update) v0 30 1" xfId="1859" xr:uid="{00000000-0005-0000-0000-000043070000}"/>
    <cellStyle name="%_NRA_model_for_NEMO2 (EMC Update) v0.29_NRA_model_for_NEMO2 (EMC Update) v0.29.2_NRA_model_for_NEMO2 (EMC Update) v0.29.3_NRA_model_for_NEMO2 (EMC Update) v0.29.5" xfId="1860" xr:uid="{00000000-0005-0000-0000-000044070000}"/>
    <cellStyle name="%_NRA_model_for_NEMO2 (EMC Update) v0.29_NRA_model_for_NEMO2 (EMC Update) v0.29.2_NRA_model_for_NEMO2 (EMC Update) v0.29.3_NRA_model_for_NEMO2 (EMC Update) v0.29.5_NRA_model_for_NEMO2 (EMC Update) v0 30 1" xfId="1861" xr:uid="{00000000-0005-0000-0000-000045070000}"/>
    <cellStyle name="%_NRA_model_for_NEMO2 (EMC Update) v0.29_NRA_model_for_NEMO2 (EMC Update) v0.29.2_NRA_model_for_NEMO2 (EMC Update) v0.29.4" xfId="1862" xr:uid="{00000000-0005-0000-0000-000046070000}"/>
    <cellStyle name="%_NRA_model_for_NEMO2 (EMC Update) v0.29_NRA_model_for_NEMO2 (EMC Update) v0.29.2_NRA_model_for_NEMO2 (EMC Update) v0.29.4_NRA_model_for_NEMO2 (EMC Update) v0 30 1" xfId="1863" xr:uid="{00000000-0005-0000-0000-000047070000}"/>
    <cellStyle name="%_NRA_model_for_NEMO2 (EMC Update) v0.29_NRA_model_for_NEMO2 (EMC Update) v0.29.2_NRA_model_for_NEMO2 (EMC Update) v0.29.4_NRA_model_for_NEMO2 (EMC Update) v0.29.5" xfId="1864" xr:uid="{00000000-0005-0000-0000-000048070000}"/>
    <cellStyle name="%_NRA_model_for_NEMO2 (EMC Update) v0.29_NRA_model_for_NEMO2 (EMC Update) v0.29.2_NRA_model_for_NEMO2 (EMC Update) v0.29.4_NRA_model_for_NEMO2 (EMC Update) v0.29.5_NRA_model_for_NEMO2 (EMC Update) v0 30 1" xfId="1865" xr:uid="{00000000-0005-0000-0000-000049070000}"/>
    <cellStyle name="%_NRA_model_for_NEMO2 (EMC Update) v0.29_NRA_model_for_NEMO2 (EMC Update) v0.29.2_NRA_model_for_NEMO2 (EMC Update) v0.29.5" xfId="1866" xr:uid="{00000000-0005-0000-0000-00004A070000}"/>
    <cellStyle name="%_NRA_model_for_NEMO2 (EMC Update) v0.29_NRA_model_for_NEMO2 (EMC Update) v0.29.2_NRA_model_for_NEMO2 (EMC Update) v0.29.5_NRA_model_for_NEMO2 (EMC Update) v0 30 1" xfId="1867" xr:uid="{00000000-0005-0000-0000-00004B070000}"/>
    <cellStyle name="%_NRA_model_for_NEMO2 (EMC Update) v0.29_NRA_model_for_NEMO2 (EMC Update) v0.29.3" xfId="1868" xr:uid="{00000000-0005-0000-0000-00004C070000}"/>
    <cellStyle name="%_NRA_model_for_NEMO2 (EMC Update) v0.29_NRA_model_for_NEMO2 (EMC Update) v0.29.3_NRA_model_for_NEMO2 (EMC Update) v0 30 1" xfId="1869" xr:uid="{00000000-0005-0000-0000-00004D070000}"/>
    <cellStyle name="%_NRA_model_for_NEMO2 (EMC Update) v0.29_NRA_model_for_NEMO2 (EMC Update) v0.29.3_NRA_model_for_NEMO2 (EMC Update) v0.29.5" xfId="1870" xr:uid="{00000000-0005-0000-0000-00004E070000}"/>
    <cellStyle name="%_NRA_model_for_NEMO2 (EMC Update) v0.29_NRA_model_for_NEMO2 (EMC Update) v0.29.3_NRA_model_for_NEMO2 (EMC Update) v0.29.5_NRA_model_for_NEMO2 (EMC Update) v0 30 1" xfId="1871" xr:uid="{00000000-0005-0000-0000-00004F070000}"/>
    <cellStyle name="%_NRA_model_for_NEMO2 (EMC Update) v0.29_NRA_model_for_NEMO2 (EMC Update) v0.29.4" xfId="1872" xr:uid="{00000000-0005-0000-0000-000050070000}"/>
    <cellStyle name="%_NRA_model_for_NEMO2 (EMC Update) v0.29_NRA_model_for_NEMO2 (EMC Update) v0.29.4_NRA_model_for_NEMO2 (EMC Update) v0 30 1" xfId="1873" xr:uid="{00000000-0005-0000-0000-000051070000}"/>
    <cellStyle name="%_NRA_model_for_NEMO2 (EMC Update) v0.29_NRA_model_for_NEMO2 (EMC Update) v0.29.4_NRA_model_for_NEMO2 (EMC Update) v0.29.5" xfId="1874" xr:uid="{00000000-0005-0000-0000-000052070000}"/>
    <cellStyle name="%_NRA_model_for_NEMO2 (EMC Update) v0.29_NRA_model_for_NEMO2 (EMC Update) v0.29.4_NRA_model_for_NEMO2 (EMC Update) v0.29.5_NRA_model_for_NEMO2 (EMC Update) v0 30 1" xfId="1875" xr:uid="{00000000-0005-0000-0000-000053070000}"/>
    <cellStyle name="%_NRA_model_for_NEMO2 (EMC Update) v0.29_NRA_model_for_NEMO2 (EMC Update) v0.29.5" xfId="1876" xr:uid="{00000000-0005-0000-0000-000054070000}"/>
    <cellStyle name="%_NRA_model_for_NEMO2 (EMC Update) v0.29_NRA_model_for_NEMO2 (EMC Update) v0.29.5_NRA_model_for_NEMO2 (EMC Update) v0 30 1" xfId="1877" xr:uid="{00000000-0005-0000-0000-000055070000}"/>
    <cellStyle name="%_NRA_model_for_NEMO2 (EMC Update) v0.29.2" xfId="1833" xr:uid="{00000000-0005-0000-0000-000029070000}"/>
    <cellStyle name="%_NRA_model_for_NEMO2 (EMC Update) v0.29.2_NRA_model_for_NEMO2 (EMC Update) v0 30 1" xfId="1834" xr:uid="{00000000-0005-0000-0000-00002A070000}"/>
    <cellStyle name="%_NRA_model_for_NEMO2 (EMC Update) v0.29.2_NRA_model_for_NEMO2 (EMC Update) v0.29.3" xfId="1835" xr:uid="{00000000-0005-0000-0000-00002B070000}"/>
    <cellStyle name="%_NRA_model_for_NEMO2 (EMC Update) v0.29.2_NRA_model_for_NEMO2 (EMC Update) v0.29.3_NRA_model_for_NEMO2 (EMC Update) v0 30 1" xfId="1836" xr:uid="{00000000-0005-0000-0000-00002C070000}"/>
    <cellStyle name="%_NRA_model_for_NEMO2 (EMC Update) v0.29.2_NRA_model_for_NEMO2 (EMC Update) v0.29.3_NRA_model_for_NEMO2 (EMC Update) v0.29.5" xfId="1837" xr:uid="{00000000-0005-0000-0000-00002D070000}"/>
    <cellStyle name="%_NRA_model_for_NEMO2 (EMC Update) v0.29.2_NRA_model_for_NEMO2 (EMC Update) v0.29.3_NRA_model_for_NEMO2 (EMC Update) v0.29.5_NRA_model_for_NEMO2 (EMC Update) v0 30 1" xfId="1838" xr:uid="{00000000-0005-0000-0000-00002E070000}"/>
    <cellStyle name="%_NRA_model_for_NEMO2 (EMC Update) v0.29.2_NRA_model_for_NEMO2 (EMC Update) v0.29.4" xfId="1839" xr:uid="{00000000-0005-0000-0000-00002F070000}"/>
    <cellStyle name="%_NRA_model_for_NEMO2 (EMC Update) v0.29.2_NRA_model_for_NEMO2 (EMC Update) v0.29.4_NRA_model_for_NEMO2 (EMC Update) v0 30 1" xfId="1840" xr:uid="{00000000-0005-0000-0000-000030070000}"/>
    <cellStyle name="%_NRA_model_for_NEMO2 (EMC Update) v0.29.2_NRA_model_for_NEMO2 (EMC Update) v0.29.4_NRA_model_for_NEMO2 (EMC Update) v0.29.5" xfId="1841" xr:uid="{00000000-0005-0000-0000-000031070000}"/>
    <cellStyle name="%_NRA_model_for_NEMO2 (EMC Update) v0.29.2_NRA_model_for_NEMO2 (EMC Update) v0.29.4_NRA_model_for_NEMO2 (EMC Update) v0.29.5_NRA_model_for_NEMO2 (EMC Update) v0 30 1" xfId="1842" xr:uid="{00000000-0005-0000-0000-000032070000}"/>
    <cellStyle name="%_NRA_model_for_NEMO2 (EMC Update) v0.29.2_NRA_model_for_NEMO2 (EMC Update) v0.29.5" xfId="1843" xr:uid="{00000000-0005-0000-0000-000033070000}"/>
    <cellStyle name="%_NRA_model_for_NEMO2 (EMC Update) v0.29.2_NRA_model_for_NEMO2 (EMC Update) v0.29.5_NRA_model_for_NEMO2 (EMC Update) v0 30 1" xfId="1844" xr:uid="{00000000-0005-0000-0000-000034070000}"/>
    <cellStyle name="%_NRA_model_for_NEMO2 (EMC Update) v0.29.3" xfId="1845" xr:uid="{00000000-0005-0000-0000-000035070000}"/>
    <cellStyle name="%_NRA_model_for_NEMO2 (EMC Update) v0.29.3_NRA_model_for_NEMO2 (EMC Update) v0 30 1" xfId="1846" xr:uid="{00000000-0005-0000-0000-000036070000}"/>
    <cellStyle name="%_NRA_model_for_NEMO2 (EMC Update) v0.29.3_NRA_model_for_NEMO2 (EMC Update) v0.29.5" xfId="1847" xr:uid="{00000000-0005-0000-0000-000037070000}"/>
    <cellStyle name="%_NRA_model_for_NEMO2 (EMC Update) v0.29.3_NRA_model_for_NEMO2 (EMC Update) v0.29.5_NRA_model_for_NEMO2 (EMC Update) v0 30 1" xfId="1848" xr:uid="{00000000-0005-0000-0000-000038070000}"/>
    <cellStyle name="%_NRA_model_for_NEMO2 (EMC Update) v0.29.4" xfId="1849" xr:uid="{00000000-0005-0000-0000-000039070000}"/>
    <cellStyle name="%_NRA_model_for_NEMO2 (EMC Update) v0.29.4_NRA_model_for_NEMO2 (EMC Update) v0 30 1" xfId="1850" xr:uid="{00000000-0005-0000-0000-00003A070000}"/>
    <cellStyle name="%_NRA_model_for_NEMO2 (EMC Update) v0.29.4_NRA_model_for_NEMO2 (EMC Update) v0.29.5" xfId="1851" xr:uid="{00000000-0005-0000-0000-00003B070000}"/>
    <cellStyle name="%_NRA_model_for_NEMO2 (EMC Update) v0.29.4_NRA_model_for_NEMO2 (EMC Update) v0.29.5_NRA_model_for_NEMO2 (EMC Update) v0 30 1" xfId="1852" xr:uid="{00000000-0005-0000-0000-00003C070000}"/>
    <cellStyle name="%_NRA_model_for_NEMO2 (EMC Update) v0.29.5" xfId="1853" xr:uid="{00000000-0005-0000-0000-00003D070000}"/>
    <cellStyle name="%_NRA_model_for_NEMO2 (EMC Update) v0.29.5_NRA_model_for_NEMO2 (EMC Update) v0 30 1" xfId="1854" xr:uid="{00000000-0005-0000-0000-00003E070000}"/>
    <cellStyle name="=C:\WINNT\SYSTEM32\COMMAND.COM" xfId="3" xr:uid="{00000000-0005-0000-0000-000003000000}"/>
    <cellStyle name="=C:\WINNT\SYSTEM32\COMMAND.COM 2" xfId="7" xr:uid="{00000000-0005-0000-0000-000007000000}"/>
    <cellStyle name="=C:\WINNT\SYSTEM32\COMMAND.COM 2 2" xfId="8" xr:uid="{00000000-0005-0000-0000-000008000000}"/>
    <cellStyle name="=C:\WINNT\SYSTEM32\COMMAND.COM 2 2 10" xfId="9" xr:uid="{00000000-0005-0000-0000-000009000000}"/>
    <cellStyle name="=C:\WINNT\SYSTEM32\COMMAND.COM 2 2 2" xfId="10" xr:uid="{00000000-0005-0000-0000-00000A000000}"/>
    <cellStyle name="=C:\WINNT\SYSTEM32\COMMAND.COM 3" xfId="11" xr:uid="{00000000-0005-0000-0000-00000B000000}"/>
    <cellStyle name="=C:\WINNT\SYSTEM32\COMMAND.COM 3 2" xfId="77" xr:uid="{00000000-0005-0000-0000-00004D000000}"/>
    <cellStyle name="=C:\WINNT\SYSTEM32\COMMAND.COM 4" xfId="12" xr:uid="{00000000-0005-0000-0000-00000C000000}"/>
    <cellStyle name="=C:\WINNT\SYSTEM32\COMMAND.COM_Gas_Run_060918" xfId="13" xr:uid="{00000000-0005-0000-0000-00000D000000}"/>
    <cellStyle name="20 % - Markeringsfarve1" xfId="1883" xr:uid="{00000000-0005-0000-0000-00005B070000}"/>
    <cellStyle name="20 % - Markeringsfarve2" xfId="1884" xr:uid="{00000000-0005-0000-0000-00005C070000}"/>
    <cellStyle name="20 % - Markeringsfarve3" xfId="1885" xr:uid="{00000000-0005-0000-0000-00005D070000}"/>
    <cellStyle name="20 % - Markeringsfarve4" xfId="1886" xr:uid="{00000000-0005-0000-0000-00005E070000}"/>
    <cellStyle name="20 % - Markeringsfarve5" xfId="1887" xr:uid="{00000000-0005-0000-0000-00005F070000}"/>
    <cellStyle name="20 % - Markeringsfarve6" xfId="1888" xr:uid="{00000000-0005-0000-0000-000060070000}"/>
    <cellStyle name="20% - Accent1 2" xfId="2073" xr:uid="{00000000-0005-0000-0000-000019080000}"/>
    <cellStyle name="20% - Accent2 2" xfId="2074" xr:uid="{00000000-0005-0000-0000-00001A080000}"/>
    <cellStyle name="20% - Accent3 2" xfId="2075" xr:uid="{00000000-0005-0000-0000-00001B080000}"/>
    <cellStyle name="20% - Accent4 2" xfId="2076" xr:uid="{00000000-0005-0000-0000-00001C080000}"/>
    <cellStyle name="20% - Accent5 2" xfId="2077" xr:uid="{00000000-0005-0000-0000-00001D080000}"/>
    <cellStyle name="20% - Accent6 2" xfId="2078" xr:uid="{00000000-0005-0000-0000-00001E080000}"/>
    <cellStyle name="20% - Dekorfärg1" xfId="1889" xr:uid="{00000000-0005-0000-0000-000061070000}"/>
    <cellStyle name="20% - Dekorfärg2" xfId="1890" xr:uid="{00000000-0005-0000-0000-000062070000}"/>
    <cellStyle name="20% - Dekorfärg3" xfId="1891" xr:uid="{00000000-0005-0000-0000-000063070000}"/>
    <cellStyle name="20% - Dekorfärg4" xfId="1892" xr:uid="{00000000-0005-0000-0000-000064070000}"/>
    <cellStyle name="20% - Dekorfärg5" xfId="1893" xr:uid="{00000000-0005-0000-0000-000065070000}"/>
    <cellStyle name="20% - Dekorfärg6" xfId="1894" xr:uid="{00000000-0005-0000-0000-000066070000}"/>
    <cellStyle name="40 % - Markeringsfarve1" xfId="1895" xr:uid="{00000000-0005-0000-0000-000067070000}"/>
    <cellStyle name="40 % - Markeringsfarve2" xfId="1896" xr:uid="{00000000-0005-0000-0000-000068070000}"/>
    <cellStyle name="40 % - Markeringsfarve3" xfId="1897" xr:uid="{00000000-0005-0000-0000-000069070000}"/>
    <cellStyle name="40 % - Markeringsfarve4" xfId="1898" xr:uid="{00000000-0005-0000-0000-00006A070000}"/>
    <cellStyle name="40 % - Markeringsfarve5" xfId="1899" xr:uid="{00000000-0005-0000-0000-00006B070000}"/>
    <cellStyle name="40 % - Markeringsfarve6" xfId="1900" xr:uid="{00000000-0005-0000-0000-00006C070000}"/>
    <cellStyle name="40% - Accent1 2" xfId="2079" xr:uid="{00000000-0005-0000-0000-00001F080000}"/>
    <cellStyle name="40% - Accent2 2" xfId="2080" xr:uid="{00000000-0005-0000-0000-000020080000}"/>
    <cellStyle name="40% - Accent3 2" xfId="2081" xr:uid="{00000000-0005-0000-0000-000021080000}"/>
    <cellStyle name="40% - Accent4 2" xfId="2082" xr:uid="{00000000-0005-0000-0000-000022080000}"/>
    <cellStyle name="40% - Accent5 2" xfId="2083" xr:uid="{00000000-0005-0000-0000-000023080000}"/>
    <cellStyle name="40% - Accent6 2" xfId="2084" xr:uid="{00000000-0005-0000-0000-000024080000}"/>
    <cellStyle name="40% - Dekorfärg1" xfId="1901" xr:uid="{00000000-0005-0000-0000-00006D070000}"/>
    <cellStyle name="40% - Dekorfärg2" xfId="1902" xr:uid="{00000000-0005-0000-0000-00006E070000}"/>
    <cellStyle name="40% - Dekorfärg3" xfId="1903" xr:uid="{00000000-0005-0000-0000-00006F070000}"/>
    <cellStyle name="40% - Dekorfärg4" xfId="1904" xr:uid="{00000000-0005-0000-0000-000070070000}"/>
    <cellStyle name="40% - Dekorfärg5" xfId="1905" xr:uid="{00000000-0005-0000-0000-000071070000}"/>
    <cellStyle name="40% - Dekorfärg6" xfId="1906" xr:uid="{00000000-0005-0000-0000-000072070000}"/>
    <cellStyle name="60 % - Markeringsfarve1" xfId="1907" xr:uid="{00000000-0005-0000-0000-000073070000}"/>
    <cellStyle name="60 % - Markeringsfarve2" xfId="1908" xr:uid="{00000000-0005-0000-0000-000074070000}"/>
    <cellStyle name="60 % - Markeringsfarve3" xfId="1909" xr:uid="{00000000-0005-0000-0000-000075070000}"/>
    <cellStyle name="60 % - Markeringsfarve4" xfId="1910" xr:uid="{00000000-0005-0000-0000-000076070000}"/>
    <cellStyle name="60 % - Markeringsfarve5" xfId="1911" xr:uid="{00000000-0005-0000-0000-000077070000}"/>
    <cellStyle name="60 % - Markeringsfarve6" xfId="1912" xr:uid="{00000000-0005-0000-0000-000078070000}"/>
    <cellStyle name="60% - Dekorfärg1" xfId="1913" xr:uid="{00000000-0005-0000-0000-000079070000}"/>
    <cellStyle name="60% - Dekorfärg2" xfId="1914" xr:uid="{00000000-0005-0000-0000-00007A070000}"/>
    <cellStyle name="60% - Dekorfärg3" xfId="1915" xr:uid="{00000000-0005-0000-0000-00007B070000}"/>
    <cellStyle name="60% - Dekorfärg4" xfId="1916" xr:uid="{00000000-0005-0000-0000-00007C070000}"/>
    <cellStyle name="60% - Dekorfärg5" xfId="1917" xr:uid="{00000000-0005-0000-0000-00007D070000}"/>
    <cellStyle name="60% - Dekorfärg6" xfId="1918" xr:uid="{00000000-0005-0000-0000-00007E070000}"/>
    <cellStyle name="Accent1 - 20%" xfId="1919" xr:uid="{00000000-0005-0000-0000-00007F070000}"/>
    <cellStyle name="Accent1 - 40%" xfId="1920" xr:uid="{00000000-0005-0000-0000-000080070000}"/>
    <cellStyle name="Accent1 - 60%" xfId="1921" xr:uid="{00000000-0005-0000-0000-000081070000}"/>
    <cellStyle name="Accent2 - 20%" xfId="1922" xr:uid="{00000000-0005-0000-0000-000082070000}"/>
    <cellStyle name="Accent2 - 40%" xfId="1923" xr:uid="{00000000-0005-0000-0000-000083070000}"/>
    <cellStyle name="Accent2 - 60%" xfId="1924" xr:uid="{00000000-0005-0000-0000-000084070000}"/>
    <cellStyle name="Accent3 - 20%" xfId="1925" xr:uid="{00000000-0005-0000-0000-000085070000}"/>
    <cellStyle name="Accent3 - 40%" xfId="1926" xr:uid="{00000000-0005-0000-0000-000086070000}"/>
    <cellStyle name="Accent3 - 60%" xfId="1927" xr:uid="{00000000-0005-0000-0000-000087070000}"/>
    <cellStyle name="Accent4 - 20%" xfId="1928" xr:uid="{00000000-0005-0000-0000-000088070000}"/>
    <cellStyle name="Accent4 - 40%" xfId="1929" xr:uid="{00000000-0005-0000-0000-000089070000}"/>
    <cellStyle name="Accent4 - 60%" xfId="1930" xr:uid="{00000000-0005-0000-0000-00008A070000}"/>
    <cellStyle name="Accent5 - 20%" xfId="1931" xr:uid="{00000000-0005-0000-0000-00008B070000}"/>
    <cellStyle name="Accent5 - 40%" xfId="1932" xr:uid="{00000000-0005-0000-0000-00008C070000}"/>
    <cellStyle name="Accent5 - 60%" xfId="1933" xr:uid="{00000000-0005-0000-0000-00008D070000}"/>
    <cellStyle name="Accent6 - 20%" xfId="1934" xr:uid="{00000000-0005-0000-0000-00008E070000}"/>
    <cellStyle name="Accent6 - 40%" xfId="1935" xr:uid="{00000000-0005-0000-0000-00008F070000}"/>
    <cellStyle name="Accent6 - 60%" xfId="1936" xr:uid="{00000000-0005-0000-0000-000090070000}"/>
    <cellStyle name="Advarselstekst" xfId="1937" xr:uid="{00000000-0005-0000-0000-000091070000}"/>
    <cellStyle name="Anteckning" xfId="1938" xr:uid="{00000000-0005-0000-0000-000092070000}"/>
    <cellStyle name="Anteckning 2" xfId="2168" xr:uid="{00000000-0005-0000-0000-000078080000}"/>
    <cellStyle name="Anteckning 3" xfId="2167" xr:uid="{00000000-0005-0000-0000-000077080000}"/>
    <cellStyle name="Bemærk!" xfId="1939" xr:uid="{00000000-0005-0000-0000-000093070000}"/>
    <cellStyle name="Bemærk! 2" xfId="2169" xr:uid="{00000000-0005-0000-0000-000079080000}"/>
    <cellStyle name="Bemærk! 3" xfId="2166" xr:uid="{00000000-0005-0000-0000-000076080000}"/>
    <cellStyle name="Beräkning" xfId="1940" xr:uid="{00000000-0005-0000-0000-000094070000}"/>
    <cellStyle name="Beräkning 2" xfId="2170" xr:uid="{00000000-0005-0000-0000-00007A080000}"/>
    <cellStyle name="Beräkning 3" xfId="2165" xr:uid="{00000000-0005-0000-0000-000075080000}"/>
    <cellStyle name="Beregning" xfId="1941" xr:uid="{00000000-0005-0000-0000-000095070000}"/>
    <cellStyle name="Beregning 2" xfId="2171" xr:uid="{00000000-0005-0000-0000-00007B080000}"/>
    <cellStyle name="Beregning 3" xfId="2164" xr:uid="{00000000-0005-0000-0000-000074080000}"/>
    <cellStyle name="BMInputNormal" xfId="1942" xr:uid="{00000000-0005-0000-0000-000096070000}"/>
    <cellStyle name="Bra" xfId="1943" xr:uid="{00000000-0005-0000-0000-000097070000}"/>
    <cellStyle name="column Head Underlined" xfId="1944" xr:uid="{00000000-0005-0000-0000-000098070000}"/>
    <cellStyle name="Column Heading" xfId="1945" xr:uid="{00000000-0005-0000-0000-000099070000}"/>
    <cellStyle name="Comma" xfId="75" builtinId="3"/>
    <cellStyle name="Comma 10" xfId="15" xr:uid="{00000000-0005-0000-0000-00000F000000}"/>
    <cellStyle name="Comma 10 2" xfId="2124" xr:uid="{00000000-0005-0000-0000-00004C080000}"/>
    <cellStyle name="Comma 11" xfId="14" xr:uid="{00000000-0005-0000-0000-00000E000000}"/>
    <cellStyle name="Comma 11 2" xfId="78" xr:uid="{00000000-0005-0000-0000-00004E000000}"/>
    <cellStyle name="Comma 12" xfId="16" xr:uid="{00000000-0005-0000-0000-000010000000}"/>
    <cellStyle name="Comma 12 2" xfId="2125" xr:uid="{00000000-0005-0000-0000-00004D080000}"/>
    <cellStyle name="Comma 13" xfId="17" xr:uid="{00000000-0005-0000-0000-000011000000}"/>
    <cellStyle name="Comma 13 2" xfId="2126" xr:uid="{00000000-0005-0000-0000-00004E080000}"/>
    <cellStyle name="Comma 14" xfId="18" xr:uid="{00000000-0005-0000-0000-000012000000}"/>
    <cellStyle name="Comma 14 2" xfId="2127" xr:uid="{00000000-0005-0000-0000-00004F080000}"/>
    <cellStyle name="Comma 15" xfId="2096" xr:uid="{00000000-0005-0000-0000-000030080000}"/>
    <cellStyle name="Comma 15 2" xfId="2223" xr:uid="{00000000-0005-0000-0000-0000AF080000}"/>
    <cellStyle name="Comma 16" xfId="2139" xr:uid="{00000000-0005-0000-0000-00005B080000}"/>
    <cellStyle name="Comma 17" xfId="19" xr:uid="{00000000-0005-0000-0000-000013000000}"/>
    <cellStyle name="Comma 17 2" xfId="2128" xr:uid="{00000000-0005-0000-0000-000050080000}"/>
    <cellStyle name="Comma 18" xfId="20" xr:uid="{00000000-0005-0000-0000-000014000000}"/>
    <cellStyle name="Comma 18 2" xfId="2129" xr:uid="{00000000-0005-0000-0000-000051080000}"/>
    <cellStyle name="Comma 19" xfId="2258" xr:uid="{00000000-0005-0000-0000-0000D2080000}"/>
    <cellStyle name="Comma 2" xfId="21" xr:uid="{00000000-0005-0000-0000-000015000000}"/>
    <cellStyle name="Comma 2 2" xfId="22" xr:uid="{00000000-0005-0000-0000-000016000000}"/>
    <cellStyle name="Comma 2 2 2" xfId="2130" xr:uid="{00000000-0005-0000-0000-000052080000}"/>
    <cellStyle name="Comma 2 3" xfId="86" xr:uid="{00000000-0005-0000-0000-000056000000}"/>
    <cellStyle name="Comma 2 3 2" xfId="2116" xr:uid="{00000000-0005-0000-0000-000044080000}"/>
    <cellStyle name="Comma 2 3 2 2" xfId="2229" xr:uid="{00000000-0005-0000-0000-0000B5080000}"/>
    <cellStyle name="Comma 2 3 3" xfId="2142" xr:uid="{00000000-0005-0000-0000-00005E080000}"/>
    <cellStyle name="Comma 2_InputSA" xfId="23" xr:uid="{00000000-0005-0000-0000-000017000000}"/>
    <cellStyle name="Comma 20" xfId="24" xr:uid="{00000000-0005-0000-0000-000018000000}"/>
    <cellStyle name="Comma 20 2" xfId="2131" xr:uid="{00000000-0005-0000-0000-000053080000}"/>
    <cellStyle name="Comma 21" xfId="25" xr:uid="{00000000-0005-0000-0000-000019000000}"/>
    <cellStyle name="Comma 21 2" xfId="2132" xr:uid="{00000000-0005-0000-0000-000054080000}"/>
    <cellStyle name="Comma 25" xfId="26" xr:uid="{00000000-0005-0000-0000-00001A000000}"/>
    <cellStyle name="Comma 25 2" xfId="2133" xr:uid="{00000000-0005-0000-0000-000055080000}"/>
    <cellStyle name="Comma 26" xfId="27" xr:uid="{00000000-0005-0000-0000-00001B000000}"/>
    <cellStyle name="Comma 26 2" xfId="2134" xr:uid="{00000000-0005-0000-0000-000056080000}"/>
    <cellStyle name="Comma 3" xfId="28" xr:uid="{00000000-0005-0000-0000-00001C000000}"/>
    <cellStyle name="Comma 3 2" xfId="1946" xr:uid="{00000000-0005-0000-0000-00009A070000}"/>
    <cellStyle name="Comma 3 2 2" xfId="2172" xr:uid="{00000000-0005-0000-0000-00007C080000}"/>
    <cellStyle name="Comma 3 3" xfId="2135" xr:uid="{00000000-0005-0000-0000-000057080000}"/>
    <cellStyle name="Comma 4" xfId="29" xr:uid="{00000000-0005-0000-0000-00001D000000}"/>
    <cellStyle name="Comma 4 2" xfId="30" xr:uid="{00000000-0005-0000-0000-00001E000000}"/>
    <cellStyle name="Comma 4 3" xfId="2092" xr:uid="{00000000-0005-0000-0000-00002C080000}"/>
    <cellStyle name="Comma 4 3 2" xfId="2220" xr:uid="{00000000-0005-0000-0000-0000AC080000}"/>
    <cellStyle name="Comma 5" xfId="31" xr:uid="{00000000-0005-0000-0000-00001F000000}"/>
    <cellStyle name="Comma 6" xfId="32" xr:uid="{00000000-0005-0000-0000-000020000000}"/>
    <cellStyle name="Comma 7" xfId="33" xr:uid="{00000000-0005-0000-0000-000021000000}"/>
    <cellStyle name="Comma 7 2" xfId="2136" xr:uid="{00000000-0005-0000-0000-000058080000}"/>
    <cellStyle name="Comma 8" xfId="34" xr:uid="{00000000-0005-0000-0000-000022000000}"/>
    <cellStyle name="Comma 8 2" xfId="2137" xr:uid="{00000000-0005-0000-0000-000059080000}"/>
    <cellStyle name="Comma 9" xfId="35" xr:uid="{00000000-0005-0000-0000-000023000000}"/>
    <cellStyle name="Comma 9 2" xfId="2138" xr:uid="{00000000-0005-0000-0000-00005A080000}"/>
    <cellStyle name="Dålig" xfId="1947" xr:uid="{00000000-0005-0000-0000-00009B070000}"/>
    <cellStyle name="DateLong" xfId="36" xr:uid="{00000000-0005-0000-0000-000024000000}"/>
    <cellStyle name="DateLong 2" xfId="79" xr:uid="{00000000-0005-0000-0000-00004F000000}"/>
    <cellStyle name="Emphasis 1" xfId="1948" xr:uid="{00000000-0005-0000-0000-00009C070000}"/>
    <cellStyle name="Emphasis 2" xfId="1949" xr:uid="{00000000-0005-0000-0000-00009D070000}"/>
    <cellStyle name="Emphasis 3" xfId="1950" xr:uid="{00000000-0005-0000-0000-00009E070000}"/>
    <cellStyle name="Euro" xfId="37" xr:uid="{00000000-0005-0000-0000-000025000000}"/>
    <cellStyle name="Euro 2" xfId="1951" xr:uid="{00000000-0005-0000-0000-00009F070000}"/>
    <cellStyle name="EYBlocked" xfId="1952" xr:uid="{00000000-0005-0000-0000-0000A0070000}"/>
    <cellStyle name="EYCallUp" xfId="1953" xr:uid="{00000000-0005-0000-0000-0000A1070000}"/>
    <cellStyle name="EYCheck" xfId="1954" xr:uid="{00000000-0005-0000-0000-0000A2070000}"/>
    <cellStyle name="EYDate" xfId="1955" xr:uid="{00000000-0005-0000-0000-0000A3070000}"/>
    <cellStyle name="EYDeviant" xfId="1956" xr:uid="{00000000-0005-0000-0000-0000A4070000}"/>
    <cellStyle name="EYHeader1" xfId="1957" xr:uid="{00000000-0005-0000-0000-0000A5070000}"/>
    <cellStyle name="EYHeader1 2" xfId="2173" xr:uid="{00000000-0005-0000-0000-00007D080000}"/>
    <cellStyle name="EYHeader1 3" xfId="2163" xr:uid="{00000000-0005-0000-0000-000073080000}"/>
    <cellStyle name="EYHeader2" xfId="1958" xr:uid="{00000000-0005-0000-0000-0000A6070000}"/>
    <cellStyle name="EYHeader3" xfId="1959" xr:uid="{00000000-0005-0000-0000-0000A7070000}"/>
    <cellStyle name="EYInputDate" xfId="1960" xr:uid="{00000000-0005-0000-0000-0000A8070000}"/>
    <cellStyle name="EYInputDate 2" xfId="2117" xr:uid="{00000000-0005-0000-0000-000045080000}"/>
    <cellStyle name="EYInputPercent" xfId="1961" xr:uid="{00000000-0005-0000-0000-0000A9070000}"/>
    <cellStyle name="EYInputPercent 2" xfId="2118" xr:uid="{00000000-0005-0000-0000-000046080000}"/>
    <cellStyle name="EYInputValue" xfId="1962" xr:uid="{00000000-0005-0000-0000-0000AA070000}"/>
    <cellStyle name="EYInputValue 2" xfId="2119" xr:uid="{00000000-0005-0000-0000-000047080000}"/>
    <cellStyle name="EYNormal" xfId="38" xr:uid="{00000000-0005-0000-0000-000026000000}"/>
    <cellStyle name="EYNormal 2" xfId="1963" xr:uid="{00000000-0005-0000-0000-0000AB070000}"/>
    <cellStyle name="EYPercent" xfId="1964" xr:uid="{00000000-0005-0000-0000-0000AC070000}"/>
    <cellStyle name="EYPercentCapped" xfId="1965" xr:uid="{00000000-0005-0000-0000-0000AD070000}"/>
    <cellStyle name="EYSubTotal" xfId="1966" xr:uid="{00000000-0005-0000-0000-0000AE070000}"/>
    <cellStyle name="EYSubTotal 2" xfId="2174" xr:uid="{00000000-0005-0000-0000-00007E080000}"/>
    <cellStyle name="EYSubTotal 3" xfId="2162" xr:uid="{00000000-0005-0000-0000-000072080000}"/>
    <cellStyle name="EYTotal" xfId="1967" xr:uid="{00000000-0005-0000-0000-0000AF070000}"/>
    <cellStyle name="EYTotal 2" xfId="2175" xr:uid="{00000000-0005-0000-0000-00007F080000}"/>
    <cellStyle name="EYTotal 3" xfId="2161" xr:uid="{00000000-0005-0000-0000-000071080000}"/>
    <cellStyle name="EYWIP" xfId="1968" xr:uid="{00000000-0005-0000-0000-0000B0070000}"/>
    <cellStyle name="Factor" xfId="39" xr:uid="{00000000-0005-0000-0000-000027000000}"/>
    <cellStyle name="Factor 2" xfId="80" xr:uid="{00000000-0005-0000-0000-000050000000}"/>
    <cellStyle name="Färg1" xfId="1969" xr:uid="{00000000-0005-0000-0000-0000B1070000}"/>
    <cellStyle name="Färg2" xfId="1970" xr:uid="{00000000-0005-0000-0000-0000B2070000}"/>
    <cellStyle name="Färg3" xfId="1971" xr:uid="{00000000-0005-0000-0000-0000B3070000}"/>
    <cellStyle name="Färg4" xfId="1972" xr:uid="{00000000-0005-0000-0000-0000B4070000}"/>
    <cellStyle name="Färg5" xfId="1973" xr:uid="{00000000-0005-0000-0000-0000B5070000}"/>
    <cellStyle name="Färg6" xfId="1974" xr:uid="{00000000-0005-0000-0000-0000B6070000}"/>
    <cellStyle name="Förklarande text" xfId="1975" xr:uid="{00000000-0005-0000-0000-0000B7070000}"/>
    <cellStyle name="Forklarende tekst" xfId="1976" xr:uid="{00000000-0005-0000-0000-0000B8070000}"/>
    <cellStyle name="General" xfId="1977" xr:uid="{00000000-0005-0000-0000-0000B9070000}"/>
    <cellStyle name="God" xfId="1978" xr:uid="{00000000-0005-0000-0000-0000BA070000}"/>
    <cellStyle name="Hyperlink" xfId="2" builtinId="8" hidden="1"/>
    <cellStyle name="Hyperlink 2" xfId="2072" xr:uid="{00000000-0005-0000-0000-000018080000}"/>
    <cellStyle name="Indata" xfId="1979" xr:uid="{00000000-0005-0000-0000-0000BB070000}"/>
    <cellStyle name="Indata 2" xfId="2176" xr:uid="{00000000-0005-0000-0000-000080080000}"/>
    <cellStyle name="Indata 3" xfId="2160" xr:uid="{00000000-0005-0000-0000-000070080000}"/>
    <cellStyle name="InputData" xfId="40" xr:uid="{00000000-0005-0000-0000-000028000000}"/>
    <cellStyle name="Kontrollcell" xfId="1980" xr:uid="{00000000-0005-0000-0000-0000BC070000}"/>
    <cellStyle name="Kontroller celle" xfId="1981" xr:uid="{00000000-0005-0000-0000-0000BD070000}"/>
    <cellStyle name="Länkad cell" xfId="1982" xr:uid="{00000000-0005-0000-0000-0000BE070000}"/>
    <cellStyle name="Main Heading" xfId="1983" xr:uid="{00000000-0005-0000-0000-0000BF070000}"/>
    <cellStyle name="Markeringsfarve1" xfId="1984" xr:uid="{00000000-0005-0000-0000-0000C0070000}"/>
    <cellStyle name="Markeringsfarve2" xfId="1985" xr:uid="{00000000-0005-0000-0000-0000C1070000}"/>
    <cellStyle name="Markeringsfarve3" xfId="1986" xr:uid="{00000000-0005-0000-0000-0000C2070000}"/>
    <cellStyle name="Markeringsfarve4" xfId="1987" xr:uid="{00000000-0005-0000-0000-0000C3070000}"/>
    <cellStyle name="Markeringsfarve5" xfId="1988" xr:uid="{00000000-0005-0000-0000-0000C4070000}"/>
    <cellStyle name="Markeringsfarve6" xfId="1989" xr:uid="{00000000-0005-0000-0000-0000C5070000}"/>
    <cellStyle name="NGBlocked" xfId="1990" xr:uid="{00000000-0005-0000-0000-0000C6070000}"/>
    <cellStyle name="NGCallUp" xfId="1991" xr:uid="{00000000-0005-0000-0000-0000C7070000}"/>
    <cellStyle name="NGCheck" xfId="1992" xr:uid="{00000000-0005-0000-0000-0000C8070000}"/>
    <cellStyle name="NGDate" xfId="1993" xr:uid="{00000000-0005-0000-0000-0000C9070000}"/>
    <cellStyle name="NGDeviant" xfId="1994" xr:uid="{00000000-0005-0000-0000-0000CA070000}"/>
    <cellStyle name="NGHeader1" xfId="1995" xr:uid="{00000000-0005-0000-0000-0000CB070000}"/>
    <cellStyle name="NGHeader1 2" xfId="2177" xr:uid="{00000000-0005-0000-0000-000081080000}"/>
    <cellStyle name="NGHeader1 3" xfId="2159" xr:uid="{00000000-0005-0000-0000-00006F080000}"/>
    <cellStyle name="NGHeader2" xfId="1996" xr:uid="{00000000-0005-0000-0000-0000CC070000}"/>
    <cellStyle name="NGHeader3" xfId="1997" xr:uid="{00000000-0005-0000-0000-0000CD070000}"/>
    <cellStyle name="NGInputDate" xfId="1998" xr:uid="{00000000-0005-0000-0000-0000CE070000}"/>
    <cellStyle name="NGInputDate 2" xfId="2120" xr:uid="{00000000-0005-0000-0000-000048080000}"/>
    <cellStyle name="NGInputDate 3 18" xfId="2111" xr:uid="{00000000-0005-0000-0000-00003F080000}"/>
    <cellStyle name="NGInputDate 3 18 2" xfId="2225" xr:uid="{00000000-0005-0000-0000-0000B1080000}"/>
    <cellStyle name="NGInputPercent" xfId="1999" xr:uid="{00000000-0005-0000-0000-0000CF070000}"/>
    <cellStyle name="NGInputPercent 2" xfId="2121" xr:uid="{00000000-0005-0000-0000-000049080000}"/>
    <cellStyle name="NGInputValue" xfId="2000" xr:uid="{00000000-0005-0000-0000-0000D0070000}"/>
    <cellStyle name="NGInputValue 2" xfId="2122" xr:uid="{00000000-0005-0000-0000-00004A080000}"/>
    <cellStyle name="NGNormal" xfId="2001" xr:uid="{00000000-0005-0000-0000-0000D1070000}"/>
    <cellStyle name="NGPercent" xfId="2002" xr:uid="{00000000-0005-0000-0000-0000D2070000}"/>
    <cellStyle name="NGPercentCapped" xfId="2003" xr:uid="{00000000-0005-0000-0000-0000D3070000}"/>
    <cellStyle name="NGSubTotal" xfId="2004" xr:uid="{00000000-0005-0000-0000-0000D4070000}"/>
    <cellStyle name="NGSubTotal 2" xfId="2178" xr:uid="{00000000-0005-0000-0000-000082080000}"/>
    <cellStyle name="NGSubTotal 3" xfId="2158" xr:uid="{00000000-0005-0000-0000-00006E080000}"/>
    <cellStyle name="NGTotal" xfId="2005" xr:uid="{00000000-0005-0000-0000-0000D5070000}"/>
    <cellStyle name="NGTotal 2" xfId="2179" xr:uid="{00000000-0005-0000-0000-000083080000}"/>
    <cellStyle name="NGTotal 3" xfId="2157" xr:uid="{00000000-0005-0000-0000-00006D080000}"/>
    <cellStyle name="NGWIP" xfId="2006" xr:uid="{00000000-0005-0000-0000-0000D6070000}"/>
    <cellStyle name="Normal" xfId="0" builtinId="0"/>
    <cellStyle name="Normal 10" xfId="41" xr:uid="{00000000-0005-0000-0000-000029000000}"/>
    <cellStyle name="Normal 11" xfId="42" xr:uid="{00000000-0005-0000-0000-00002A000000}"/>
    <cellStyle name="Normal 11 2" xfId="81" xr:uid="{00000000-0005-0000-0000-000051000000}"/>
    <cellStyle name="Normal 12" xfId="4" xr:uid="{00000000-0005-0000-0000-000004000000}"/>
    <cellStyle name="Normal 13" xfId="84" xr:uid="{00000000-0005-0000-0000-000054000000}"/>
    <cellStyle name="Normal 13 2" xfId="43" xr:uid="{00000000-0005-0000-0000-00002B000000}"/>
    <cellStyle name="Normal 13 2 2" xfId="44" xr:uid="{00000000-0005-0000-0000-00002C000000}"/>
    <cellStyle name="Normal 13 2_SHETL" xfId="45" xr:uid="{00000000-0005-0000-0000-00002D000000}"/>
    <cellStyle name="Normal 14" xfId="2255" xr:uid="{00000000-0005-0000-0000-0000CF080000}"/>
    <cellStyle name="Normal 15" xfId="2103" xr:uid="{00000000-0005-0000-0000-000037080000}"/>
    <cellStyle name="Normal 15 2" xfId="2224" xr:uid="{00000000-0005-0000-0000-0000B0080000}"/>
    <cellStyle name="Normal 16" xfId="2256" xr:uid="{00000000-0005-0000-0000-0000D0080000}"/>
    <cellStyle name="Normal 17" xfId="2257" xr:uid="{00000000-0005-0000-0000-0000D1080000}"/>
    <cellStyle name="Normal 18" xfId="2259" xr:uid="{00000000-0005-0000-0000-0000D3080000}"/>
    <cellStyle name="Normal 19" xfId="2260" xr:uid="{00000000-0005-0000-0000-0000D4080000}"/>
    <cellStyle name="Normal 2" xfId="46" xr:uid="{00000000-0005-0000-0000-00002E000000}"/>
    <cellStyle name="Normal 2 2" xfId="47" xr:uid="{00000000-0005-0000-0000-00002F000000}"/>
    <cellStyle name="Normal 2 2 2" xfId="2095" xr:uid="{00000000-0005-0000-0000-00002F080000}"/>
    <cellStyle name="Normal 2 3" xfId="85" xr:uid="{00000000-0005-0000-0000-000055000000}"/>
    <cellStyle name="Normal 2 3 2" xfId="2115" xr:uid="{00000000-0005-0000-0000-000043080000}"/>
    <cellStyle name="Normal 2 3 2 2" xfId="2228" xr:uid="{00000000-0005-0000-0000-0000B4080000}"/>
    <cellStyle name="Normal 2 3 3" xfId="2141" xr:uid="{00000000-0005-0000-0000-00005D080000}"/>
    <cellStyle name="Normal 2_InputSA" xfId="48" xr:uid="{00000000-0005-0000-0000-000030000000}"/>
    <cellStyle name="Normal 28" xfId="2110" xr:uid="{00000000-0005-0000-0000-00003E080000}"/>
    <cellStyle name="Normal 3" xfId="49" xr:uid="{00000000-0005-0000-0000-000031000000}"/>
    <cellStyle name="Normal 3 2" xfId="50" xr:uid="{00000000-0005-0000-0000-000032000000}"/>
    <cellStyle name="Normal 3 3" xfId="2007" xr:uid="{00000000-0005-0000-0000-0000D7070000}"/>
    <cellStyle name="Normal 3 3 2" xfId="51" xr:uid="{00000000-0005-0000-0000-000033000000}"/>
    <cellStyle name="Normal 3_Financial Analysis template" xfId="52" xr:uid="{00000000-0005-0000-0000-000034000000}"/>
    <cellStyle name="Normal 31" xfId="2097" xr:uid="{00000000-0005-0000-0000-000031080000}"/>
    <cellStyle name="Normal 33" xfId="2101" xr:uid="{00000000-0005-0000-0000-000035080000}"/>
    <cellStyle name="Normal 34" xfId="2099" xr:uid="{00000000-0005-0000-0000-000033080000}"/>
    <cellStyle name="Normal 36" xfId="2098" xr:uid="{00000000-0005-0000-0000-000032080000}"/>
    <cellStyle name="Normal 37" xfId="2100" xr:uid="{00000000-0005-0000-0000-000034080000}"/>
    <cellStyle name="Normal 39" xfId="2102" xr:uid="{00000000-0005-0000-0000-000036080000}"/>
    <cellStyle name="Normal 4" xfId="53" xr:uid="{00000000-0005-0000-0000-000035000000}"/>
    <cellStyle name="Normal 4 2" xfId="54" xr:uid="{00000000-0005-0000-0000-000036000000}"/>
    <cellStyle name="Normal 4 3" xfId="2085" xr:uid="{00000000-0005-0000-0000-000025080000}"/>
    <cellStyle name="Normal 4_InputSA" xfId="55" xr:uid="{00000000-0005-0000-0000-000037000000}"/>
    <cellStyle name="Normal 40" xfId="2105" xr:uid="{00000000-0005-0000-0000-000039080000}"/>
    <cellStyle name="Normal 41" xfId="2104" xr:uid="{00000000-0005-0000-0000-000038080000}"/>
    <cellStyle name="Normal 44" xfId="2107" xr:uid="{00000000-0005-0000-0000-00003B080000}"/>
    <cellStyle name="Normal 45" xfId="2108" xr:uid="{00000000-0005-0000-0000-00003C080000}"/>
    <cellStyle name="Normal 46" xfId="2106" xr:uid="{00000000-0005-0000-0000-00003A080000}"/>
    <cellStyle name="Normal 47" xfId="2109" xr:uid="{00000000-0005-0000-0000-00003D080000}"/>
    <cellStyle name="Normal 49" xfId="2112" xr:uid="{00000000-0005-0000-0000-000040080000}"/>
    <cellStyle name="Normal 5" xfId="56" xr:uid="{00000000-0005-0000-0000-000038000000}"/>
    <cellStyle name="Normal 5 2" xfId="57" xr:uid="{00000000-0005-0000-0000-000039000000}"/>
    <cellStyle name="Normal 5 3" xfId="2086" xr:uid="{00000000-0005-0000-0000-000026080000}"/>
    <cellStyle name="Normal 54" xfId="58" xr:uid="{00000000-0005-0000-0000-00003A000000}"/>
    <cellStyle name="Normal 58" xfId="59" xr:uid="{00000000-0005-0000-0000-00003B000000}"/>
    <cellStyle name="Normal 6" xfId="60" xr:uid="{00000000-0005-0000-0000-00003C000000}"/>
    <cellStyle name="Normal 6 2" xfId="2087" xr:uid="{00000000-0005-0000-0000-000027080000}"/>
    <cellStyle name="Normal 7" xfId="61" xr:uid="{00000000-0005-0000-0000-00003D000000}"/>
    <cellStyle name="Normal 7 2" xfId="2094" xr:uid="{00000000-0005-0000-0000-00002E080000}"/>
    <cellStyle name="Normal 7 2 2" xfId="2222" xr:uid="{00000000-0005-0000-0000-0000AE080000}"/>
    <cellStyle name="Normal 7 3" xfId="2090" xr:uid="{00000000-0005-0000-0000-00002A080000}"/>
    <cellStyle name="Normal 7 3 2" xfId="2218" xr:uid="{00000000-0005-0000-0000-0000AA080000}"/>
    <cellStyle name="Normal 8" xfId="62" xr:uid="{00000000-0005-0000-0000-00003E000000}"/>
    <cellStyle name="Normal 8 2" xfId="2091" xr:uid="{00000000-0005-0000-0000-00002B080000}"/>
    <cellStyle name="Normal 8 2 2" xfId="2219" xr:uid="{00000000-0005-0000-0000-0000AB080000}"/>
    <cellStyle name="Normal 9" xfId="63" xr:uid="{00000000-0005-0000-0000-00003F000000}"/>
    <cellStyle name="Note 2" xfId="2088" xr:uid="{00000000-0005-0000-0000-000028080000}"/>
    <cellStyle name="Note 2 2" xfId="2216" xr:uid="{00000000-0005-0000-0000-0000A8080000}"/>
    <cellStyle name="Note 2 3" xfId="2252" xr:uid="{00000000-0005-0000-0000-0000CC080000}"/>
    <cellStyle name="Note 3" xfId="2089" xr:uid="{00000000-0005-0000-0000-000029080000}"/>
    <cellStyle name="Note 3 2" xfId="2217" xr:uid="{00000000-0005-0000-0000-0000A9080000}"/>
    <cellStyle name="Note 3 3" xfId="2253" xr:uid="{00000000-0005-0000-0000-0000CD080000}"/>
    <cellStyle name="Overskrift 1" xfId="2008" xr:uid="{00000000-0005-0000-0000-0000D8070000}"/>
    <cellStyle name="Overskrift 2" xfId="2009" xr:uid="{00000000-0005-0000-0000-0000D9070000}"/>
    <cellStyle name="Overskrift 3" xfId="2010" xr:uid="{00000000-0005-0000-0000-0000DA070000}"/>
    <cellStyle name="Overskrift 4" xfId="2011" xr:uid="{00000000-0005-0000-0000-0000DB070000}"/>
    <cellStyle name="Per cent" xfId="1" builtinId="5"/>
    <cellStyle name="Percent 10" xfId="2123" xr:uid="{00000000-0005-0000-0000-00004B080000}"/>
    <cellStyle name="Percent 11" xfId="2254" xr:uid="{00000000-0005-0000-0000-0000CE080000}"/>
    <cellStyle name="Percent 15" xfId="65" xr:uid="{00000000-0005-0000-0000-000041000000}"/>
    <cellStyle name="Percent 2" xfId="66" xr:uid="{00000000-0005-0000-0000-000042000000}"/>
    <cellStyle name="Percent 2 2" xfId="67" xr:uid="{00000000-0005-0000-0000-000043000000}"/>
    <cellStyle name="Percent 2 3" xfId="2012" xr:uid="{00000000-0005-0000-0000-0000DC070000}"/>
    <cellStyle name="Percent 3" xfId="68" xr:uid="{00000000-0005-0000-0000-000044000000}"/>
    <cellStyle name="Percent 3 2" xfId="2013" xr:uid="{00000000-0005-0000-0000-0000DD070000}"/>
    <cellStyle name="Percent 4" xfId="69" xr:uid="{00000000-0005-0000-0000-000045000000}"/>
    <cellStyle name="Percent 4 2" xfId="2093" xr:uid="{00000000-0005-0000-0000-00002D080000}"/>
    <cellStyle name="Percent 4 2 2" xfId="2221" xr:uid="{00000000-0005-0000-0000-0000AD080000}"/>
    <cellStyle name="Percent 5" xfId="70" xr:uid="{00000000-0005-0000-0000-000046000000}"/>
    <cellStyle name="Percent 5 2" xfId="83" xr:uid="{00000000-0005-0000-0000-000053000000}"/>
    <cellStyle name="Percent 6" xfId="64" xr:uid="{00000000-0005-0000-0000-000040000000}"/>
    <cellStyle name="Percent 6 2" xfId="82" xr:uid="{00000000-0005-0000-0000-000052000000}"/>
    <cellStyle name="Percent 7" xfId="76" xr:uid="{00000000-0005-0000-0000-00004C000000}"/>
    <cellStyle name="Percent 7 2" xfId="2114" xr:uid="{00000000-0005-0000-0000-000042080000}"/>
    <cellStyle name="Percent 7 2 2" xfId="2227" xr:uid="{00000000-0005-0000-0000-0000B3080000}"/>
    <cellStyle name="Percent 7 3" xfId="2140" xr:uid="{00000000-0005-0000-0000-00005C080000}"/>
    <cellStyle name="Percent 8" xfId="2071" xr:uid="{00000000-0005-0000-0000-000017080000}"/>
    <cellStyle name="Percent 9" xfId="2113" xr:uid="{00000000-0005-0000-0000-000041080000}"/>
    <cellStyle name="Percent 9 2" xfId="2226" xr:uid="{00000000-0005-0000-0000-0000B2080000}"/>
    <cellStyle name="Percent 9 2 2" xfId="71" xr:uid="{00000000-0005-0000-0000-000047000000}"/>
    <cellStyle name="Percent 9 3" xfId="72" xr:uid="{00000000-0005-0000-0000-000048000000}"/>
    <cellStyle name="RangeName" xfId="73" xr:uid="{00000000-0005-0000-0000-000049000000}"/>
    <cellStyle name="Rubrik" xfId="2014" xr:uid="{00000000-0005-0000-0000-0000DE070000}"/>
    <cellStyle name="Rubrik 1" xfId="2015" xr:uid="{00000000-0005-0000-0000-0000DF070000}"/>
    <cellStyle name="Rubrik 2" xfId="2016" xr:uid="{00000000-0005-0000-0000-0000E0070000}"/>
    <cellStyle name="Rubrik 3" xfId="2017" xr:uid="{00000000-0005-0000-0000-0000E1070000}"/>
    <cellStyle name="Rubrik 4" xfId="2018" xr:uid="{00000000-0005-0000-0000-0000E2070000}"/>
    <cellStyle name="Sammenkædet celle" xfId="2019" xr:uid="{00000000-0005-0000-0000-0000E3070000}"/>
    <cellStyle name="SAPBEXaggData" xfId="2020" xr:uid="{00000000-0005-0000-0000-0000E4070000}"/>
    <cellStyle name="SAPBEXaggData 2" xfId="2180" xr:uid="{00000000-0005-0000-0000-000084080000}"/>
    <cellStyle name="SAPBEXaggData 3" xfId="2156" xr:uid="{00000000-0005-0000-0000-00006C080000}"/>
    <cellStyle name="SAPBEXaggDataEmph" xfId="2021" xr:uid="{00000000-0005-0000-0000-0000E5070000}"/>
    <cellStyle name="SAPBEXaggDataEmph 2" xfId="2181" xr:uid="{00000000-0005-0000-0000-000085080000}"/>
    <cellStyle name="SAPBEXaggDataEmph 3" xfId="2155" xr:uid="{00000000-0005-0000-0000-00006B080000}"/>
    <cellStyle name="SAPBEXaggItem" xfId="2022" xr:uid="{00000000-0005-0000-0000-0000E6070000}"/>
    <cellStyle name="SAPBEXaggItem 2" xfId="2182" xr:uid="{00000000-0005-0000-0000-000086080000}"/>
    <cellStyle name="SAPBEXaggItem 3" xfId="2154" xr:uid="{00000000-0005-0000-0000-00006A080000}"/>
    <cellStyle name="SAPBEXaggItemX" xfId="2023" xr:uid="{00000000-0005-0000-0000-0000E7070000}"/>
    <cellStyle name="SAPBEXaggItemX 2" xfId="2183" xr:uid="{00000000-0005-0000-0000-000087080000}"/>
    <cellStyle name="SAPBEXaggItemX 3" xfId="2153" xr:uid="{00000000-0005-0000-0000-000069080000}"/>
    <cellStyle name="SAPBEXchaText" xfId="2024" xr:uid="{00000000-0005-0000-0000-0000E8070000}"/>
    <cellStyle name="SAPBEXexcBad7" xfId="2025" xr:uid="{00000000-0005-0000-0000-0000E9070000}"/>
    <cellStyle name="SAPBEXexcBad7 2" xfId="2184" xr:uid="{00000000-0005-0000-0000-000088080000}"/>
    <cellStyle name="SAPBEXexcBad7 3" xfId="2152" xr:uid="{00000000-0005-0000-0000-000068080000}"/>
    <cellStyle name="SAPBEXexcBad8" xfId="2026" xr:uid="{00000000-0005-0000-0000-0000EA070000}"/>
    <cellStyle name="SAPBEXexcBad8 2" xfId="2185" xr:uid="{00000000-0005-0000-0000-000089080000}"/>
    <cellStyle name="SAPBEXexcBad8 3" xfId="2151" xr:uid="{00000000-0005-0000-0000-000067080000}"/>
    <cellStyle name="SAPBEXexcBad9" xfId="2027" xr:uid="{00000000-0005-0000-0000-0000EB070000}"/>
    <cellStyle name="SAPBEXexcBad9 2" xfId="2186" xr:uid="{00000000-0005-0000-0000-00008A080000}"/>
    <cellStyle name="SAPBEXexcBad9 3" xfId="2150" xr:uid="{00000000-0005-0000-0000-000066080000}"/>
    <cellStyle name="SAPBEXexcCritical4" xfId="2028" xr:uid="{00000000-0005-0000-0000-0000EC070000}"/>
    <cellStyle name="SAPBEXexcCritical4 2" xfId="2187" xr:uid="{00000000-0005-0000-0000-00008B080000}"/>
    <cellStyle name="SAPBEXexcCritical4 3" xfId="2149" xr:uid="{00000000-0005-0000-0000-000065080000}"/>
    <cellStyle name="SAPBEXexcCritical5" xfId="2029" xr:uid="{00000000-0005-0000-0000-0000ED070000}"/>
    <cellStyle name="SAPBEXexcCritical5 2" xfId="2188" xr:uid="{00000000-0005-0000-0000-00008C080000}"/>
    <cellStyle name="SAPBEXexcCritical5 3" xfId="2148" xr:uid="{00000000-0005-0000-0000-000064080000}"/>
    <cellStyle name="SAPBEXexcCritical6" xfId="2030" xr:uid="{00000000-0005-0000-0000-0000EE070000}"/>
    <cellStyle name="SAPBEXexcCritical6 2" xfId="2189" xr:uid="{00000000-0005-0000-0000-00008D080000}"/>
    <cellStyle name="SAPBEXexcCritical6 3" xfId="2147" xr:uid="{00000000-0005-0000-0000-000063080000}"/>
    <cellStyle name="SAPBEXexcGood1" xfId="2031" xr:uid="{00000000-0005-0000-0000-0000EF070000}"/>
    <cellStyle name="SAPBEXexcGood1 2" xfId="2190" xr:uid="{00000000-0005-0000-0000-00008E080000}"/>
    <cellStyle name="SAPBEXexcGood1 3" xfId="2146" xr:uid="{00000000-0005-0000-0000-000062080000}"/>
    <cellStyle name="SAPBEXexcGood2" xfId="2032" xr:uid="{00000000-0005-0000-0000-0000F0070000}"/>
    <cellStyle name="SAPBEXexcGood2 2" xfId="2191" xr:uid="{00000000-0005-0000-0000-00008F080000}"/>
    <cellStyle name="SAPBEXexcGood2 3" xfId="2145" xr:uid="{00000000-0005-0000-0000-000061080000}"/>
    <cellStyle name="SAPBEXexcGood3" xfId="2033" xr:uid="{00000000-0005-0000-0000-0000F1070000}"/>
    <cellStyle name="SAPBEXexcGood3 2" xfId="2192" xr:uid="{00000000-0005-0000-0000-000090080000}"/>
    <cellStyle name="SAPBEXexcGood3 3" xfId="2144" xr:uid="{00000000-0005-0000-0000-000060080000}"/>
    <cellStyle name="SAPBEXfilterDrill" xfId="2034" xr:uid="{00000000-0005-0000-0000-0000F2070000}"/>
    <cellStyle name="SAPBEXfilterItem" xfId="2035" xr:uid="{00000000-0005-0000-0000-0000F3070000}"/>
    <cellStyle name="SAPBEXfilterText" xfId="2036" xr:uid="{00000000-0005-0000-0000-0000F4070000}"/>
    <cellStyle name="SAPBEXformats" xfId="2037" xr:uid="{00000000-0005-0000-0000-0000F5070000}"/>
    <cellStyle name="SAPBEXformats 2" xfId="2193" xr:uid="{00000000-0005-0000-0000-000091080000}"/>
    <cellStyle name="SAPBEXformats 3" xfId="2143" xr:uid="{00000000-0005-0000-0000-00005F080000}"/>
    <cellStyle name="SAPBEXheaderItem" xfId="2038" xr:uid="{00000000-0005-0000-0000-0000F6070000}"/>
    <cellStyle name="SAPBEXheaderText" xfId="2039" xr:uid="{00000000-0005-0000-0000-0000F7070000}"/>
    <cellStyle name="SAPBEXHLevel0" xfId="2040" xr:uid="{00000000-0005-0000-0000-0000F8070000}"/>
    <cellStyle name="SAPBEXHLevel0 2" xfId="2194" xr:uid="{00000000-0005-0000-0000-000092080000}"/>
    <cellStyle name="SAPBEXHLevel0 3" xfId="2230" xr:uid="{00000000-0005-0000-0000-0000B6080000}"/>
    <cellStyle name="SAPBEXHLevel0X" xfId="2041" xr:uid="{00000000-0005-0000-0000-0000F9070000}"/>
    <cellStyle name="SAPBEXHLevel0X 2" xfId="2195" xr:uid="{00000000-0005-0000-0000-000093080000}"/>
    <cellStyle name="SAPBEXHLevel0X 3" xfId="2231" xr:uid="{00000000-0005-0000-0000-0000B7080000}"/>
    <cellStyle name="SAPBEXHLevel1" xfId="2042" xr:uid="{00000000-0005-0000-0000-0000FA070000}"/>
    <cellStyle name="SAPBEXHLevel1 2" xfId="2196" xr:uid="{00000000-0005-0000-0000-000094080000}"/>
    <cellStyle name="SAPBEXHLevel1 3" xfId="2232" xr:uid="{00000000-0005-0000-0000-0000B8080000}"/>
    <cellStyle name="SAPBEXHLevel1X" xfId="2043" xr:uid="{00000000-0005-0000-0000-0000FB070000}"/>
    <cellStyle name="SAPBEXHLevel1X 2" xfId="2197" xr:uid="{00000000-0005-0000-0000-000095080000}"/>
    <cellStyle name="SAPBEXHLevel1X 3" xfId="2233" xr:uid="{00000000-0005-0000-0000-0000B9080000}"/>
    <cellStyle name="SAPBEXHLevel2" xfId="2044" xr:uid="{00000000-0005-0000-0000-0000FC070000}"/>
    <cellStyle name="SAPBEXHLevel2 2" xfId="2198" xr:uid="{00000000-0005-0000-0000-000096080000}"/>
    <cellStyle name="SAPBEXHLevel2 3" xfId="2234" xr:uid="{00000000-0005-0000-0000-0000BA080000}"/>
    <cellStyle name="SAPBEXHLevel2X" xfId="2045" xr:uid="{00000000-0005-0000-0000-0000FD070000}"/>
    <cellStyle name="SAPBEXHLevel2X 2" xfId="2199" xr:uid="{00000000-0005-0000-0000-000097080000}"/>
    <cellStyle name="SAPBEXHLevel2X 3" xfId="2235" xr:uid="{00000000-0005-0000-0000-0000BB080000}"/>
    <cellStyle name="SAPBEXHLevel3" xfId="2046" xr:uid="{00000000-0005-0000-0000-0000FE070000}"/>
    <cellStyle name="SAPBEXHLevel3 2" xfId="2200" xr:uid="{00000000-0005-0000-0000-000098080000}"/>
    <cellStyle name="SAPBEXHLevel3 3" xfId="2236" xr:uid="{00000000-0005-0000-0000-0000BC080000}"/>
    <cellStyle name="SAPBEXHLevel3X" xfId="2047" xr:uid="{00000000-0005-0000-0000-0000FF070000}"/>
    <cellStyle name="SAPBEXHLevel3X 2" xfId="2201" xr:uid="{00000000-0005-0000-0000-000099080000}"/>
    <cellStyle name="SAPBEXHLevel3X 3" xfId="2237" xr:uid="{00000000-0005-0000-0000-0000BD080000}"/>
    <cellStyle name="SAPBEXinputData" xfId="2048" xr:uid="{00000000-0005-0000-0000-000000080000}"/>
    <cellStyle name="SAPBEXItemHeader" xfId="2049" xr:uid="{00000000-0005-0000-0000-000001080000}"/>
    <cellStyle name="SAPBEXItemHeader 2" xfId="2202" xr:uid="{00000000-0005-0000-0000-00009A080000}"/>
    <cellStyle name="SAPBEXItemHeader 3" xfId="2238" xr:uid="{00000000-0005-0000-0000-0000BE080000}"/>
    <cellStyle name="SAPBEXresData" xfId="2050" xr:uid="{00000000-0005-0000-0000-000002080000}"/>
    <cellStyle name="SAPBEXresData 2" xfId="2203" xr:uid="{00000000-0005-0000-0000-00009B080000}"/>
    <cellStyle name="SAPBEXresData 3" xfId="2239" xr:uid="{00000000-0005-0000-0000-0000BF080000}"/>
    <cellStyle name="SAPBEXresDataEmph" xfId="2051" xr:uid="{00000000-0005-0000-0000-000003080000}"/>
    <cellStyle name="SAPBEXresDataEmph 2" xfId="2204" xr:uid="{00000000-0005-0000-0000-00009C080000}"/>
    <cellStyle name="SAPBEXresDataEmph 3" xfId="2240" xr:uid="{00000000-0005-0000-0000-0000C0080000}"/>
    <cellStyle name="SAPBEXresItem" xfId="2052" xr:uid="{00000000-0005-0000-0000-000004080000}"/>
    <cellStyle name="SAPBEXresItem 2" xfId="2205" xr:uid="{00000000-0005-0000-0000-00009D080000}"/>
    <cellStyle name="SAPBEXresItem 3" xfId="2241" xr:uid="{00000000-0005-0000-0000-0000C1080000}"/>
    <cellStyle name="SAPBEXresItemX" xfId="2053" xr:uid="{00000000-0005-0000-0000-000005080000}"/>
    <cellStyle name="SAPBEXresItemX 2" xfId="2206" xr:uid="{00000000-0005-0000-0000-00009E080000}"/>
    <cellStyle name="SAPBEXresItemX 3" xfId="2242" xr:uid="{00000000-0005-0000-0000-0000C2080000}"/>
    <cellStyle name="SAPBEXstdData" xfId="2054" xr:uid="{00000000-0005-0000-0000-000006080000}"/>
    <cellStyle name="SAPBEXstdData 2" xfId="2207" xr:uid="{00000000-0005-0000-0000-00009F080000}"/>
    <cellStyle name="SAPBEXstdData 3" xfId="2243" xr:uid="{00000000-0005-0000-0000-0000C3080000}"/>
    <cellStyle name="SAPBEXstdDataEmph" xfId="2055" xr:uid="{00000000-0005-0000-0000-000007080000}"/>
    <cellStyle name="SAPBEXstdDataEmph 2" xfId="2208" xr:uid="{00000000-0005-0000-0000-0000A0080000}"/>
    <cellStyle name="SAPBEXstdDataEmph 3" xfId="2244" xr:uid="{00000000-0005-0000-0000-0000C4080000}"/>
    <cellStyle name="SAPBEXstdItem" xfId="2056" xr:uid="{00000000-0005-0000-0000-000008080000}"/>
    <cellStyle name="SAPBEXstdItem 2" xfId="2209" xr:uid="{00000000-0005-0000-0000-0000A1080000}"/>
    <cellStyle name="SAPBEXstdItem 3" xfId="2245" xr:uid="{00000000-0005-0000-0000-0000C5080000}"/>
    <cellStyle name="SAPBEXstdItemX" xfId="2057" xr:uid="{00000000-0005-0000-0000-000009080000}"/>
    <cellStyle name="SAPBEXstdItemX 2" xfId="2210" xr:uid="{00000000-0005-0000-0000-0000A2080000}"/>
    <cellStyle name="SAPBEXstdItemX 3" xfId="2246" xr:uid="{00000000-0005-0000-0000-0000C6080000}"/>
    <cellStyle name="SAPBEXtitle" xfId="2058" xr:uid="{00000000-0005-0000-0000-00000A080000}"/>
    <cellStyle name="SAPBEXtitle 2" xfId="2211" xr:uid="{00000000-0005-0000-0000-0000A3080000}"/>
    <cellStyle name="SAPBEXtitle 3" xfId="2247" xr:uid="{00000000-0005-0000-0000-0000C7080000}"/>
    <cellStyle name="SAPBEXunassignedItem" xfId="2059" xr:uid="{00000000-0005-0000-0000-00000B080000}"/>
    <cellStyle name="SAPBEXundefined" xfId="2060" xr:uid="{00000000-0005-0000-0000-00000C080000}"/>
    <cellStyle name="SAPBEXundefined 2" xfId="2212" xr:uid="{00000000-0005-0000-0000-0000A4080000}"/>
    <cellStyle name="SAPBEXundefined 3" xfId="2248" xr:uid="{00000000-0005-0000-0000-0000C8080000}"/>
    <cellStyle name="Sheet Title" xfId="2061" xr:uid="{00000000-0005-0000-0000-00000D080000}"/>
    <cellStyle name="Style 1" xfId="74" xr:uid="{00000000-0005-0000-0000-00004A000000}"/>
    <cellStyle name="Style 1 2" xfId="2062" xr:uid="{00000000-0005-0000-0000-00000E080000}"/>
    <cellStyle name="Sub-total" xfId="2063" xr:uid="{00000000-0005-0000-0000-00000F080000}"/>
    <cellStyle name="Sub-total 2" xfId="2213" xr:uid="{00000000-0005-0000-0000-0000A5080000}"/>
    <cellStyle name="Sub-total 3" xfId="2249" xr:uid="{00000000-0005-0000-0000-0000C9080000}"/>
    <cellStyle name="Summa" xfId="2064" xr:uid="{00000000-0005-0000-0000-000010080000}"/>
    <cellStyle name="Summa 2" xfId="2214" xr:uid="{00000000-0005-0000-0000-0000A6080000}"/>
    <cellStyle name="Summa 3" xfId="2250" xr:uid="{00000000-0005-0000-0000-0000CA080000}"/>
    <cellStyle name="Text" xfId="2065" xr:uid="{00000000-0005-0000-0000-000011080000}"/>
    <cellStyle name="Titel" xfId="2066" xr:uid="{00000000-0005-0000-0000-000012080000}"/>
    <cellStyle name="Totals" xfId="2067" xr:uid="{00000000-0005-0000-0000-000013080000}"/>
    <cellStyle name="Ugyldig" xfId="2068" xr:uid="{00000000-0005-0000-0000-000014080000}"/>
    <cellStyle name="Utdata" xfId="2069" xr:uid="{00000000-0005-0000-0000-000015080000}"/>
    <cellStyle name="Utdata 2" xfId="2215" xr:uid="{00000000-0005-0000-0000-0000A7080000}"/>
    <cellStyle name="Utdata 3" xfId="2251" xr:uid="{00000000-0005-0000-0000-0000CB080000}"/>
    <cellStyle name="Varningstext" xfId="2070" xr:uid="{00000000-0005-0000-0000-000016080000}"/>
  </cellStyles>
  <dxfs count="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94187" cy="716559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994187" cy="716559"/>
        </a:xfrm>
        <a:prstGeom prst="rect">
          <a:avLst/>
        </a:prstGeom>
        <a:ln>
          <a:prstDash val="solid"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ationalgridplc-my.sharepoint.com/AndrewStone/offshore%20savings/Lincs/2014.01.17_Lincs%20TCP%20models/Lincs_Perm%20Changes_Delevere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onfs01/data/AndrewStone/offshore%20savings/Lincs/2014.01.17_Lincs%20TCP%20models/Lincs_Perm%20Changes_Delever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Charts "/>
      <sheetName val="TM_Change"/>
      <sheetName val="P&amp;L"/>
      <sheetName val="CF"/>
      <sheetName val="CF Original"/>
      <sheetName val="CF Delta"/>
      <sheetName val="BalSht"/>
      <sheetName val="Summary"/>
      <sheetName val="Sens Analysis"/>
      <sheetName val="Sens"/>
      <sheetName val="InputC"/>
      <sheetName val="InputM"/>
      <sheetName val="InputSA"/>
      <sheetName val="Calcs M"/>
      <sheetName val="Calcs SA"/>
      <sheetName val="Ratios"/>
      <sheetName val="Checks"/>
      <sheetName val="MSA"/>
      <sheetName val="Analysis template"/>
      <sheetName val="Proj IRR"/>
      <sheetName val="Swap Profiles"/>
      <sheetName val="Swap Profiles - EIB"/>
      <sheetName val="Databook M"/>
      <sheetName val="GapList_1"/>
      <sheetName val="GapList_2"/>
      <sheetName val="GapList_3"/>
      <sheetName val="Gaps list 3a"/>
      <sheetName val="GapList_4"/>
      <sheetName val="Gaps list 5"/>
      <sheetName val="fis-Cover"/>
      <sheetName val="fis1-General Data"/>
      <sheetName val="fis2-Analysis-Insurance"/>
      <sheetName val="fis3-Analysis-TRS Components"/>
      <sheetName val="fis4-Funding Data"/>
      <sheetName val="fis5-Yearly Data"/>
      <sheetName val="fis6-Tax Pool Allocations"/>
      <sheetName val="fis7-Output Page"/>
      <sheetName val="fis-Standard Data"/>
      <sheetName val="fis-Integrity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38">
          <cell r="B38">
            <v>0.18</v>
          </cell>
        </row>
        <row r="39">
          <cell r="B39">
            <v>0.08</v>
          </cell>
        </row>
        <row r="40">
          <cell r="B40">
            <v>1</v>
          </cell>
        </row>
        <row r="41">
          <cell r="B41">
            <v>0</v>
          </cell>
        </row>
      </sheetData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Charts "/>
      <sheetName val="TM_Change"/>
      <sheetName val="P&amp;L"/>
      <sheetName val="CF"/>
      <sheetName val="CF Original"/>
      <sheetName val="CF Delta"/>
      <sheetName val="BalSht"/>
      <sheetName val="Summary"/>
      <sheetName val="Sens Analysis"/>
      <sheetName val="Sens"/>
      <sheetName val="InputC"/>
      <sheetName val="InputM"/>
      <sheetName val="InputSA"/>
      <sheetName val="Calcs M"/>
      <sheetName val="Calcs SA"/>
      <sheetName val="Ratios"/>
      <sheetName val="Checks"/>
      <sheetName val="MSA"/>
      <sheetName val="Analysis template"/>
      <sheetName val="Proj IRR"/>
      <sheetName val="Swap Profiles"/>
      <sheetName val="Swap Profiles - EIB"/>
      <sheetName val="Databook M"/>
      <sheetName val="GapList_1"/>
      <sheetName val="GapList_2"/>
      <sheetName val="GapList_3"/>
      <sheetName val="Gaps list 3a"/>
      <sheetName val="GapList_4"/>
      <sheetName val="Gaps list 5"/>
      <sheetName val="fis-Cover"/>
      <sheetName val="fis1-General Data"/>
      <sheetName val="fis2-Analysis-Insurance"/>
      <sheetName val="fis3-Analysis-TRS Components"/>
      <sheetName val="fis4-Funding Data"/>
      <sheetName val="fis5-Yearly Data"/>
      <sheetName val="fis6-Tax Pool Allocations"/>
      <sheetName val="fis7-Output Page"/>
      <sheetName val="fis-Standard Data"/>
      <sheetName val="fis-Integrity Check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38">
          <cell r="B38">
            <v>0.18</v>
          </cell>
        </row>
        <row r="39">
          <cell r="B39">
            <v>0.08</v>
          </cell>
        </row>
        <row r="40">
          <cell r="B40">
            <v>1</v>
          </cell>
        </row>
        <row r="41">
          <cell r="B41">
            <v>0</v>
          </cell>
        </row>
      </sheetData>
      <sheetData sheetId="3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sharepoint2013/sgg/Transmission/Elec_Trans_Lib/02%20Investment/Interconnectors/Project/C+F%20Window%201/11%20PCR/Nemo/Decision/Publication%20pack%20(pdf)/5.%20CFFM%20docs/Appendix%206%20-%20NLCFFM1.xlsm" TargetMode="External"/><Relationship Id="rId2" Type="http://schemas.openxmlformats.org/officeDocument/2006/relationships/hyperlink" Target="http://sharepoint2013/sgg/Transmission/Elec_Trans_Lib/02%20Investment/Interconnectors/Cap%20and%20Floor%20Financial%20Models/NEMO/Nemo%20(PCR)%20CFFM1%20and%20CFFM2/Nemo%20(PCR)%20CFFM1%20and%20CFFM2%20preAudit/Standard%20CFFM_1%20(provisional%20Nemo%20PC" TargetMode="External"/><Relationship Id="rId1" Type="http://schemas.openxmlformats.org/officeDocument/2006/relationships/hyperlink" Target="http://sharepoint2013/sgg/Transmission/Elec_Trans_Lib/02%20Investment/Interconnectors/Cap%20and%20Floor%20Financial%20Models/NEMO/Nemo_CFFM_Jan2017_Ofgem.xlsx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ns.gov.uk/economy/inflationandpriceindices/timeseries/chaw/mm23" TargetMode="External"/><Relationship Id="rId2" Type="http://schemas.openxmlformats.org/officeDocument/2006/relationships/hyperlink" Target="https://www.ons.gov.uk/economy/inflationandpriceindices/timeseries/chaw/mm23" TargetMode="External"/><Relationship Id="rId1" Type="http://schemas.openxmlformats.org/officeDocument/2006/relationships/hyperlink" Target="https://www.ons.gov.uk/economy/inflationandpriceindices/timeseries/chaw/mm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theme="5" tint="0.59999389629810485"/>
    <pageSetUpPr fitToPage="1"/>
  </sheetPr>
  <dimension ref="A1:H43"/>
  <sheetViews>
    <sheetView showGridLines="0" zoomScaleNormal="100" workbookViewId="0">
      <pane ySplit="6" topLeftCell="A7" activePane="bottomLeft" state="frozen"/>
      <selection activeCell="G26" sqref="G26"/>
      <selection pane="bottomLeft" activeCell="G28" sqref="G28"/>
    </sheetView>
  </sheetViews>
  <sheetFormatPr baseColWidth="10" defaultColWidth="0" defaultRowHeight="0" customHeight="1" zeroHeight="1"/>
  <cols>
    <col min="1" max="4" width="1.59765625" style="42" customWidth="1"/>
    <col min="5" max="5" width="19" style="42" customWidth="1"/>
    <col min="6" max="6" width="2.796875" style="42" customWidth="1"/>
    <col min="7" max="7" width="96.3984375" style="42" customWidth="1"/>
    <col min="8" max="8" width="3" customWidth="1"/>
    <col min="9" max="11" width="13" style="42" hidden="1" customWidth="1"/>
    <col min="12" max="16384" width="13" style="42" hidden="1"/>
  </cols>
  <sheetData>
    <row r="1" spans="1:7" ht="57" customHeight="1"/>
    <row r="2" spans="1:7" s="38" customFormat="1" ht="21" customHeight="1">
      <c r="A2" s="36" t="s">
        <v>0</v>
      </c>
      <c r="B2" s="37"/>
      <c r="C2" s="37"/>
      <c r="D2" s="37"/>
      <c r="E2" s="37"/>
    </row>
    <row r="3" spans="1:7" s="38" customFormat="1" ht="15.5" customHeight="1">
      <c r="A3" s="39"/>
      <c r="B3" s="39" t="s">
        <v>1</v>
      </c>
      <c r="C3" s="37"/>
      <c r="D3" s="37"/>
      <c r="E3" s="37"/>
    </row>
    <row r="4" spans="1:7" s="38" customFormat="1" ht="15" customHeight="1">
      <c r="A4" s="37"/>
      <c r="B4" s="37"/>
      <c r="C4" s="40" t="str">
        <f ca="1">MID(CELL("filename"),SEARCH("[",CELL("filename"))+1,SEARCH("]",CELL("filename"))-SEARCH("[",CELL("filename"))-1)</f>
        <v>IFA2CFFM1_PCR_decision_W3.xlsm</v>
      </c>
      <c r="D4" s="40"/>
      <c r="E4" s="40"/>
      <c r="F4" s="41"/>
      <c r="G4" s="41"/>
    </row>
    <row r="5" spans="1:7" s="38" customFormat="1" ht="13" customHeight="1">
      <c r="A5" s="37"/>
      <c r="B5" s="37"/>
      <c r="C5" s="214" t="s">
        <v>2</v>
      </c>
      <c r="D5" s="215"/>
      <c r="E5" s="215"/>
      <c r="F5" s="215"/>
      <c r="G5" s="215"/>
    </row>
    <row r="6" spans="1:7" s="38" customFormat="1" ht="13" customHeight="1">
      <c r="A6" s="37"/>
      <c r="B6" s="37"/>
      <c r="C6" s="205" t="s">
        <v>3</v>
      </c>
      <c r="D6" s="206"/>
      <c r="E6" s="206"/>
      <c r="F6" s="206"/>
      <c r="G6" s="206"/>
    </row>
    <row r="7" spans="1:7" ht="15" customHeight="1">
      <c r="B7" s="43"/>
    </row>
    <row r="8" spans="1:7" s="4" customFormat="1" ht="15" customHeight="1">
      <c r="B8" s="126" t="s">
        <v>4</v>
      </c>
      <c r="C8" s="13"/>
      <c r="D8" s="13"/>
      <c r="E8" s="13"/>
      <c r="F8" s="13"/>
      <c r="G8" s="13"/>
    </row>
    <row r="9" spans="1:7" s="4" customFormat="1" ht="15" customHeight="1">
      <c r="E9" s="19"/>
      <c r="G9" s="1"/>
    </row>
    <row r="10" spans="1:7" s="4" customFormat="1" ht="15" customHeight="1">
      <c r="E10" s="1" t="s">
        <v>5</v>
      </c>
      <c r="G10" s="1" t="s">
        <v>6</v>
      </c>
    </row>
    <row r="11" spans="1:7" s="4" customFormat="1" ht="15" customHeight="1">
      <c r="E11" s="46" t="s">
        <v>5</v>
      </c>
      <c r="G11" s="4" t="s">
        <v>7</v>
      </c>
    </row>
    <row r="12" spans="1:7" s="4" customFormat="1" ht="15" customHeight="1">
      <c r="E12" s="44" t="s">
        <v>5</v>
      </c>
      <c r="G12" s="1" t="s">
        <v>8</v>
      </c>
    </row>
    <row r="13" spans="1:7" s="4" customFormat="1" ht="15" customHeight="1">
      <c r="E13" s="45" t="s">
        <v>5</v>
      </c>
      <c r="G13" s="1" t="s">
        <v>9</v>
      </c>
    </row>
    <row r="14" spans="1:7" s="4" customFormat="1" ht="15" customHeight="1">
      <c r="E14" s="185" t="s">
        <v>5</v>
      </c>
      <c r="G14" s="1" t="s">
        <v>10</v>
      </c>
    </row>
    <row r="15" spans="1:7" s="4" customFormat="1" ht="15" customHeight="1">
      <c r="E15" s="50" t="s">
        <v>5</v>
      </c>
      <c r="G15" s="4" t="s">
        <v>11</v>
      </c>
    </row>
    <row r="16" spans="1:7" s="4" customFormat="1" ht="15" customHeight="1">
      <c r="E16" s="110" t="s">
        <v>5</v>
      </c>
      <c r="G16" s="4" t="s">
        <v>12</v>
      </c>
    </row>
    <row r="17" spans="2:7" s="4" customFormat="1" ht="15" customHeight="1">
      <c r="E17" s="51" t="s">
        <v>5</v>
      </c>
      <c r="G17" s="4" t="s">
        <v>13</v>
      </c>
    </row>
    <row r="18" spans="2:7" s="4" customFormat="1" ht="15" customHeight="1">
      <c r="E18" s="3" t="s">
        <v>5</v>
      </c>
      <c r="G18" s="4" t="s">
        <v>14</v>
      </c>
    </row>
    <row r="19" spans="2:7" s="4" customFormat="1" ht="15" customHeight="1">
      <c r="E19" s="55" t="s">
        <v>5</v>
      </c>
      <c r="G19" s="4" t="s">
        <v>15</v>
      </c>
    </row>
    <row r="20" spans="2:7" s="4" customFormat="1" ht="15" customHeight="1"/>
    <row r="21" spans="2:7" s="4" customFormat="1" ht="15" customHeight="1">
      <c r="B21" s="126" t="s">
        <v>16</v>
      </c>
      <c r="C21" s="13"/>
      <c r="D21" s="13"/>
      <c r="E21" s="13"/>
      <c r="F21" s="13"/>
      <c r="G21" s="13"/>
    </row>
    <row r="22" spans="2:7" s="4" customFormat="1" ht="15" customHeight="1" thickBot="1">
      <c r="E22" s="19"/>
      <c r="G22" s="1"/>
    </row>
    <row r="23" spans="2:7" s="4" customFormat="1" ht="15" customHeight="1" thickBot="1">
      <c r="E23" s="137" t="s">
        <v>17</v>
      </c>
      <c r="F23" s="134"/>
      <c r="G23" s="47" t="s">
        <v>18</v>
      </c>
    </row>
    <row r="24" spans="2:7" s="4" customFormat="1" ht="15" customHeight="1" thickBot="1">
      <c r="E24" s="137" t="s">
        <v>19</v>
      </c>
      <c r="F24" s="146"/>
      <c r="G24" s="47" t="s">
        <v>20</v>
      </c>
    </row>
    <row r="25" spans="2:7" s="4" customFormat="1" ht="15" customHeight="1" thickTop="1" thickBot="1">
      <c r="E25" s="137" t="s">
        <v>21</v>
      </c>
      <c r="F25" s="48"/>
      <c r="G25" s="47" t="s">
        <v>22</v>
      </c>
    </row>
    <row r="26" spans="2:7" s="4" customFormat="1" ht="15" customHeight="1" thickTop="1" thickBot="1">
      <c r="E26" s="137" t="s">
        <v>23</v>
      </c>
      <c r="F26" s="48"/>
      <c r="G26" s="47" t="s">
        <v>24</v>
      </c>
    </row>
    <row r="27" spans="2:7" s="4" customFormat="1" ht="15" customHeight="1" thickTop="1" thickBot="1">
      <c r="E27" s="137" t="s">
        <v>25</v>
      </c>
      <c r="F27" s="49"/>
      <c r="G27" s="47" t="s">
        <v>26</v>
      </c>
    </row>
    <row r="28" spans="2:7" s="4" customFormat="1" ht="15" customHeight="1" thickBot="1">
      <c r="E28" s="137" t="s">
        <v>27</v>
      </c>
      <c r="F28" s="49"/>
      <c r="G28" s="47" t="s">
        <v>28</v>
      </c>
    </row>
    <row r="29" spans="2:7" s="4" customFormat="1" ht="15" customHeight="1" thickBot="1">
      <c r="E29" s="137" t="s">
        <v>29</v>
      </c>
      <c r="F29" s="49"/>
      <c r="G29" s="47" t="s">
        <v>30</v>
      </c>
    </row>
    <row r="30" spans="2:7" s="4" customFormat="1" ht="15" customHeight="1" thickBot="1">
      <c r="E30" s="137" t="s">
        <v>31</v>
      </c>
      <c r="F30" s="49"/>
      <c r="G30" s="47" t="s">
        <v>32</v>
      </c>
    </row>
    <row r="31" spans="2:7" s="4" customFormat="1" ht="15" customHeight="1" thickBot="1">
      <c r="E31" s="137" t="s">
        <v>33</v>
      </c>
      <c r="F31" s="49"/>
      <c r="G31" s="47" t="s">
        <v>34</v>
      </c>
    </row>
    <row r="32" spans="2:7" s="4" customFormat="1" ht="15" customHeight="1" thickBot="1">
      <c r="E32" s="137" t="s">
        <v>35</v>
      </c>
      <c r="F32" s="49"/>
      <c r="G32" s="47" t="s">
        <v>36</v>
      </c>
    </row>
    <row r="33" spans="2:7" s="4" customFormat="1" ht="15" customHeight="1" thickBot="1">
      <c r="E33" s="137" t="s">
        <v>37</v>
      </c>
      <c r="F33" s="49"/>
      <c r="G33" s="47" t="s">
        <v>38</v>
      </c>
    </row>
    <row r="34" spans="2:7" s="4" customFormat="1" ht="15" customHeight="1" thickBot="1">
      <c r="E34" s="137" t="s">
        <v>39</v>
      </c>
      <c r="F34" s="49"/>
      <c r="G34" s="47" t="s">
        <v>40</v>
      </c>
    </row>
    <row r="35" spans="2:7" s="4" customFormat="1" ht="15" customHeight="1" thickBot="1">
      <c r="E35" s="137" t="s">
        <v>41</v>
      </c>
      <c r="F35" s="133"/>
      <c r="G35" s="47" t="s">
        <v>42</v>
      </c>
    </row>
    <row r="36" spans="2:7" s="4" customFormat="1" ht="15" customHeight="1">
      <c r="E36" s="137"/>
      <c r="G36" s="47"/>
    </row>
    <row r="37" spans="2:7" s="4" customFormat="1" ht="15" customHeight="1">
      <c r="B37" s="13" t="s">
        <v>43</v>
      </c>
      <c r="C37" s="13"/>
      <c r="D37" s="13"/>
      <c r="E37" s="13"/>
      <c r="F37" s="13"/>
      <c r="G37" s="13"/>
    </row>
    <row r="38" spans="2:7" s="4" customFormat="1" ht="15" customHeight="1">
      <c r="E38" s="137"/>
      <c r="G38" s="47"/>
    </row>
    <row r="39" spans="2:7" s="4" customFormat="1" ht="15" customHeight="1">
      <c r="E39" s="5" t="s">
        <v>44</v>
      </c>
      <c r="F39" s="5"/>
      <c r="G39" s="195" t="str">
        <f>'Op Rav'!I27</f>
        <v>TRUE</v>
      </c>
    </row>
    <row r="40" spans="2:7" s="4" customFormat="1" ht="15" customHeight="1">
      <c r="E40" s="137"/>
      <c r="G40" s="47"/>
    </row>
    <row r="41" spans="2:7" s="4" customFormat="1" ht="15" customHeight="1">
      <c r="B41" s="13" t="s">
        <v>45</v>
      </c>
      <c r="C41" s="13"/>
      <c r="D41" s="13"/>
      <c r="E41" s="13"/>
      <c r="F41" s="13"/>
      <c r="G41" s="13"/>
    </row>
    <row r="42" spans="2:7" s="4" customFormat="1" ht="15" customHeight="1">
      <c r="E42" s="194"/>
      <c r="F42" s="194"/>
      <c r="G42" s="47"/>
    </row>
    <row r="43" spans="2:7" ht="15" hidden="1" customHeight="1"/>
  </sheetData>
  <mergeCells count="1">
    <mergeCell ref="C5:G5"/>
  </mergeCells>
  <hyperlinks>
    <hyperlink ref="E23" location="Cover!A1" display="Cover" xr:uid="{00000000-0004-0000-0000-000000000000}"/>
    <hyperlink ref="E24" location="'Version Control'!A1" display="Version Control" xr:uid="{00000000-0004-0000-0000-000001000000}"/>
    <hyperlink ref="E25" location="Inputs!A1" display="Inputs" xr:uid="{00000000-0004-0000-0000-000002000000}"/>
    <hyperlink ref="E26" location="'Data sources'!A1" display="Data sources" xr:uid="{00000000-0004-0000-0000-000003000000}"/>
    <hyperlink ref="E27" location="'Pre Op RAV'!A1" display="Pre Op RAV" xr:uid="{00000000-0004-0000-0000-000004000000}"/>
    <hyperlink ref="E28" location="Finance!A1" display="Finance" xr:uid="{00000000-0004-0000-0000-000005000000}"/>
    <hyperlink ref="E29" location="'Op Rav'!A1" display="Op RAV" xr:uid="{00000000-0004-0000-0000-000006000000}"/>
    <hyperlink ref="E30" location="'Allowances Cap'!A1" display="Allowances Cap" xr:uid="{00000000-0004-0000-0000-000007000000}"/>
    <hyperlink ref="E31" location="'Allowances Floor'!A1" display="Allowances Floor" xr:uid="{00000000-0004-0000-0000-000008000000}"/>
    <hyperlink ref="E32" location="'Tax Deductions'!A1" display="Tax Deductions" xr:uid="{00000000-0004-0000-0000-000009000000}"/>
    <hyperlink ref="E33" location="'Tax Cap'!A1" display="Tax Cap" xr:uid="{00000000-0004-0000-0000-00000A000000}"/>
    <hyperlink ref="E34" location="'Tax Floor'!A1" display="Tax Floor" xr:uid="{00000000-0004-0000-0000-00000B000000}"/>
    <hyperlink ref="E35" location="'Cap Floor Levels'!A1" display="Cap Floor Levels" xr:uid="{00000000-0004-0000-0000-00000C000000}"/>
  </hyperlinks>
  <pageMargins left="0.23622047244094491" right="0.23622047244094491" top="0.74803149606299213" bottom="0.74803149606299213" header="0.31496062992125978" footer="0.31496062992125978"/>
  <pageSetup paperSize="9" scale="88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5" tint="0.59999389629810485"/>
  </sheetPr>
  <dimension ref="A1:P23"/>
  <sheetViews>
    <sheetView zoomScaleNormal="100" workbookViewId="0">
      <pane ySplit="2" topLeftCell="A3" activePane="bottomLeft" state="frozen"/>
      <selection activeCell="H41" sqref="H41"/>
      <selection pane="bottomLeft" activeCell="G12" sqref="G12"/>
    </sheetView>
  </sheetViews>
  <sheetFormatPr baseColWidth="10" defaultColWidth="0" defaultRowHeight="14" zeroHeight="1"/>
  <cols>
    <col min="1" max="1" width="2.59765625" style="139" customWidth="1"/>
    <col min="2" max="2" width="13.19921875" style="139" bestFit="1" customWidth="1"/>
    <col min="3" max="4" width="13.19921875" style="139" customWidth="1"/>
    <col min="5" max="5" width="16.59765625" style="139" customWidth="1"/>
    <col min="6" max="6" width="10.796875" style="139" bestFit="1" customWidth="1"/>
    <col min="7" max="7" width="23.3984375" style="139" bestFit="1" customWidth="1"/>
    <col min="8" max="8" width="28.59765625" style="139" customWidth="1"/>
    <col min="9" max="9" width="16.796875" style="139" bestFit="1" customWidth="1"/>
    <col min="10" max="10" width="26.59765625" style="139" customWidth="1"/>
    <col min="11" max="11" width="16.796875" style="139" customWidth="1"/>
    <col min="12" max="12" width="18.19921875" style="139" customWidth="1"/>
    <col min="13" max="13" width="3" style="140" customWidth="1"/>
    <col min="14" max="16" width="13" style="139" hidden="1" customWidth="1"/>
    <col min="17" max="19" width="10.796875" style="139" hidden="1" customWidth="1"/>
    <col min="20" max="16384" width="10.796875" style="139" hidden="1"/>
  </cols>
  <sheetData>
    <row r="1" spans="1:13" s="143" customFormat="1" ht="14.5" customHeight="1">
      <c r="A1" s="193" t="s">
        <v>23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2"/>
    </row>
    <row r="2" spans="1:13" s="143" customFormat="1" ht="26" customHeight="1">
      <c r="A2" s="141"/>
      <c r="B2" s="192" t="s">
        <v>46</v>
      </c>
      <c r="C2" s="192" t="s">
        <v>47</v>
      </c>
      <c r="D2" s="192" t="s">
        <v>48</v>
      </c>
      <c r="E2" s="192" t="s">
        <v>49</v>
      </c>
      <c r="F2" s="192" t="s">
        <v>50</v>
      </c>
      <c r="G2" s="192" t="s">
        <v>51</v>
      </c>
      <c r="H2" s="192" t="s">
        <v>52</v>
      </c>
      <c r="I2" s="192" t="s">
        <v>53</v>
      </c>
      <c r="J2" s="192" t="s">
        <v>54</v>
      </c>
      <c r="K2" s="192" t="s">
        <v>55</v>
      </c>
      <c r="L2" s="192" t="s">
        <v>56</v>
      </c>
      <c r="M2" s="142"/>
    </row>
    <row r="3" spans="1:13"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</row>
    <row r="4" spans="1:13" ht="26" customHeight="1">
      <c r="B4" s="145">
        <v>1.1000000000000001</v>
      </c>
      <c r="C4" s="176" t="s">
        <v>57</v>
      </c>
      <c r="D4" s="147" t="s">
        <v>58</v>
      </c>
      <c r="E4" s="145" t="s">
        <v>59</v>
      </c>
      <c r="F4" s="148">
        <v>42766</v>
      </c>
      <c r="G4" s="150" t="s">
        <v>58</v>
      </c>
      <c r="H4" s="150" t="s">
        <v>58</v>
      </c>
      <c r="I4" s="150" t="s">
        <v>58</v>
      </c>
      <c r="J4" s="150" t="s">
        <v>58</v>
      </c>
      <c r="K4" s="150" t="s">
        <v>60</v>
      </c>
      <c r="L4" s="150" t="s">
        <v>61</v>
      </c>
    </row>
    <row r="5" spans="1:13" ht="39" customHeight="1">
      <c r="B5" s="145">
        <v>2.1</v>
      </c>
      <c r="C5" s="176" t="s">
        <v>57</v>
      </c>
      <c r="D5" s="147">
        <v>1.1000000000000001</v>
      </c>
      <c r="E5" s="145" t="s">
        <v>62</v>
      </c>
      <c r="F5" s="148">
        <v>43544</v>
      </c>
      <c r="G5" s="150" t="s">
        <v>63</v>
      </c>
      <c r="H5" s="150" t="s">
        <v>64</v>
      </c>
      <c r="I5" s="150" t="s">
        <v>65</v>
      </c>
      <c r="J5" s="150" t="s">
        <v>66</v>
      </c>
      <c r="K5" s="150" t="s">
        <v>67</v>
      </c>
      <c r="L5" s="150" t="s">
        <v>68</v>
      </c>
    </row>
    <row r="6" spans="1:13" ht="39" customHeight="1">
      <c r="B6" s="145">
        <v>2.2000000000000002</v>
      </c>
      <c r="C6" s="201" t="s">
        <v>57</v>
      </c>
      <c r="D6" s="147">
        <v>2.1</v>
      </c>
      <c r="E6" s="145" t="s">
        <v>62</v>
      </c>
      <c r="F6" s="148">
        <v>43713</v>
      </c>
      <c r="G6" s="150" t="s">
        <v>69</v>
      </c>
      <c r="H6" s="150" t="s">
        <v>70</v>
      </c>
      <c r="I6" s="150" t="s">
        <v>65</v>
      </c>
      <c r="J6" s="150" t="s">
        <v>66</v>
      </c>
      <c r="K6" s="150" t="s">
        <v>67</v>
      </c>
      <c r="L6" s="150" t="s">
        <v>71</v>
      </c>
    </row>
    <row r="7" spans="1:13" ht="65" customHeight="1">
      <c r="B7" s="145">
        <v>2.2999999999999998</v>
      </c>
      <c r="C7" s="145"/>
      <c r="D7" s="147">
        <v>2.2000000000000002</v>
      </c>
      <c r="E7" s="145" t="s">
        <v>62</v>
      </c>
      <c r="F7" s="148">
        <v>44057</v>
      </c>
      <c r="G7" s="150" t="s">
        <v>72</v>
      </c>
      <c r="H7" s="150" t="s">
        <v>73</v>
      </c>
      <c r="I7" s="150" t="s">
        <v>74</v>
      </c>
      <c r="J7" s="150" t="s">
        <v>75</v>
      </c>
      <c r="K7" s="150" t="s">
        <v>67</v>
      </c>
      <c r="L7" s="150" t="s">
        <v>76</v>
      </c>
    </row>
    <row r="8" spans="1:13" ht="65" customHeight="1">
      <c r="B8" s="145">
        <v>2.4</v>
      </c>
      <c r="C8" s="145"/>
      <c r="D8" s="147">
        <v>2.2999999999999998</v>
      </c>
      <c r="E8" s="145" t="s">
        <v>77</v>
      </c>
      <c r="F8" s="148">
        <v>44740</v>
      </c>
      <c r="G8" s="145" t="s">
        <v>78</v>
      </c>
      <c r="H8" s="145" t="s">
        <v>79</v>
      </c>
      <c r="I8" s="145" t="s">
        <v>80</v>
      </c>
      <c r="J8" s="145" t="s">
        <v>81</v>
      </c>
      <c r="K8" s="145" t="s">
        <v>82</v>
      </c>
      <c r="L8" s="150" t="s">
        <v>83</v>
      </c>
    </row>
    <row r="9" spans="1:13">
      <c r="B9" s="145"/>
      <c r="C9" s="145"/>
      <c r="D9" s="147"/>
      <c r="E9" s="145"/>
      <c r="F9" s="148"/>
      <c r="G9" s="145"/>
      <c r="H9" s="145"/>
      <c r="I9" s="145"/>
      <c r="J9" s="145"/>
      <c r="K9" s="145"/>
      <c r="L9" s="145"/>
    </row>
    <row r="10" spans="1:13">
      <c r="B10" s="145"/>
      <c r="C10" s="145"/>
      <c r="D10" s="147"/>
      <c r="E10" s="145"/>
      <c r="F10" s="148"/>
      <c r="G10" s="145"/>
      <c r="H10" s="145"/>
      <c r="I10" s="145"/>
      <c r="J10" s="145"/>
      <c r="K10" s="145"/>
      <c r="L10" s="145"/>
    </row>
    <row r="11" spans="1:13">
      <c r="B11" s="145"/>
      <c r="C11" s="145"/>
      <c r="D11" s="147"/>
      <c r="E11" s="145"/>
      <c r="F11" s="148"/>
      <c r="G11" s="145"/>
      <c r="H11" s="145"/>
      <c r="I11" s="145"/>
      <c r="J11" s="145"/>
      <c r="K11" s="145"/>
      <c r="L11" s="145"/>
    </row>
    <row r="12" spans="1:13">
      <c r="B12" s="145"/>
      <c r="C12" s="145"/>
      <c r="D12" s="147"/>
      <c r="E12" s="145"/>
      <c r="F12" s="148"/>
      <c r="G12" s="145"/>
      <c r="H12" s="145"/>
      <c r="I12" s="145"/>
      <c r="J12" s="145"/>
      <c r="K12" s="145"/>
      <c r="L12" s="145"/>
    </row>
    <row r="13" spans="1:13">
      <c r="B13" s="149"/>
      <c r="C13" s="149"/>
      <c r="D13" s="149"/>
      <c r="E13" s="149"/>
      <c r="F13" s="149"/>
      <c r="G13" s="149"/>
      <c r="H13" s="149"/>
      <c r="I13" s="149"/>
      <c r="J13" s="149"/>
      <c r="K13" s="149"/>
      <c r="L13" s="149"/>
    </row>
    <row r="14" spans="1:13">
      <c r="B14" s="149"/>
      <c r="C14" s="149"/>
      <c r="D14" s="149"/>
      <c r="E14" s="149"/>
      <c r="F14" s="149"/>
      <c r="G14" s="149"/>
      <c r="H14" s="149"/>
      <c r="I14" s="149"/>
      <c r="J14" s="149"/>
      <c r="K14" s="149"/>
      <c r="L14" s="149"/>
    </row>
    <row r="15" spans="1:13">
      <c r="B15" s="149"/>
      <c r="C15" s="149"/>
      <c r="D15" s="149"/>
      <c r="E15" s="149"/>
      <c r="F15" s="149"/>
      <c r="G15" s="149"/>
      <c r="H15" s="149"/>
      <c r="I15" s="149"/>
      <c r="J15" s="149"/>
      <c r="K15" s="149"/>
      <c r="L15" s="149"/>
    </row>
    <row r="16" spans="1:13">
      <c r="B16" s="149"/>
      <c r="C16" s="149"/>
      <c r="D16" s="149"/>
      <c r="E16" s="149"/>
      <c r="F16" s="149"/>
      <c r="G16" s="149"/>
      <c r="H16" s="149"/>
      <c r="I16" s="149"/>
      <c r="J16" s="149"/>
      <c r="K16" s="149"/>
      <c r="L16" s="149"/>
    </row>
    <row r="17" spans="2:12">
      <c r="B17" s="149"/>
      <c r="C17" s="149"/>
      <c r="D17" s="149"/>
      <c r="E17" s="149"/>
      <c r="F17" s="149"/>
      <c r="G17" s="149"/>
      <c r="H17" s="149"/>
      <c r="I17" s="149"/>
      <c r="J17" s="149"/>
      <c r="K17" s="149"/>
      <c r="L17" s="149"/>
    </row>
    <row r="18" spans="2:12">
      <c r="B18" s="149"/>
      <c r="C18" s="149"/>
      <c r="D18" s="149"/>
      <c r="E18" s="149"/>
      <c r="F18" s="149"/>
      <c r="G18" s="149"/>
      <c r="H18" s="149"/>
      <c r="I18" s="149"/>
      <c r="J18" s="149"/>
      <c r="K18" s="149"/>
      <c r="L18" s="149"/>
    </row>
    <row r="19" spans="2:12">
      <c r="B19" s="149"/>
      <c r="C19" s="149"/>
      <c r="D19" s="149"/>
      <c r="E19" s="149"/>
      <c r="F19" s="149"/>
      <c r="G19" s="149"/>
      <c r="H19" s="149"/>
      <c r="I19" s="149"/>
      <c r="J19" s="149"/>
      <c r="K19" s="149"/>
      <c r="L19" s="149"/>
    </row>
    <row r="20" spans="2:12">
      <c r="B20" s="149"/>
      <c r="C20" s="149"/>
      <c r="D20" s="149"/>
      <c r="E20" s="149"/>
      <c r="F20" s="149"/>
      <c r="G20" s="149"/>
      <c r="H20" s="149"/>
      <c r="I20" s="149"/>
      <c r="J20" s="149"/>
      <c r="K20" s="149"/>
      <c r="L20" s="149"/>
    </row>
    <row r="21" spans="2:12">
      <c r="B21" s="149"/>
      <c r="C21" s="149"/>
      <c r="D21" s="149"/>
      <c r="E21" s="149"/>
      <c r="F21" s="149"/>
      <c r="G21" s="149"/>
      <c r="H21" s="149"/>
      <c r="I21" s="149"/>
      <c r="J21" s="149"/>
      <c r="K21" s="149"/>
      <c r="L21" s="149"/>
    </row>
    <row r="22" spans="2:12">
      <c r="B22" s="149"/>
      <c r="C22" s="149"/>
      <c r="D22" s="149"/>
      <c r="E22" s="149"/>
      <c r="F22" s="149"/>
      <c r="G22" s="149"/>
      <c r="H22" s="149"/>
      <c r="I22" s="149"/>
      <c r="J22" s="149"/>
      <c r="K22" s="149"/>
      <c r="L22" s="149"/>
    </row>
    <row r="23" spans="2:12"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149"/>
    </row>
  </sheetData>
  <hyperlinks>
    <hyperlink ref="C4" r:id="rId1" xr:uid="{00000000-0004-0000-0100-000000000000}"/>
    <hyperlink ref="C5" r:id="rId2" xr:uid="{00000000-0004-0000-0100-000001000000}"/>
    <hyperlink ref="C6" r:id="rId3" xr:uid="{00000000-0004-0000-0100-000002000000}"/>
  </hyperlink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CC"/>
    <pageSetUpPr fitToPage="1"/>
  </sheetPr>
  <dimension ref="A1:XFB126"/>
  <sheetViews>
    <sheetView zoomScale="90" zoomScaleNormal="90" workbookViewId="0">
      <pane xSplit="10" ySplit="2" topLeftCell="K5" activePane="bottomRight" state="frozen"/>
      <selection activeCell="H41" sqref="H41"/>
      <selection pane="topRight" activeCell="H41" sqref="H41"/>
      <selection pane="bottomLeft" activeCell="H41" sqref="H41"/>
      <selection pane="bottomRight" activeCell="I24" sqref="I24"/>
    </sheetView>
  </sheetViews>
  <sheetFormatPr baseColWidth="10" defaultColWidth="0" defaultRowHeight="15" customHeight="1" zeroHeight="1"/>
  <cols>
    <col min="1" max="4" width="2.59765625" style="4" customWidth="1"/>
    <col min="5" max="5" width="54" style="4" bestFit="1" customWidth="1"/>
    <col min="6" max="6" width="1.59765625" style="4" customWidth="1"/>
    <col min="7" max="7" width="15.59765625" style="4" customWidth="1"/>
    <col min="8" max="8" width="13.19921875" style="4" customWidth="1"/>
    <col min="9" max="9" width="14" style="4" bestFit="1" customWidth="1"/>
    <col min="10" max="10" width="1.59765625" style="4" customWidth="1"/>
    <col min="11" max="31" width="10.59765625" style="4" customWidth="1"/>
    <col min="32" max="32" width="11.59765625" style="4" bestFit="1" customWidth="1"/>
    <col min="33" max="48" width="10.59765625" style="4" customWidth="1"/>
    <col min="49" max="50" width="9.796875" style="4" customWidth="1"/>
    <col min="51" max="51" width="4.3984375" customWidth="1"/>
    <col min="52" max="52" width="9.59765625" hidden="1" customWidth="1"/>
    <col min="53" max="53" width="10" hidden="1" customWidth="1"/>
    <col min="54" max="16382" width="9" hidden="1" customWidth="1"/>
    <col min="16383" max="16384" width="2" hidden="1" customWidth="1"/>
  </cols>
  <sheetData>
    <row r="1" spans="1:50" ht="14.5" customHeight="1">
      <c r="A1" s="171" t="s">
        <v>21</v>
      </c>
      <c r="B1" s="14"/>
      <c r="C1" s="14"/>
      <c r="D1" s="14"/>
      <c r="E1" s="14"/>
      <c r="F1" s="14"/>
      <c r="G1" s="14"/>
      <c r="H1" s="14" t="s">
        <v>84</v>
      </c>
      <c r="I1" s="14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</row>
    <row r="2" spans="1:50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24" t="s">
        <v>88</v>
      </c>
      <c r="J2" s="17"/>
      <c r="K2" s="16" t="s">
        <v>89</v>
      </c>
      <c r="L2" s="17"/>
      <c r="M2" s="17"/>
      <c r="N2" s="17"/>
      <c r="O2" s="17"/>
      <c r="P2" s="14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4"/>
      <c r="AQ2" s="14"/>
      <c r="AR2" s="14"/>
      <c r="AS2" s="14"/>
      <c r="AT2" s="14"/>
      <c r="AU2" s="14"/>
      <c r="AV2" s="14"/>
      <c r="AW2" s="14"/>
      <c r="AX2" s="14"/>
    </row>
    <row r="3" spans="1:50" ht="15" customHeight="1"/>
    <row r="4" spans="1:50" ht="15" customHeight="1">
      <c r="B4" s="126" t="s">
        <v>90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</row>
    <row r="5" spans="1:50" ht="15" customHeight="1"/>
    <row r="6" spans="1:50" ht="15" customHeight="1">
      <c r="E6" s="4" t="s">
        <v>91</v>
      </c>
      <c r="G6" s="4" t="s">
        <v>92</v>
      </c>
      <c r="I6" s="108">
        <v>1</v>
      </c>
    </row>
    <row r="7" spans="1:50" ht="15" customHeight="1">
      <c r="E7" s="4" t="s">
        <v>93</v>
      </c>
      <c r="G7" s="4" t="s">
        <v>94</v>
      </c>
      <c r="I7" s="109">
        <f>100%-I6</f>
        <v>0</v>
      </c>
    </row>
    <row r="8" spans="1:50" ht="15" customHeight="1"/>
    <row r="9" spans="1:50" ht="15" customHeight="1">
      <c r="E9" s="4" t="s">
        <v>95</v>
      </c>
      <c r="G9" s="4" t="s">
        <v>96</v>
      </c>
      <c r="I9" s="123" t="s">
        <v>97</v>
      </c>
    </row>
    <row r="10" spans="1:50" s="19" customFormat="1" ht="15" customHeight="1"/>
    <row r="11" spans="1:50" s="19" customFormat="1" ht="15" customHeight="1">
      <c r="E11" s="19" t="s">
        <v>98</v>
      </c>
      <c r="G11" s="4" t="s">
        <v>96</v>
      </c>
      <c r="I11" s="178" t="s">
        <v>99</v>
      </c>
    </row>
    <row r="12" spans="1:50" s="19" customFormat="1" ht="15" customHeight="1">
      <c r="I12" s="26"/>
    </row>
    <row r="13" spans="1:50" ht="15" customHeight="1">
      <c r="A13" s="19"/>
      <c r="B13" s="126" t="s">
        <v>100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</row>
    <row r="14" spans="1:50" ht="1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</row>
    <row r="15" spans="1:50" ht="15" customHeight="1">
      <c r="A15" s="19"/>
      <c r="B15" s="19"/>
      <c r="C15" s="12" t="s">
        <v>101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</row>
    <row r="16" spans="1:50" ht="15" customHeight="1"/>
    <row r="17" spans="1:50" ht="15" customHeight="1">
      <c r="A17" s="75"/>
      <c r="B17" s="75"/>
      <c r="C17" s="75"/>
      <c r="D17" s="75"/>
      <c r="E17" s="10" t="s">
        <v>102</v>
      </c>
      <c r="F17" s="77"/>
      <c r="G17" s="77"/>
      <c r="H17" s="77"/>
      <c r="I17" s="77"/>
      <c r="J17" s="76"/>
      <c r="K17" s="21">
        <f>$I$84</f>
        <v>39904</v>
      </c>
      <c r="L17" s="11">
        <f t="shared" ref="L17:AX17" si="0">+K18+1</f>
        <v>40269</v>
      </c>
      <c r="M17" s="11">
        <f t="shared" si="0"/>
        <v>40634</v>
      </c>
      <c r="N17" s="11">
        <f t="shared" si="0"/>
        <v>41000</v>
      </c>
      <c r="O17" s="11">
        <f t="shared" si="0"/>
        <v>41365</v>
      </c>
      <c r="P17" s="11">
        <f t="shared" si="0"/>
        <v>41730</v>
      </c>
      <c r="Q17" s="11">
        <f t="shared" si="0"/>
        <v>42095</v>
      </c>
      <c r="R17" s="11">
        <f t="shared" si="0"/>
        <v>42461</v>
      </c>
      <c r="S17" s="11">
        <f t="shared" si="0"/>
        <v>42826</v>
      </c>
      <c r="T17" s="11">
        <f t="shared" si="0"/>
        <v>43191</v>
      </c>
      <c r="U17" s="11">
        <f t="shared" si="0"/>
        <v>43556</v>
      </c>
      <c r="V17" s="11">
        <f t="shared" si="0"/>
        <v>43922</v>
      </c>
      <c r="W17" s="11">
        <f t="shared" si="0"/>
        <v>44287</v>
      </c>
      <c r="X17" s="11">
        <f t="shared" si="0"/>
        <v>44652</v>
      </c>
      <c r="Y17" s="11">
        <f t="shared" si="0"/>
        <v>45017</v>
      </c>
      <c r="Z17" s="11">
        <f t="shared" si="0"/>
        <v>45383</v>
      </c>
      <c r="AA17" s="11">
        <f t="shared" si="0"/>
        <v>45748</v>
      </c>
      <c r="AB17" s="11">
        <f t="shared" si="0"/>
        <v>46113</v>
      </c>
      <c r="AC17" s="11">
        <f t="shared" si="0"/>
        <v>46478</v>
      </c>
      <c r="AD17" s="11">
        <f t="shared" si="0"/>
        <v>46844</v>
      </c>
      <c r="AE17" s="11">
        <f t="shared" si="0"/>
        <v>47209</v>
      </c>
      <c r="AF17" s="11">
        <f t="shared" si="0"/>
        <v>47574</v>
      </c>
      <c r="AG17" s="11">
        <f t="shared" si="0"/>
        <v>47939</v>
      </c>
      <c r="AH17" s="11">
        <f t="shared" si="0"/>
        <v>48305</v>
      </c>
      <c r="AI17" s="11">
        <f t="shared" si="0"/>
        <v>48670</v>
      </c>
      <c r="AJ17" s="11">
        <f t="shared" si="0"/>
        <v>49035</v>
      </c>
      <c r="AK17" s="11">
        <f t="shared" si="0"/>
        <v>49400</v>
      </c>
      <c r="AL17" s="11">
        <f t="shared" si="0"/>
        <v>49766</v>
      </c>
      <c r="AM17" s="11">
        <f t="shared" si="0"/>
        <v>50131</v>
      </c>
      <c r="AN17" s="11">
        <f t="shared" si="0"/>
        <v>50496</v>
      </c>
      <c r="AO17" s="11">
        <f t="shared" si="0"/>
        <v>50861</v>
      </c>
      <c r="AP17" s="11">
        <f t="shared" si="0"/>
        <v>51227</v>
      </c>
      <c r="AQ17" s="11">
        <f t="shared" si="0"/>
        <v>51592</v>
      </c>
      <c r="AR17" s="11">
        <f t="shared" si="0"/>
        <v>51957</v>
      </c>
      <c r="AS17" s="11">
        <f t="shared" si="0"/>
        <v>52322</v>
      </c>
      <c r="AT17" s="11">
        <f t="shared" si="0"/>
        <v>52688</v>
      </c>
      <c r="AU17" s="11">
        <f t="shared" si="0"/>
        <v>53053</v>
      </c>
      <c r="AV17" s="11">
        <f t="shared" si="0"/>
        <v>53418</v>
      </c>
      <c r="AW17" s="11">
        <f t="shared" si="0"/>
        <v>53783</v>
      </c>
      <c r="AX17" s="11">
        <f t="shared" si="0"/>
        <v>54149</v>
      </c>
    </row>
    <row r="18" spans="1:50" ht="15" customHeight="1">
      <c r="A18" s="78"/>
      <c r="B18" s="78"/>
      <c r="C18" s="78"/>
      <c r="D18" s="78"/>
      <c r="E18" s="10" t="s">
        <v>103</v>
      </c>
      <c r="F18" s="78"/>
      <c r="G18" s="78"/>
      <c r="H18" s="78"/>
      <c r="I18" s="79"/>
      <c r="J18" s="78"/>
      <c r="K18" s="21">
        <f>EOMONTH(K17,11)</f>
        <v>40268</v>
      </c>
      <c r="L18" s="11">
        <f t="shared" ref="L18:AX18" si="1">DATE(YEAR(K18) + 1, MONTH(K18), DAY(K18))</f>
        <v>40633</v>
      </c>
      <c r="M18" s="11">
        <f t="shared" si="1"/>
        <v>40999</v>
      </c>
      <c r="N18" s="11">
        <f t="shared" si="1"/>
        <v>41364</v>
      </c>
      <c r="O18" s="11">
        <f t="shared" si="1"/>
        <v>41729</v>
      </c>
      <c r="P18" s="11">
        <f t="shared" si="1"/>
        <v>42094</v>
      </c>
      <c r="Q18" s="11">
        <f t="shared" si="1"/>
        <v>42460</v>
      </c>
      <c r="R18" s="11">
        <f t="shared" si="1"/>
        <v>42825</v>
      </c>
      <c r="S18" s="11">
        <f t="shared" si="1"/>
        <v>43190</v>
      </c>
      <c r="T18" s="11">
        <f t="shared" si="1"/>
        <v>43555</v>
      </c>
      <c r="U18" s="11">
        <f t="shared" si="1"/>
        <v>43921</v>
      </c>
      <c r="V18" s="11">
        <f t="shared" si="1"/>
        <v>44286</v>
      </c>
      <c r="W18" s="11">
        <f t="shared" si="1"/>
        <v>44651</v>
      </c>
      <c r="X18" s="11">
        <f t="shared" si="1"/>
        <v>45016</v>
      </c>
      <c r="Y18" s="11">
        <f t="shared" si="1"/>
        <v>45382</v>
      </c>
      <c r="Z18" s="11">
        <f t="shared" si="1"/>
        <v>45747</v>
      </c>
      <c r="AA18" s="11">
        <f t="shared" si="1"/>
        <v>46112</v>
      </c>
      <c r="AB18" s="11">
        <f t="shared" si="1"/>
        <v>46477</v>
      </c>
      <c r="AC18" s="11">
        <f t="shared" si="1"/>
        <v>46843</v>
      </c>
      <c r="AD18" s="11">
        <f t="shared" si="1"/>
        <v>47208</v>
      </c>
      <c r="AE18" s="11">
        <f t="shared" si="1"/>
        <v>47573</v>
      </c>
      <c r="AF18" s="11">
        <f t="shared" si="1"/>
        <v>47938</v>
      </c>
      <c r="AG18" s="11">
        <f t="shared" si="1"/>
        <v>48304</v>
      </c>
      <c r="AH18" s="11">
        <f t="shared" si="1"/>
        <v>48669</v>
      </c>
      <c r="AI18" s="11">
        <f t="shared" si="1"/>
        <v>49034</v>
      </c>
      <c r="AJ18" s="11">
        <f t="shared" si="1"/>
        <v>49399</v>
      </c>
      <c r="AK18" s="11">
        <f t="shared" si="1"/>
        <v>49765</v>
      </c>
      <c r="AL18" s="11">
        <f t="shared" si="1"/>
        <v>50130</v>
      </c>
      <c r="AM18" s="11">
        <f t="shared" si="1"/>
        <v>50495</v>
      </c>
      <c r="AN18" s="11">
        <f t="shared" si="1"/>
        <v>50860</v>
      </c>
      <c r="AO18" s="11">
        <f t="shared" si="1"/>
        <v>51226</v>
      </c>
      <c r="AP18" s="11">
        <f t="shared" si="1"/>
        <v>51591</v>
      </c>
      <c r="AQ18" s="11">
        <f t="shared" si="1"/>
        <v>51956</v>
      </c>
      <c r="AR18" s="11">
        <f t="shared" si="1"/>
        <v>52321</v>
      </c>
      <c r="AS18" s="11">
        <f t="shared" si="1"/>
        <v>52687</v>
      </c>
      <c r="AT18" s="11">
        <f t="shared" si="1"/>
        <v>53052</v>
      </c>
      <c r="AU18" s="11">
        <f t="shared" si="1"/>
        <v>53417</v>
      </c>
      <c r="AV18" s="11">
        <f t="shared" si="1"/>
        <v>53782</v>
      </c>
      <c r="AW18" s="11">
        <f t="shared" si="1"/>
        <v>54148</v>
      </c>
      <c r="AX18" s="11">
        <f t="shared" si="1"/>
        <v>54513</v>
      </c>
    </row>
    <row r="19" spans="1:50" ht="15" customHeight="1"/>
    <row r="20" spans="1:50" ht="15" customHeight="1">
      <c r="E20" s="4" t="s">
        <v>104</v>
      </c>
      <c r="G20" s="4" t="str">
        <f>CONCATENATE($I$9,"m nominal")</f>
        <v>£m nominal</v>
      </c>
      <c r="K20" s="197">
        <v>0</v>
      </c>
      <c r="L20" s="197">
        <v>4.2914820000000013E-2</v>
      </c>
      <c r="M20" s="197">
        <v>0.25841051999999998</v>
      </c>
      <c r="N20" s="197">
        <v>0.70376327000000005</v>
      </c>
      <c r="O20" s="197">
        <v>1.1280101899999999</v>
      </c>
      <c r="P20" s="197">
        <v>1.88373799</v>
      </c>
      <c r="Q20" s="197">
        <v>3.8218000700000001</v>
      </c>
      <c r="R20" s="197">
        <v>2.1858180343102038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197">
        <v>0</v>
      </c>
      <c r="Y20" s="197">
        <v>0</v>
      </c>
      <c r="Z20" s="197">
        <v>0</v>
      </c>
      <c r="AA20" s="197">
        <v>0</v>
      </c>
      <c r="AB20" s="197">
        <v>0</v>
      </c>
      <c r="AC20" s="197">
        <v>0</v>
      </c>
      <c r="AD20" s="197">
        <v>0</v>
      </c>
      <c r="AE20" s="197">
        <v>0</v>
      </c>
      <c r="AF20" s="197">
        <v>0</v>
      </c>
      <c r="AG20" s="197">
        <v>0</v>
      </c>
      <c r="AH20" s="197">
        <v>0</v>
      </c>
      <c r="AI20" s="197">
        <v>0</v>
      </c>
      <c r="AJ20" s="197">
        <v>0</v>
      </c>
      <c r="AK20" s="197">
        <v>0</v>
      </c>
      <c r="AL20" s="197">
        <v>0</v>
      </c>
      <c r="AM20" s="197">
        <v>0</v>
      </c>
      <c r="AN20" s="197">
        <v>0</v>
      </c>
      <c r="AO20" s="197">
        <v>0</v>
      </c>
      <c r="AP20" s="197">
        <v>0</v>
      </c>
      <c r="AQ20" s="197">
        <v>0</v>
      </c>
      <c r="AR20" s="197">
        <v>0</v>
      </c>
      <c r="AS20" s="197">
        <v>0</v>
      </c>
      <c r="AT20" s="197">
        <v>0</v>
      </c>
      <c r="AU20" s="197">
        <v>0</v>
      </c>
      <c r="AV20" s="197">
        <v>0</v>
      </c>
      <c r="AW20" s="197">
        <v>0</v>
      </c>
      <c r="AX20" s="197">
        <v>0</v>
      </c>
    </row>
    <row r="21" spans="1:50" ht="15" customHeight="1">
      <c r="E21" s="4" t="s">
        <v>105</v>
      </c>
      <c r="G21" s="4" t="str">
        <f>CONCATENATE($I$9,"m nominal")</f>
        <v>£m nominal</v>
      </c>
      <c r="K21" s="197">
        <v>0</v>
      </c>
      <c r="L21" s="197">
        <v>0</v>
      </c>
      <c r="M21" s="197">
        <v>0</v>
      </c>
      <c r="N21" s="197">
        <v>0</v>
      </c>
      <c r="O21" s="197">
        <v>0</v>
      </c>
      <c r="P21" s="197">
        <v>0</v>
      </c>
      <c r="Q21" s="197">
        <v>0</v>
      </c>
      <c r="R21" s="197">
        <v>1.57586067</v>
      </c>
      <c r="S21" s="197">
        <v>56.9063338087714</v>
      </c>
      <c r="T21" s="197">
        <v>122.21389563204499</v>
      </c>
      <c r="U21" s="197">
        <v>117.04923724406009</v>
      </c>
      <c r="V21" s="197">
        <v>36.618999013957392</v>
      </c>
      <c r="W21" s="197">
        <v>11.84310627470566</v>
      </c>
      <c r="X21" s="197">
        <v>0</v>
      </c>
      <c r="Y21" s="197">
        <v>0</v>
      </c>
      <c r="Z21" s="197">
        <v>0</v>
      </c>
      <c r="AA21" s="197">
        <v>0</v>
      </c>
      <c r="AB21" s="197">
        <v>0</v>
      </c>
      <c r="AC21" s="197">
        <v>0</v>
      </c>
      <c r="AD21" s="197">
        <v>0</v>
      </c>
      <c r="AE21" s="197">
        <v>0</v>
      </c>
      <c r="AF21" s="197">
        <v>0</v>
      </c>
      <c r="AG21" s="197">
        <v>0</v>
      </c>
      <c r="AH21" s="197">
        <v>0</v>
      </c>
      <c r="AI21" s="197">
        <v>0</v>
      </c>
      <c r="AJ21" s="197">
        <v>0</v>
      </c>
      <c r="AK21" s="197">
        <v>0</v>
      </c>
      <c r="AL21" s="197">
        <v>0</v>
      </c>
      <c r="AM21" s="197">
        <v>0</v>
      </c>
      <c r="AN21" s="197">
        <v>0</v>
      </c>
      <c r="AO21" s="197">
        <v>0</v>
      </c>
      <c r="AP21" s="197">
        <v>0</v>
      </c>
      <c r="AQ21" s="197">
        <v>0</v>
      </c>
      <c r="AR21" s="197">
        <v>0</v>
      </c>
      <c r="AS21" s="197">
        <v>0</v>
      </c>
      <c r="AT21" s="197">
        <v>0</v>
      </c>
      <c r="AU21" s="197">
        <v>0</v>
      </c>
      <c r="AV21" s="197">
        <v>0</v>
      </c>
      <c r="AW21" s="197">
        <v>0</v>
      </c>
      <c r="AX21" s="197">
        <v>0</v>
      </c>
    </row>
    <row r="22" spans="1:50" ht="15" customHeight="1">
      <c r="E22" s="4" t="s">
        <v>106</v>
      </c>
      <c r="G22" s="4" t="str">
        <f>CONCATENATE($I$9,"m nominal")</f>
        <v>£m nominal</v>
      </c>
      <c r="K22" s="197">
        <v>0</v>
      </c>
      <c r="L22" s="197">
        <v>0</v>
      </c>
      <c r="M22" s="197">
        <v>0</v>
      </c>
      <c r="N22" s="197">
        <v>0</v>
      </c>
      <c r="O22" s="197">
        <v>0</v>
      </c>
      <c r="P22" s="197">
        <v>0</v>
      </c>
      <c r="Q22" s="197">
        <v>0</v>
      </c>
      <c r="R22" s="197">
        <v>0</v>
      </c>
      <c r="S22" s="197">
        <v>0.19703424244840001</v>
      </c>
      <c r="T22" s="197">
        <v>0.70869762715399998</v>
      </c>
      <c r="U22" s="197">
        <v>2.4388806829314911</v>
      </c>
      <c r="V22" s="197">
        <v>0.46020275837388991</v>
      </c>
      <c r="W22" s="197">
        <v>1.4612415089732731</v>
      </c>
      <c r="X22" s="197">
        <v>0</v>
      </c>
      <c r="Y22" s="197">
        <v>0</v>
      </c>
      <c r="Z22" s="197">
        <v>0</v>
      </c>
      <c r="AA22" s="197">
        <v>0</v>
      </c>
      <c r="AB22" s="197">
        <v>0</v>
      </c>
      <c r="AC22" s="197">
        <v>0</v>
      </c>
      <c r="AD22" s="197">
        <v>0</v>
      </c>
      <c r="AE22" s="197">
        <v>0</v>
      </c>
      <c r="AF22" s="197">
        <v>0</v>
      </c>
      <c r="AG22" s="197">
        <v>0</v>
      </c>
      <c r="AH22" s="197">
        <v>0</v>
      </c>
      <c r="AI22" s="197">
        <v>0</v>
      </c>
      <c r="AJ22" s="197">
        <v>0</v>
      </c>
      <c r="AK22" s="197">
        <v>0</v>
      </c>
      <c r="AL22" s="197">
        <v>0</v>
      </c>
      <c r="AM22" s="197">
        <v>0</v>
      </c>
      <c r="AN22" s="197">
        <v>0</v>
      </c>
      <c r="AO22" s="197">
        <v>0</v>
      </c>
      <c r="AP22" s="197">
        <v>0</v>
      </c>
      <c r="AQ22" s="197">
        <v>0</v>
      </c>
      <c r="AR22" s="197">
        <v>0</v>
      </c>
      <c r="AS22" s="197">
        <v>0</v>
      </c>
      <c r="AT22" s="197">
        <v>0</v>
      </c>
      <c r="AU22" s="197">
        <v>0</v>
      </c>
      <c r="AV22" s="197">
        <v>0</v>
      </c>
      <c r="AW22" s="197">
        <v>0</v>
      </c>
      <c r="AX22" s="197">
        <v>0</v>
      </c>
    </row>
    <row r="23" spans="1:50" ht="15" customHeight="1"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</row>
    <row r="24" spans="1:50" ht="26" customHeight="1">
      <c r="E24" s="130" t="s">
        <v>107</v>
      </c>
      <c r="G24" s="131" t="s">
        <v>108</v>
      </c>
      <c r="H24" s="131" t="s">
        <v>109</v>
      </c>
      <c r="I24" s="197">
        <v>132.9</v>
      </c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</row>
    <row r="25" spans="1:50" ht="13" customHeight="1">
      <c r="E25" s="129"/>
      <c r="G25" s="128"/>
      <c r="H25" s="128"/>
      <c r="I25" s="198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W25" s="212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</row>
    <row r="26" spans="1:50" ht="13" customHeight="1">
      <c r="E26" s="129"/>
      <c r="G26" s="128"/>
      <c r="H26" s="128"/>
      <c r="I26" s="198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173"/>
      <c r="X26" s="64"/>
    </row>
    <row r="27" spans="1:50" ht="15" customHeight="1">
      <c r="K27" s="64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</row>
    <row r="28" spans="1:50" ht="13" customHeight="1">
      <c r="E28" s="130" t="s">
        <v>110</v>
      </c>
      <c r="G28" s="70" t="s">
        <v>108</v>
      </c>
      <c r="H28" s="131" t="s">
        <v>111</v>
      </c>
      <c r="K28" s="197">
        <v>98.746657615474163</v>
      </c>
      <c r="L28" s="197">
        <v>100.7215907677837</v>
      </c>
      <c r="M28" s="197">
        <v>102.7360225831393</v>
      </c>
      <c r="N28" s="197">
        <v>104.79074303480211</v>
      </c>
      <c r="O28" s="197">
        <v>106.8865578954982</v>
      </c>
      <c r="P28" s="197">
        <v>109.0242890534081</v>
      </c>
      <c r="Q28" s="197">
        <v>111.2047748344763</v>
      </c>
      <c r="R28" s="197">
        <v>113.4288703311658</v>
      </c>
      <c r="S28" s="197">
        <v>115.6974477377891</v>
      </c>
      <c r="T28" s="197">
        <v>118.01139669254491</v>
      </c>
      <c r="U28" s="197">
        <v>120.3716246263958</v>
      </c>
      <c r="V28" s="210">
        <v>122.7790571189237</v>
      </c>
      <c r="W28" s="213">
        <v>125.23463826130219</v>
      </c>
      <c r="X28" s="61">
        <f t="shared" ref="X28:AX28" si="2">W28*(1+$I$103)</f>
        <v>127.73933102652823</v>
      </c>
      <c r="Y28" s="61">
        <f t="shared" si="2"/>
        <v>130.29411764705881</v>
      </c>
      <c r="Z28" s="61">
        <f t="shared" si="2"/>
        <v>132.89999999999998</v>
      </c>
      <c r="AA28" s="61">
        <f t="shared" si="2"/>
        <v>135.55799999999999</v>
      </c>
      <c r="AB28" s="61">
        <f t="shared" si="2"/>
        <v>138.26916</v>
      </c>
      <c r="AC28" s="61">
        <f t="shared" si="2"/>
        <v>141.0345432</v>
      </c>
      <c r="AD28" s="61">
        <f t="shared" si="2"/>
        <v>143.855234064</v>
      </c>
      <c r="AE28" s="61">
        <f t="shared" si="2"/>
        <v>146.73233874528</v>
      </c>
      <c r="AF28" s="61">
        <f t="shared" si="2"/>
        <v>149.66698552018562</v>
      </c>
      <c r="AG28" s="61">
        <f t="shared" si="2"/>
        <v>152.66032523058934</v>
      </c>
      <c r="AH28" s="61">
        <f t="shared" si="2"/>
        <v>155.71353173520112</v>
      </c>
      <c r="AI28" s="61">
        <f t="shared" si="2"/>
        <v>158.82780236990513</v>
      </c>
      <c r="AJ28" s="61">
        <f t="shared" si="2"/>
        <v>162.00435841730322</v>
      </c>
      <c r="AK28" s="61">
        <f t="shared" si="2"/>
        <v>165.24444558564929</v>
      </c>
      <c r="AL28" s="61">
        <f t="shared" si="2"/>
        <v>168.54933449736228</v>
      </c>
      <c r="AM28" s="61">
        <f t="shared" si="2"/>
        <v>171.92032118730953</v>
      </c>
      <c r="AN28" s="61">
        <f t="shared" si="2"/>
        <v>175.35872761105571</v>
      </c>
      <c r="AO28" s="61">
        <f t="shared" si="2"/>
        <v>178.86590216327684</v>
      </c>
      <c r="AP28" s="61">
        <f t="shared" si="2"/>
        <v>182.44322020654238</v>
      </c>
      <c r="AQ28" s="61">
        <f t="shared" si="2"/>
        <v>186.09208461067323</v>
      </c>
      <c r="AR28" s="61">
        <f t="shared" si="2"/>
        <v>189.8139263028867</v>
      </c>
      <c r="AS28" s="61">
        <f t="shared" si="2"/>
        <v>193.61020482894443</v>
      </c>
      <c r="AT28" s="61">
        <f t="shared" si="2"/>
        <v>197.48240892552332</v>
      </c>
      <c r="AU28" s="61">
        <f t="shared" si="2"/>
        <v>201.43205710403379</v>
      </c>
      <c r="AV28" s="61">
        <f t="shared" si="2"/>
        <v>205.46069824611448</v>
      </c>
      <c r="AW28" s="61">
        <f t="shared" si="2"/>
        <v>209.56991221103678</v>
      </c>
      <c r="AX28" s="61">
        <f t="shared" si="2"/>
        <v>213.76131045525753</v>
      </c>
    </row>
    <row r="29" spans="1:50" ht="13" customHeight="1">
      <c r="E29" s="129"/>
      <c r="G29" s="128"/>
      <c r="H29" s="128"/>
      <c r="K29" s="198"/>
      <c r="L29" s="198"/>
      <c r="M29" s="198"/>
      <c r="N29" s="198"/>
      <c r="O29" s="198"/>
      <c r="P29" s="198"/>
      <c r="Q29" s="198"/>
      <c r="R29" s="198"/>
      <c r="S29" s="198"/>
      <c r="T29" s="198"/>
      <c r="U29" s="198"/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</row>
    <row r="30" spans="1:50" ht="13" customHeight="1">
      <c r="E30" s="129"/>
      <c r="G30" s="128"/>
      <c r="H30" s="128"/>
      <c r="K30" s="198"/>
      <c r="L30" s="198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</row>
    <row r="31" spans="1:50" ht="15" customHeight="1">
      <c r="G31" s="70"/>
      <c r="H31" s="70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</row>
    <row r="32" spans="1:50" ht="15" customHeight="1">
      <c r="B32" s="19"/>
      <c r="C32" s="19"/>
      <c r="D32" s="19"/>
      <c r="E32" s="19" t="s">
        <v>112</v>
      </c>
      <c r="F32" s="19"/>
      <c r="G32" s="69"/>
      <c r="H32" s="69" t="s">
        <v>113</v>
      </c>
      <c r="I32" s="19"/>
      <c r="J32" s="19"/>
      <c r="K32" s="82">
        <f t="shared" ref="K32:AX32" si="3">IF($I$6=100%,(K28/$I$24),($I$6*(K28/$I$24)+$I$7*(K29/$I$25)/(K30/$I$26)))</f>
        <v>0.74301472998851892</v>
      </c>
      <c r="L32" s="82">
        <f t="shared" si="3"/>
        <v>0.75787502458828959</v>
      </c>
      <c r="M32" s="82">
        <f t="shared" si="3"/>
        <v>0.77303252508005493</v>
      </c>
      <c r="N32" s="82">
        <f t="shared" si="3"/>
        <v>0.7884931755816561</v>
      </c>
      <c r="O32" s="82">
        <f t="shared" si="3"/>
        <v>0.80426303909328967</v>
      </c>
      <c r="P32" s="82">
        <f t="shared" si="3"/>
        <v>0.8203482998751549</v>
      </c>
      <c r="Q32" s="82">
        <f t="shared" si="3"/>
        <v>0.83675526587265836</v>
      </c>
      <c r="R32" s="82">
        <f t="shared" si="3"/>
        <v>0.85349037119011129</v>
      </c>
      <c r="S32" s="82">
        <f t="shared" si="3"/>
        <v>0.87056017861391344</v>
      </c>
      <c r="T32" s="82">
        <f t="shared" si="3"/>
        <v>0.88797138218619187</v>
      </c>
      <c r="U32" s="82">
        <f t="shared" si="3"/>
        <v>0.90573080982991572</v>
      </c>
      <c r="V32" s="82">
        <f t="shared" si="3"/>
        <v>0.92384542602651387</v>
      </c>
      <c r="W32" s="82">
        <f t="shared" si="3"/>
        <v>0.94232233454704428</v>
      </c>
      <c r="X32" s="82">
        <f t="shared" si="3"/>
        <v>0.96116878123798521</v>
      </c>
      <c r="Y32" s="82">
        <f t="shared" si="3"/>
        <v>0.98039215686274495</v>
      </c>
      <c r="Z32" s="82">
        <f t="shared" si="3"/>
        <v>0.99999999999999978</v>
      </c>
      <c r="AA32" s="82">
        <f t="shared" si="3"/>
        <v>1.0199999999999998</v>
      </c>
      <c r="AB32" s="82">
        <f t="shared" si="3"/>
        <v>1.0404</v>
      </c>
      <c r="AC32" s="82">
        <f t="shared" si="3"/>
        <v>1.0612079999999999</v>
      </c>
      <c r="AD32" s="82">
        <f t="shared" si="3"/>
        <v>1.08243216</v>
      </c>
      <c r="AE32" s="82">
        <f t="shared" si="3"/>
        <v>1.1040808032</v>
      </c>
      <c r="AF32" s="82">
        <f t="shared" si="3"/>
        <v>1.1261624192640001</v>
      </c>
      <c r="AG32" s="82">
        <f t="shared" si="3"/>
        <v>1.14868566764928</v>
      </c>
      <c r="AH32" s="82">
        <f t="shared" si="3"/>
        <v>1.1716593810022657</v>
      </c>
      <c r="AI32" s="82">
        <f t="shared" si="3"/>
        <v>1.1950925686223108</v>
      </c>
      <c r="AJ32" s="82">
        <f t="shared" si="3"/>
        <v>1.2189944199947571</v>
      </c>
      <c r="AK32" s="82">
        <f t="shared" si="3"/>
        <v>1.2433743083946522</v>
      </c>
      <c r="AL32" s="82">
        <f t="shared" si="3"/>
        <v>1.2682417945625453</v>
      </c>
      <c r="AM32" s="82">
        <f t="shared" si="3"/>
        <v>1.2936066304537963</v>
      </c>
      <c r="AN32" s="82">
        <f t="shared" si="3"/>
        <v>1.3194787630628722</v>
      </c>
      <c r="AO32" s="82">
        <f t="shared" si="3"/>
        <v>1.3458683383241297</v>
      </c>
      <c r="AP32" s="82">
        <f t="shared" si="3"/>
        <v>1.3727857050906123</v>
      </c>
      <c r="AQ32" s="82">
        <f t="shared" si="3"/>
        <v>1.4002414191924246</v>
      </c>
      <c r="AR32" s="82">
        <f t="shared" si="3"/>
        <v>1.4282462475762732</v>
      </c>
      <c r="AS32" s="82">
        <f t="shared" si="3"/>
        <v>1.4568111725277986</v>
      </c>
      <c r="AT32" s="82">
        <f t="shared" si="3"/>
        <v>1.4859473959783545</v>
      </c>
      <c r="AU32" s="82">
        <f t="shared" si="3"/>
        <v>1.5156663438979217</v>
      </c>
      <c r="AV32" s="82">
        <f t="shared" si="3"/>
        <v>1.5459796707758802</v>
      </c>
      <c r="AW32" s="82">
        <f t="shared" si="3"/>
        <v>1.5768992641913979</v>
      </c>
      <c r="AX32" s="82">
        <f t="shared" si="3"/>
        <v>1.6084372494752259</v>
      </c>
    </row>
    <row r="33" spans="1:50" ht="15" customHeight="1">
      <c r="A33" s="19"/>
      <c r="B33" s="19"/>
      <c r="C33" s="19"/>
      <c r="D33" s="19"/>
      <c r="E33" s="19"/>
      <c r="F33" s="19"/>
      <c r="G33" s="69"/>
      <c r="H33" s="69"/>
      <c r="I33" s="19"/>
      <c r="J33" s="19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2"/>
      <c r="AX33" s="82"/>
    </row>
    <row r="34" spans="1:50" ht="13" customHeight="1">
      <c r="B34" s="19"/>
      <c r="C34" s="19"/>
      <c r="D34" s="19"/>
      <c r="E34" s="19" t="str">
        <f>E20</f>
        <v>Development costs</v>
      </c>
      <c r="F34" s="19"/>
      <c r="G34" s="5" t="str">
        <f>$I$11</f>
        <v>£m 2024 CPIH prices</v>
      </c>
      <c r="H34" s="19"/>
      <c r="I34" s="19"/>
      <c r="J34" s="19"/>
      <c r="K34" s="111">
        <f t="shared" ref="K34:AX34" si="4">IF($I$9="£",K20/K$32,K20/K$32/K$30)</f>
        <v>0</v>
      </c>
      <c r="L34" s="111">
        <f t="shared" si="4"/>
        <v>5.6625193610665814E-2</v>
      </c>
      <c r="M34" s="111">
        <f t="shared" si="4"/>
        <v>0.33428156205101345</v>
      </c>
      <c r="N34" s="111">
        <f t="shared" si="4"/>
        <v>0.8925419924920055</v>
      </c>
      <c r="O34" s="111">
        <f t="shared" si="4"/>
        <v>1.4025388898533699</v>
      </c>
      <c r="P34" s="111">
        <f t="shared" si="4"/>
        <v>2.2962660985421408</v>
      </c>
      <c r="Q34" s="111">
        <f t="shared" si="4"/>
        <v>4.5674048624172281</v>
      </c>
      <c r="R34" s="111">
        <f t="shared" si="4"/>
        <v>2.5610342050634833</v>
      </c>
      <c r="S34" s="111">
        <f t="shared" si="4"/>
        <v>0</v>
      </c>
      <c r="T34" s="111">
        <f t="shared" si="4"/>
        <v>0</v>
      </c>
      <c r="U34" s="111">
        <f t="shared" si="4"/>
        <v>0</v>
      </c>
      <c r="V34" s="111">
        <f t="shared" si="4"/>
        <v>0</v>
      </c>
      <c r="W34" s="111">
        <f t="shared" si="4"/>
        <v>0</v>
      </c>
      <c r="X34" s="111">
        <f t="shared" si="4"/>
        <v>0</v>
      </c>
      <c r="Y34" s="111">
        <f t="shared" si="4"/>
        <v>0</v>
      </c>
      <c r="Z34" s="111">
        <f t="shared" si="4"/>
        <v>0</v>
      </c>
      <c r="AA34" s="111">
        <f t="shared" si="4"/>
        <v>0</v>
      </c>
      <c r="AB34" s="111">
        <f t="shared" si="4"/>
        <v>0</v>
      </c>
      <c r="AC34" s="111">
        <f t="shared" si="4"/>
        <v>0</v>
      </c>
      <c r="AD34" s="111">
        <f t="shared" si="4"/>
        <v>0</v>
      </c>
      <c r="AE34" s="111">
        <f t="shared" si="4"/>
        <v>0</v>
      </c>
      <c r="AF34" s="111">
        <f t="shared" si="4"/>
        <v>0</v>
      </c>
      <c r="AG34" s="111">
        <f t="shared" si="4"/>
        <v>0</v>
      </c>
      <c r="AH34" s="111">
        <f t="shared" si="4"/>
        <v>0</v>
      </c>
      <c r="AI34" s="111">
        <f t="shared" si="4"/>
        <v>0</v>
      </c>
      <c r="AJ34" s="111">
        <f t="shared" si="4"/>
        <v>0</v>
      </c>
      <c r="AK34" s="111">
        <f t="shared" si="4"/>
        <v>0</v>
      </c>
      <c r="AL34" s="111">
        <f t="shared" si="4"/>
        <v>0</v>
      </c>
      <c r="AM34" s="111">
        <f t="shared" si="4"/>
        <v>0</v>
      </c>
      <c r="AN34" s="111">
        <f t="shared" si="4"/>
        <v>0</v>
      </c>
      <c r="AO34" s="111">
        <f t="shared" si="4"/>
        <v>0</v>
      </c>
      <c r="AP34" s="111">
        <f t="shared" si="4"/>
        <v>0</v>
      </c>
      <c r="AQ34" s="111">
        <f t="shared" si="4"/>
        <v>0</v>
      </c>
      <c r="AR34" s="111">
        <f t="shared" si="4"/>
        <v>0</v>
      </c>
      <c r="AS34" s="111">
        <f t="shared" si="4"/>
        <v>0</v>
      </c>
      <c r="AT34" s="111">
        <f t="shared" si="4"/>
        <v>0</v>
      </c>
      <c r="AU34" s="111">
        <f t="shared" si="4"/>
        <v>0</v>
      </c>
      <c r="AV34" s="111">
        <f t="shared" si="4"/>
        <v>0</v>
      </c>
      <c r="AW34" s="111">
        <f t="shared" si="4"/>
        <v>0</v>
      </c>
      <c r="AX34" s="111">
        <f t="shared" si="4"/>
        <v>0</v>
      </c>
    </row>
    <row r="35" spans="1:50" ht="13" customHeight="1">
      <c r="B35" s="19"/>
      <c r="C35" s="19"/>
      <c r="D35" s="19"/>
      <c r="E35" s="19" t="str">
        <f>E21</f>
        <v>Capex</v>
      </c>
      <c r="F35" s="19"/>
      <c r="G35" s="5" t="str">
        <f>$I$11</f>
        <v>£m 2024 CPIH prices</v>
      </c>
      <c r="H35" s="19"/>
      <c r="I35" s="19"/>
      <c r="J35" s="19"/>
      <c r="K35" s="111">
        <f t="shared" ref="K35:AX35" si="5">IF($I$9="£",K21/K$32,K21/K$32/K$30)</f>
        <v>0</v>
      </c>
      <c r="L35" s="111">
        <f t="shared" si="5"/>
        <v>0</v>
      </c>
      <c r="M35" s="111">
        <f t="shared" si="5"/>
        <v>0</v>
      </c>
      <c r="N35" s="111">
        <f t="shared" si="5"/>
        <v>0</v>
      </c>
      <c r="O35" s="111">
        <f t="shared" si="5"/>
        <v>0</v>
      </c>
      <c r="P35" s="111">
        <f t="shared" si="5"/>
        <v>0</v>
      </c>
      <c r="Q35" s="111">
        <f t="shared" si="5"/>
        <v>0</v>
      </c>
      <c r="R35" s="111">
        <f t="shared" si="5"/>
        <v>1.8463719371580161</v>
      </c>
      <c r="S35" s="111">
        <f t="shared" si="5"/>
        <v>65.367490044601396</v>
      </c>
      <c r="T35" s="111">
        <f t="shared" si="5"/>
        <v>137.63269637266183</v>
      </c>
      <c r="U35" s="111">
        <f t="shared" si="5"/>
        <v>129.23181587036925</v>
      </c>
      <c r="V35" s="111">
        <f t="shared" si="5"/>
        <v>39.637582199715787</v>
      </c>
      <c r="W35" s="111">
        <f t="shared" si="5"/>
        <v>12.567999123567846</v>
      </c>
      <c r="X35" s="111">
        <f t="shared" si="5"/>
        <v>0</v>
      </c>
      <c r="Y35" s="111">
        <f t="shared" si="5"/>
        <v>0</v>
      </c>
      <c r="Z35" s="111">
        <f t="shared" si="5"/>
        <v>0</v>
      </c>
      <c r="AA35" s="111">
        <f t="shared" si="5"/>
        <v>0</v>
      </c>
      <c r="AB35" s="111">
        <f t="shared" si="5"/>
        <v>0</v>
      </c>
      <c r="AC35" s="111">
        <f t="shared" si="5"/>
        <v>0</v>
      </c>
      <c r="AD35" s="111">
        <f t="shared" si="5"/>
        <v>0</v>
      </c>
      <c r="AE35" s="111">
        <f t="shared" si="5"/>
        <v>0</v>
      </c>
      <c r="AF35" s="111">
        <f t="shared" si="5"/>
        <v>0</v>
      </c>
      <c r="AG35" s="111">
        <f t="shared" si="5"/>
        <v>0</v>
      </c>
      <c r="AH35" s="111">
        <f t="shared" si="5"/>
        <v>0</v>
      </c>
      <c r="AI35" s="111">
        <f t="shared" si="5"/>
        <v>0</v>
      </c>
      <c r="AJ35" s="111">
        <f t="shared" si="5"/>
        <v>0</v>
      </c>
      <c r="AK35" s="111">
        <f t="shared" si="5"/>
        <v>0</v>
      </c>
      <c r="AL35" s="111">
        <f t="shared" si="5"/>
        <v>0</v>
      </c>
      <c r="AM35" s="111">
        <f t="shared" si="5"/>
        <v>0</v>
      </c>
      <c r="AN35" s="111">
        <f t="shared" si="5"/>
        <v>0</v>
      </c>
      <c r="AO35" s="111">
        <f t="shared" si="5"/>
        <v>0</v>
      </c>
      <c r="AP35" s="111">
        <f t="shared" si="5"/>
        <v>0</v>
      </c>
      <c r="AQ35" s="111">
        <f t="shared" si="5"/>
        <v>0</v>
      </c>
      <c r="AR35" s="111">
        <f t="shared" si="5"/>
        <v>0</v>
      </c>
      <c r="AS35" s="111">
        <f t="shared" si="5"/>
        <v>0</v>
      </c>
      <c r="AT35" s="111">
        <f t="shared" si="5"/>
        <v>0</v>
      </c>
      <c r="AU35" s="111">
        <f t="shared" si="5"/>
        <v>0</v>
      </c>
      <c r="AV35" s="111">
        <f t="shared" si="5"/>
        <v>0</v>
      </c>
      <c r="AW35" s="111">
        <f t="shared" si="5"/>
        <v>0</v>
      </c>
      <c r="AX35" s="111">
        <f t="shared" si="5"/>
        <v>0</v>
      </c>
    </row>
    <row r="36" spans="1:50" ht="13" customHeight="1">
      <c r="B36" s="19"/>
      <c r="C36" s="19"/>
      <c r="D36" s="19"/>
      <c r="E36" s="19" t="str">
        <f>E22</f>
        <v>Spares</v>
      </c>
      <c r="F36" s="19"/>
      <c r="G36" s="5" t="str">
        <f>$I$11</f>
        <v>£m 2024 CPIH prices</v>
      </c>
      <c r="H36" s="19"/>
      <c r="I36" s="19"/>
      <c r="J36" s="19"/>
      <c r="K36" s="111">
        <f t="shared" ref="K36:AX36" si="6">IF($I$9="£",K22/K$32,K22/K$32/K$30)</f>
        <v>0</v>
      </c>
      <c r="L36" s="111">
        <f t="shared" si="6"/>
        <v>0</v>
      </c>
      <c r="M36" s="111">
        <f t="shared" si="6"/>
        <v>0</v>
      </c>
      <c r="N36" s="111">
        <f t="shared" si="6"/>
        <v>0</v>
      </c>
      <c r="O36" s="111">
        <f t="shared" si="6"/>
        <v>0</v>
      </c>
      <c r="P36" s="111">
        <f t="shared" si="6"/>
        <v>0</v>
      </c>
      <c r="Q36" s="111">
        <f t="shared" si="6"/>
        <v>0</v>
      </c>
      <c r="R36" s="111">
        <f t="shared" si="6"/>
        <v>0</v>
      </c>
      <c r="S36" s="111">
        <f t="shared" si="6"/>
        <v>0.22633041033661055</v>
      </c>
      <c r="T36" s="111">
        <f t="shared" si="6"/>
        <v>0.79810863432240509</v>
      </c>
      <c r="U36" s="111">
        <f t="shared" si="6"/>
        <v>2.6927213433199659</v>
      </c>
      <c r="V36" s="111">
        <f t="shared" si="6"/>
        <v>0.4981382657846079</v>
      </c>
      <c r="W36" s="111">
        <f t="shared" si="6"/>
        <v>1.5506811792545097</v>
      </c>
      <c r="X36" s="111">
        <f t="shared" si="6"/>
        <v>0</v>
      </c>
      <c r="Y36" s="111">
        <f t="shared" si="6"/>
        <v>0</v>
      </c>
      <c r="Z36" s="111">
        <f t="shared" si="6"/>
        <v>0</v>
      </c>
      <c r="AA36" s="111">
        <f t="shared" si="6"/>
        <v>0</v>
      </c>
      <c r="AB36" s="111">
        <f t="shared" si="6"/>
        <v>0</v>
      </c>
      <c r="AC36" s="111">
        <f t="shared" si="6"/>
        <v>0</v>
      </c>
      <c r="AD36" s="111">
        <f t="shared" si="6"/>
        <v>0</v>
      </c>
      <c r="AE36" s="111">
        <f t="shared" si="6"/>
        <v>0</v>
      </c>
      <c r="AF36" s="111">
        <f t="shared" si="6"/>
        <v>0</v>
      </c>
      <c r="AG36" s="111">
        <f t="shared" si="6"/>
        <v>0</v>
      </c>
      <c r="AH36" s="111">
        <f t="shared" si="6"/>
        <v>0</v>
      </c>
      <c r="AI36" s="111">
        <f t="shared" si="6"/>
        <v>0</v>
      </c>
      <c r="AJ36" s="111">
        <f t="shared" si="6"/>
        <v>0</v>
      </c>
      <c r="AK36" s="111">
        <f t="shared" si="6"/>
        <v>0</v>
      </c>
      <c r="AL36" s="111">
        <f t="shared" si="6"/>
        <v>0</v>
      </c>
      <c r="AM36" s="111">
        <f t="shared" si="6"/>
        <v>0</v>
      </c>
      <c r="AN36" s="111">
        <f t="shared" si="6"/>
        <v>0</v>
      </c>
      <c r="AO36" s="111">
        <f t="shared" si="6"/>
        <v>0</v>
      </c>
      <c r="AP36" s="111">
        <f t="shared" si="6"/>
        <v>0</v>
      </c>
      <c r="AQ36" s="111">
        <f t="shared" si="6"/>
        <v>0</v>
      </c>
      <c r="AR36" s="111">
        <f t="shared" si="6"/>
        <v>0</v>
      </c>
      <c r="AS36" s="111">
        <f t="shared" si="6"/>
        <v>0</v>
      </c>
      <c r="AT36" s="111">
        <f t="shared" si="6"/>
        <v>0</v>
      </c>
      <c r="AU36" s="111">
        <f t="shared" si="6"/>
        <v>0</v>
      </c>
      <c r="AV36" s="111">
        <f t="shared" si="6"/>
        <v>0</v>
      </c>
      <c r="AW36" s="111">
        <f t="shared" si="6"/>
        <v>0</v>
      </c>
      <c r="AX36" s="111">
        <f t="shared" si="6"/>
        <v>0</v>
      </c>
    </row>
    <row r="37" spans="1:50" ht="15" customHeight="1">
      <c r="N37" s="71"/>
    </row>
    <row r="38" spans="1:50" ht="15" customHeight="1">
      <c r="C38" s="12" t="s">
        <v>114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</row>
    <row r="39" spans="1:50" ht="15" customHeight="1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</row>
    <row r="40" spans="1:50" ht="15" customHeight="1">
      <c r="A40" s="14"/>
      <c r="B40" s="14"/>
      <c r="C40" s="14"/>
      <c r="D40" s="14"/>
      <c r="E40" s="17" t="s">
        <v>115</v>
      </c>
      <c r="F40" s="16"/>
      <c r="G40" s="16"/>
      <c r="H40" s="16"/>
      <c r="I40" s="16"/>
      <c r="J40" s="17"/>
      <c r="K40" s="125" t="s">
        <v>116</v>
      </c>
      <c r="L40" s="125" t="s">
        <v>117</v>
      </c>
      <c r="M40" s="125" t="s">
        <v>118</v>
      </c>
      <c r="N40" s="125" t="s">
        <v>119</v>
      </c>
      <c r="O40" s="125" t="s">
        <v>120</v>
      </c>
      <c r="P40" s="125" t="s">
        <v>121</v>
      </c>
      <c r="Q40" s="125" t="s">
        <v>122</v>
      </c>
      <c r="R40" s="125" t="s">
        <v>123</v>
      </c>
      <c r="S40" s="125" t="s">
        <v>124</v>
      </c>
      <c r="T40" s="125" t="s">
        <v>125</v>
      </c>
      <c r="U40" s="125" t="s">
        <v>126</v>
      </c>
      <c r="V40" s="125" t="s">
        <v>127</v>
      </c>
      <c r="W40" s="125" t="s">
        <v>128</v>
      </c>
      <c r="X40" s="125" t="s">
        <v>129</v>
      </c>
      <c r="Y40" s="125" t="s">
        <v>130</v>
      </c>
      <c r="Z40" s="125" t="s">
        <v>131</v>
      </c>
      <c r="AA40" s="125" t="s">
        <v>132</v>
      </c>
      <c r="AB40" s="125" t="s">
        <v>133</v>
      </c>
      <c r="AC40" s="125" t="s">
        <v>134</v>
      </c>
      <c r="AD40" s="125" t="s">
        <v>135</v>
      </c>
      <c r="AE40" s="125" t="s">
        <v>136</v>
      </c>
      <c r="AF40" s="125" t="s">
        <v>137</v>
      </c>
      <c r="AG40" s="125" t="s">
        <v>138</v>
      </c>
      <c r="AH40" s="125" t="s">
        <v>139</v>
      </c>
      <c r="AI40" s="125" t="s">
        <v>140</v>
      </c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</row>
    <row r="41" spans="1:50" ht="15" customHeight="1"/>
    <row r="42" spans="1:50" ht="15" customHeight="1">
      <c r="B42" s="19"/>
      <c r="C42" s="19"/>
      <c r="D42" s="19"/>
      <c r="E42" s="19" t="s">
        <v>141</v>
      </c>
      <c r="F42" s="19"/>
      <c r="G42" s="211" t="s">
        <v>142</v>
      </c>
      <c r="H42" s="19"/>
      <c r="J42" s="19"/>
      <c r="K42" s="197">
        <v>0</v>
      </c>
      <c r="L42" s="197">
        <v>0</v>
      </c>
      <c r="M42" s="197">
        <v>0</v>
      </c>
      <c r="N42" s="197">
        <v>0</v>
      </c>
      <c r="O42" s="197">
        <v>0</v>
      </c>
      <c r="P42" s="197">
        <v>0</v>
      </c>
      <c r="Q42" s="197">
        <v>2.6927209456896621</v>
      </c>
      <c r="R42" s="197">
        <v>3.746453609488174</v>
      </c>
      <c r="S42" s="197">
        <v>0</v>
      </c>
      <c r="T42" s="197">
        <v>1.240072119915292</v>
      </c>
      <c r="U42" s="197">
        <v>0</v>
      </c>
      <c r="V42" s="197">
        <v>0.75698153014861203</v>
      </c>
      <c r="W42" s="197">
        <v>1.2747574877004191</v>
      </c>
      <c r="X42" s="197">
        <v>4.300378786453444</v>
      </c>
      <c r="Y42" s="197">
        <v>0</v>
      </c>
      <c r="Z42" s="197">
        <v>0</v>
      </c>
      <c r="AA42" s="197">
        <v>25.7757780614217</v>
      </c>
      <c r="AB42" s="197">
        <v>0</v>
      </c>
      <c r="AC42" s="197">
        <v>0</v>
      </c>
      <c r="AD42" s="197">
        <v>1.240072119915292</v>
      </c>
      <c r="AE42" s="197">
        <v>2.6927209456896621</v>
      </c>
      <c r="AF42" s="197">
        <v>0</v>
      </c>
      <c r="AG42" s="197">
        <v>0</v>
      </c>
      <c r="AH42" s="197">
        <v>0</v>
      </c>
      <c r="AI42" s="197">
        <v>0</v>
      </c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</row>
    <row r="43" spans="1:50" ht="15" customHeight="1">
      <c r="B43" s="19"/>
      <c r="C43" s="19"/>
      <c r="D43" s="19"/>
      <c r="E43" s="19" t="s">
        <v>143</v>
      </c>
      <c r="F43" s="19"/>
      <c r="G43" s="211" t="s">
        <v>142</v>
      </c>
      <c r="H43" s="19"/>
      <c r="J43" s="19"/>
      <c r="K43" s="197">
        <v>0</v>
      </c>
      <c r="L43" s="197">
        <v>0</v>
      </c>
      <c r="M43" s="197">
        <v>0</v>
      </c>
      <c r="N43" s="197">
        <v>0</v>
      </c>
      <c r="O43" s="197">
        <v>0</v>
      </c>
      <c r="P43" s="197">
        <v>0</v>
      </c>
      <c r="Q43" s="197">
        <v>0</v>
      </c>
      <c r="R43" s="197">
        <v>0</v>
      </c>
      <c r="S43" s="197">
        <v>0</v>
      </c>
      <c r="T43" s="197">
        <v>0</v>
      </c>
      <c r="U43" s="197">
        <v>0</v>
      </c>
      <c r="V43" s="197">
        <v>0</v>
      </c>
      <c r="W43" s="197">
        <v>0</v>
      </c>
      <c r="X43" s="197">
        <v>0</v>
      </c>
      <c r="Y43" s="197">
        <v>0</v>
      </c>
      <c r="Z43" s="197">
        <v>0</v>
      </c>
      <c r="AA43" s="197">
        <v>0</v>
      </c>
      <c r="AB43" s="197">
        <v>0</v>
      </c>
      <c r="AC43" s="197">
        <v>0</v>
      </c>
      <c r="AD43" s="197">
        <v>0</v>
      </c>
      <c r="AE43" s="197">
        <v>0</v>
      </c>
      <c r="AF43" s="197">
        <v>0</v>
      </c>
      <c r="AG43" s="197">
        <v>0</v>
      </c>
      <c r="AH43" s="197">
        <v>0</v>
      </c>
      <c r="AI43" s="197">
        <v>28.747427544230941</v>
      </c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</row>
    <row r="44" spans="1:50" ht="15" customHeight="1">
      <c r="B44" s="19"/>
      <c r="C44" s="19"/>
      <c r="D44" s="19"/>
      <c r="E44" s="19" t="s">
        <v>144</v>
      </c>
      <c r="F44" s="19"/>
      <c r="G44" s="211" t="s">
        <v>142</v>
      </c>
      <c r="H44" s="19"/>
      <c r="J44" s="19"/>
      <c r="K44" s="197">
        <v>15.840084485280681</v>
      </c>
      <c r="L44" s="197">
        <v>11.903226737350179</v>
      </c>
      <c r="M44" s="197">
        <v>16.27278844945425</v>
      </c>
      <c r="N44" s="197">
        <v>15.961495606189811</v>
      </c>
      <c r="O44" s="197">
        <v>17.027965934354022</v>
      </c>
      <c r="P44" s="197">
        <v>16.98416037745654</v>
      </c>
      <c r="Q44" s="197">
        <v>16.791320854613431</v>
      </c>
      <c r="R44" s="197">
        <v>18.10097169587268</v>
      </c>
      <c r="S44" s="197">
        <v>18.474780111496148</v>
      </c>
      <c r="T44" s="197">
        <v>19.497307881959738</v>
      </c>
      <c r="U44" s="197">
        <v>19.146435810504411</v>
      </c>
      <c r="V44" s="197">
        <v>19.17971007174912</v>
      </c>
      <c r="W44" s="197">
        <v>19.213643003091111</v>
      </c>
      <c r="X44" s="197">
        <v>19.248252509867299</v>
      </c>
      <c r="Y44" s="197">
        <v>20.11213769835604</v>
      </c>
      <c r="Z44" s="197">
        <v>19.59609867326996</v>
      </c>
      <c r="AA44" s="197">
        <v>19.634903630012719</v>
      </c>
      <c r="AB44" s="197">
        <v>19.674503636965611</v>
      </c>
      <c r="AC44" s="197">
        <v>19.714920416388331</v>
      </c>
      <c r="AD44" s="197">
        <v>20.59739918123546</v>
      </c>
      <c r="AE44" s="197">
        <v>20.13746478479597</v>
      </c>
      <c r="AF44" s="197">
        <v>20.182526810674819</v>
      </c>
      <c r="AG44" s="197">
        <v>20.22854061895077</v>
      </c>
      <c r="AH44" s="197">
        <v>20.275532350857169</v>
      </c>
      <c r="AI44" s="197">
        <v>20.499632393118588</v>
      </c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</row>
    <row r="45" spans="1:50" ht="15" customHeight="1">
      <c r="B45" s="19"/>
      <c r="C45" s="19"/>
      <c r="D45" s="19"/>
      <c r="E45" s="19" t="s">
        <v>145</v>
      </c>
      <c r="F45" s="19"/>
      <c r="G45" s="211" t="s">
        <v>142</v>
      </c>
      <c r="H45" s="19"/>
      <c r="J45" s="19"/>
      <c r="K45" s="197">
        <v>1.164264267769374</v>
      </c>
      <c r="L45" s="197">
        <v>1.149514665072112</v>
      </c>
      <c r="M45" s="197">
        <v>1.138718554127788</v>
      </c>
      <c r="N45" s="197">
        <v>1.128024034181941</v>
      </c>
      <c r="O45" s="197">
        <v>1.117430147480494</v>
      </c>
      <c r="P45" s="197">
        <v>1.106935945314969</v>
      </c>
      <c r="Q45" s="197">
        <v>1.096540487936903</v>
      </c>
      <c r="R45" s="197">
        <v>1.0862428444730801</v>
      </c>
      <c r="S45" s="197">
        <v>1.076042092841567</v>
      </c>
      <c r="T45" s="197">
        <v>1.065937319668538</v>
      </c>
      <c r="U45" s="197">
        <v>1.0559276202058969</v>
      </c>
      <c r="V45" s="197">
        <v>1.046012098249669</v>
      </c>
      <c r="W45" s="197">
        <v>1.03618986605918</v>
      </c>
      <c r="X45" s="197">
        <v>1.0264600442769869</v>
      </c>
      <c r="Y45" s="197">
        <v>1.0168217618495781</v>
      </c>
      <c r="Z45" s="197">
        <v>1.0072741559488181</v>
      </c>
      <c r="AA45" s="197">
        <v>0.99781637189414019</v>
      </c>
      <c r="AB45" s="197">
        <v>0.98844756307547676</v>
      </c>
      <c r="AC45" s="197">
        <v>0.97916689087691688</v>
      </c>
      <c r="AD45" s="197">
        <v>0.96997352460108877</v>
      </c>
      <c r="AE45" s="197">
        <v>0.96086664139426037</v>
      </c>
      <c r="AF45" s="197">
        <v>0.95184542617214707</v>
      </c>
      <c r="AG45" s="197">
        <v>0.94290907154642301</v>
      </c>
      <c r="AH45" s="197">
        <v>0.93405677775193086</v>
      </c>
      <c r="AI45" s="197">
        <v>0.9252877525745774</v>
      </c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</row>
    <row r="46" spans="1:50" ht="15" customHeight="1"/>
    <row r="47" spans="1:50" ht="26" customHeight="1">
      <c r="A47" s="70"/>
      <c r="B47" s="19"/>
      <c r="C47" s="19"/>
      <c r="D47" s="19"/>
      <c r="E47" s="19" t="s">
        <v>107</v>
      </c>
      <c r="F47" s="19"/>
      <c r="G47" s="69" t="str">
        <f>G24</f>
        <v>Jan 2015 = 100</v>
      </c>
      <c r="H47" s="69" t="s">
        <v>109</v>
      </c>
      <c r="I47" s="82">
        <f>I24</f>
        <v>132.9</v>
      </c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</row>
    <row r="48" spans="1:50" ht="13" customHeight="1">
      <c r="A48" s="70"/>
      <c r="B48" s="19"/>
      <c r="C48" s="19"/>
      <c r="D48" s="19"/>
      <c r="E48" s="129" t="str">
        <f>IF(E25="","",E25)</f>
        <v/>
      </c>
      <c r="G48" s="199" t="str">
        <f t="shared" ref="G48:I49" si="7">IF(G25="","",G25)</f>
        <v/>
      </c>
      <c r="H48" s="199" t="str">
        <f t="shared" si="7"/>
        <v/>
      </c>
      <c r="I48" s="198" t="str">
        <f t="shared" si="7"/>
        <v/>
      </c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</row>
    <row r="49" spans="1:50" ht="13" customHeight="1">
      <c r="A49" s="70"/>
      <c r="B49" s="19"/>
      <c r="C49" s="19"/>
      <c r="D49" s="19"/>
      <c r="E49" s="129" t="str">
        <f>IF(E26="","",E26)</f>
        <v/>
      </c>
      <c r="G49" s="199" t="str">
        <f t="shared" si="7"/>
        <v/>
      </c>
      <c r="H49" s="199" t="str">
        <f t="shared" si="7"/>
        <v/>
      </c>
      <c r="I49" s="198" t="str">
        <f t="shared" si="7"/>
        <v/>
      </c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</row>
    <row r="50" spans="1:50" ht="13" customHeight="1">
      <c r="G50" s="70"/>
      <c r="H50" s="70"/>
      <c r="I50" s="81"/>
    </row>
    <row r="51" spans="1:50" ht="26" customHeight="1">
      <c r="E51" s="130" t="s">
        <v>146</v>
      </c>
      <c r="G51" s="18" t="s">
        <v>108</v>
      </c>
      <c r="H51" s="131" t="s">
        <v>147</v>
      </c>
      <c r="I51" s="197">
        <v>120.3716246263958</v>
      </c>
      <c r="J51" s="19"/>
      <c r="K51" s="132"/>
    </row>
    <row r="52" spans="1:50" ht="13" customHeight="1">
      <c r="A52" s="70"/>
      <c r="E52" s="129"/>
      <c r="G52" s="200" t="str">
        <f>IF(G25="","",G25)</f>
        <v/>
      </c>
      <c r="I52" s="198"/>
      <c r="J52" s="19"/>
      <c r="K52" s="132"/>
    </row>
    <row r="53" spans="1:50" ht="13" customHeight="1">
      <c r="A53" s="70"/>
      <c r="E53" s="129"/>
      <c r="G53" s="200" t="str">
        <f>IF(G26="","",G26)</f>
        <v/>
      </c>
      <c r="I53" s="198"/>
      <c r="J53" s="19"/>
    </row>
    <row r="54" spans="1:50" ht="15" customHeight="1"/>
    <row r="55" spans="1:50" ht="13" customHeight="1">
      <c r="A55" s="70"/>
      <c r="E55" s="129" t="str">
        <f>IF(E30="","",E30)</f>
        <v/>
      </c>
      <c r="G55" s="128" t="str">
        <f>IF(G30="","",G30)</f>
        <v/>
      </c>
      <c r="H55" s="128" t="str">
        <f>IF(H30="","",H30)</f>
        <v/>
      </c>
      <c r="K55" s="198"/>
      <c r="L55" s="198"/>
      <c r="M55" s="198"/>
      <c r="N55" s="198"/>
      <c r="O55" s="198"/>
      <c r="P55" s="198"/>
      <c r="Q55" s="198"/>
      <c r="R55" s="198"/>
      <c r="S55" s="198"/>
      <c r="T55" s="198"/>
      <c r="U55" s="198"/>
      <c r="V55" s="198"/>
      <c r="W55" s="198"/>
      <c r="X55" s="198"/>
      <c r="Y55" s="198"/>
      <c r="Z55" s="198"/>
      <c r="AA55" s="198"/>
      <c r="AB55" s="198"/>
      <c r="AC55" s="198"/>
      <c r="AD55" s="198"/>
      <c r="AE55" s="198"/>
      <c r="AF55" s="198"/>
      <c r="AG55" s="198"/>
      <c r="AH55" s="198"/>
      <c r="AI55" s="198"/>
    </row>
    <row r="56" spans="1:50" ht="15" customHeight="1"/>
    <row r="57" spans="1:50" ht="15" customHeight="1">
      <c r="A57" s="19"/>
      <c r="B57" s="19"/>
      <c r="C57" s="19"/>
      <c r="D57" s="19"/>
      <c r="E57" s="85" t="s">
        <v>148</v>
      </c>
      <c r="F57" s="19"/>
      <c r="G57" s="19"/>
      <c r="H57" s="19"/>
      <c r="I57" s="82">
        <f>IF($I$6=100%,(I51/$I$47),$I$6*(I51/$I$47)+$I$7*((I52/$I$48)/(I53/$I$49)))</f>
        <v>0.90573080982991572</v>
      </c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</row>
    <row r="58" spans="1:50" ht="1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</row>
    <row r="59" spans="1:50" ht="13" customHeight="1">
      <c r="A59" s="69"/>
      <c r="B59" s="19"/>
      <c r="C59" s="19"/>
      <c r="D59" s="19"/>
      <c r="E59" s="19" t="str">
        <f>E42</f>
        <v>Replacement Capex</v>
      </c>
      <c r="F59" s="19"/>
      <c r="G59" s="5" t="str">
        <f>$I$11</f>
        <v>£m 2024 CPIH prices</v>
      </c>
      <c r="H59" s="19"/>
      <c r="I59" s="19"/>
      <c r="J59" s="19"/>
      <c r="K59" s="111">
        <f t="shared" ref="K59:AI59" si="8">IF($I$9="£",K42/$I$57,K42/K$55/$I$57)</f>
        <v>0</v>
      </c>
      <c r="L59" s="111">
        <f t="shared" si="8"/>
        <v>0</v>
      </c>
      <c r="M59" s="111">
        <f t="shared" si="8"/>
        <v>0</v>
      </c>
      <c r="N59" s="111">
        <f t="shared" si="8"/>
        <v>0</v>
      </c>
      <c r="O59" s="111">
        <f t="shared" si="8"/>
        <v>0</v>
      </c>
      <c r="P59" s="111">
        <f t="shared" si="8"/>
        <v>0</v>
      </c>
      <c r="Q59" s="111">
        <f t="shared" si="8"/>
        <v>2.9729815045105061</v>
      </c>
      <c r="R59" s="111">
        <f t="shared" si="8"/>
        <v>4.1363875103152434</v>
      </c>
      <c r="S59" s="111">
        <f t="shared" si="8"/>
        <v>0</v>
      </c>
      <c r="T59" s="111">
        <f t="shared" si="8"/>
        <v>1.3691398221820026</v>
      </c>
      <c r="U59" s="111">
        <f t="shared" si="8"/>
        <v>0</v>
      </c>
      <c r="V59" s="111">
        <f t="shared" si="8"/>
        <v>0.83576877581404474</v>
      </c>
      <c r="W59" s="111">
        <f t="shared" si="8"/>
        <v>1.4074352709054931</v>
      </c>
      <c r="X59" s="111">
        <f t="shared" si="8"/>
        <v>4.7479656646117609</v>
      </c>
      <c r="Y59" s="111">
        <f t="shared" si="8"/>
        <v>0</v>
      </c>
      <c r="Z59" s="111">
        <f t="shared" si="8"/>
        <v>0</v>
      </c>
      <c r="AA59" s="111">
        <f t="shared" si="8"/>
        <v>28.458541745159415</v>
      </c>
      <c r="AB59" s="111">
        <f t="shared" si="8"/>
        <v>0</v>
      </c>
      <c r="AC59" s="111">
        <f t="shared" si="8"/>
        <v>0</v>
      </c>
      <c r="AD59" s="111">
        <f t="shared" si="8"/>
        <v>1.3691398221820026</v>
      </c>
      <c r="AE59" s="111">
        <f t="shared" si="8"/>
        <v>2.9729815045105061</v>
      </c>
      <c r="AF59" s="111">
        <f t="shared" si="8"/>
        <v>0</v>
      </c>
      <c r="AG59" s="111">
        <f t="shared" si="8"/>
        <v>0</v>
      </c>
      <c r="AH59" s="111">
        <f t="shared" si="8"/>
        <v>0</v>
      </c>
      <c r="AI59" s="111">
        <f t="shared" si="8"/>
        <v>0</v>
      </c>
      <c r="AJ59" s="61"/>
      <c r="AK59" s="61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</row>
    <row r="60" spans="1:50" ht="13" customHeight="1">
      <c r="A60" s="69"/>
      <c r="B60" s="19"/>
      <c r="C60" s="19"/>
      <c r="D60" s="19"/>
      <c r="E60" s="19" t="str">
        <f>E43</f>
        <v>Decommissioning baseline</v>
      </c>
      <c r="F60" s="19"/>
      <c r="G60" s="5" t="str">
        <f>$I$11</f>
        <v>£m 2024 CPIH prices</v>
      </c>
      <c r="H60" s="19"/>
      <c r="I60" s="19"/>
      <c r="J60" s="19"/>
      <c r="K60" s="111">
        <f t="shared" ref="K60:AI60" si="9">IF($I$9="£",K43/$I$57,K43/K$55/$I$57)</f>
        <v>0</v>
      </c>
      <c r="L60" s="111">
        <f t="shared" si="9"/>
        <v>0</v>
      </c>
      <c r="M60" s="111">
        <f t="shared" si="9"/>
        <v>0</v>
      </c>
      <c r="N60" s="111">
        <f t="shared" si="9"/>
        <v>0</v>
      </c>
      <c r="O60" s="111">
        <f t="shared" si="9"/>
        <v>0</v>
      </c>
      <c r="P60" s="111">
        <f t="shared" si="9"/>
        <v>0</v>
      </c>
      <c r="Q60" s="111">
        <f t="shared" si="9"/>
        <v>0</v>
      </c>
      <c r="R60" s="111">
        <f t="shared" si="9"/>
        <v>0</v>
      </c>
      <c r="S60" s="111">
        <f t="shared" si="9"/>
        <v>0</v>
      </c>
      <c r="T60" s="111">
        <f t="shared" si="9"/>
        <v>0</v>
      </c>
      <c r="U60" s="111">
        <f t="shared" si="9"/>
        <v>0</v>
      </c>
      <c r="V60" s="111">
        <f t="shared" si="9"/>
        <v>0</v>
      </c>
      <c r="W60" s="111">
        <f t="shared" si="9"/>
        <v>0</v>
      </c>
      <c r="X60" s="111">
        <f t="shared" si="9"/>
        <v>0</v>
      </c>
      <c r="Y60" s="111">
        <f t="shared" si="9"/>
        <v>0</v>
      </c>
      <c r="Z60" s="111">
        <f t="shared" si="9"/>
        <v>0</v>
      </c>
      <c r="AA60" s="111">
        <f t="shared" si="9"/>
        <v>0</v>
      </c>
      <c r="AB60" s="111">
        <f t="shared" si="9"/>
        <v>0</v>
      </c>
      <c r="AC60" s="111">
        <f t="shared" si="9"/>
        <v>0</v>
      </c>
      <c r="AD60" s="111">
        <f t="shared" si="9"/>
        <v>0</v>
      </c>
      <c r="AE60" s="111">
        <f t="shared" si="9"/>
        <v>0</v>
      </c>
      <c r="AF60" s="111">
        <f t="shared" si="9"/>
        <v>0</v>
      </c>
      <c r="AG60" s="111">
        <f t="shared" si="9"/>
        <v>0</v>
      </c>
      <c r="AH60" s="111">
        <f t="shared" si="9"/>
        <v>0</v>
      </c>
      <c r="AI60" s="111">
        <f t="shared" si="9"/>
        <v>31.739482892968308</v>
      </c>
      <c r="AJ60" s="61"/>
      <c r="AK60" s="61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</row>
    <row r="61" spans="1:50" ht="13" customHeight="1">
      <c r="A61" s="69"/>
      <c r="B61" s="19"/>
      <c r="C61" s="19"/>
      <c r="D61" s="19"/>
      <c r="E61" s="19" t="str">
        <f>E44</f>
        <v>Controllable Opex</v>
      </c>
      <c r="F61" s="19"/>
      <c r="G61" s="5" t="str">
        <f>$I$11</f>
        <v>£m 2024 CPIH prices</v>
      </c>
      <c r="H61" s="19"/>
      <c r="I61" s="19"/>
      <c r="J61" s="19"/>
      <c r="K61" s="111">
        <f t="shared" ref="K61:AI61" si="10">IF($I$9="£",K44/$I$57,K44/K$55/$I$57)</f>
        <v>17.488733201264555</v>
      </c>
      <c r="L61" s="111">
        <f t="shared" si="10"/>
        <v>13.142124136845304</v>
      </c>
      <c r="M61" s="111">
        <f t="shared" si="10"/>
        <v>17.966473341577135</v>
      </c>
      <c r="N61" s="111">
        <f t="shared" si="10"/>
        <v>17.622780889155319</v>
      </c>
      <c r="O61" s="111">
        <f t="shared" si="10"/>
        <v>18.80025030566383</v>
      </c>
      <c r="P61" s="111">
        <f t="shared" si="10"/>
        <v>18.751885431219836</v>
      </c>
      <c r="Q61" s="111">
        <f t="shared" si="10"/>
        <v>18.538975015950513</v>
      </c>
      <c r="R61" s="111">
        <f t="shared" si="10"/>
        <v>19.984935368679579</v>
      </c>
      <c r="S61" s="111">
        <f t="shared" si="10"/>
        <v>20.397650064444058</v>
      </c>
      <c r="T61" s="111">
        <f t="shared" si="10"/>
        <v>21.526603346551802</v>
      </c>
      <c r="U61" s="111">
        <f t="shared" si="10"/>
        <v>21.139212228078957</v>
      </c>
      <c r="V61" s="111">
        <f t="shared" si="10"/>
        <v>21.175949701159904</v>
      </c>
      <c r="W61" s="111">
        <f t="shared" si="10"/>
        <v>21.213414399250897</v>
      </c>
      <c r="X61" s="111">
        <f t="shared" si="10"/>
        <v>21.251626091290706</v>
      </c>
      <c r="Y61" s="111">
        <f t="shared" si="10"/>
        <v>22.205425144069942</v>
      </c>
      <c r="Z61" s="111">
        <f t="shared" si="10"/>
        <v>21.635676362770358</v>
      </c>
      <c r="AA61" s="111">
        <f t="shared" si="10"/>
        <v>21.678520170579041</v>
      </c>
      <c r="AB61" s="111">
        <f t="shared" si="10"/>
        <v>21.722241778062315</v>
      </c>
      <c r="AC61" s="111">
        <f t="shared" si="10"/>
        <v>21.766865168350112</v>
      </c>
      <c r="AD61" s="111">
        <f t="shared" si="10"/>
        <v>22.741193031849473</v>
      </c>
      <c r="AE61" s="111">
        <f t="shared" si="10"/>
        <v>22.233388294009256</v>
      </c>
      <c r="AF61" s="111">
        <f t="shared" si="10"/>
        <v>22.283140411735392</v>
      </c>
      <c r="AG61" s="111">
        <f t="shared" si="10"/>
        <v>22.333943374134996</v>
      </c>
      <c r="AH61" s="111">
        <f t="shared" si="10"/>
        <v>22.385826043241973</v>
      </c>
      <c r="AI61" s="111">
        <f t="shared" si="10"/>
        <v>22.633250597899114</v>
      </c>
      <c r="AJ61" s="61"/>
      <c r="AK61" s="61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</row>
    <row r="62" spans="1:50" ht="13" customHeight="1">
      <c r="A62" s="69"/>
      <c r="B62" s="19"/>
      <c r="C62" s="19"/>
      <c r="D62" s="19"/>
      <c r="E62" s="19" t="str">
        <f>E45</f>
        <v>Non-controllable Opex baseline</v>
      </c>
      <c r="F62" s="19"/>
      <c r="G62" s="5" t="str">
        <f>$I$11</f>
        <v>£m 2024 CPIH prices</v>
      </c>
      <c r="H62" s="19"/>
      <c r="I62" s="19"/>
      <c r="J62" s="19"/>
      <c r="K62" s="111">
        <f t="shared" ref="K62:AI62" si="11">IF($I$9="£",K45/$I$57,K45/K$55/$I$57)</f>
        <v>1.2854418278958706</v>
      </c>
      <c r="L62" s="111">
        <f t="shared" si="11"/>
        <v>1.2691570747029965</v>
      </c>
      <c r="M62" s="111">
        <f t="shared" si="11"/>
        <v>1.2572372958601512</v>
      </c>
      <c r="N62" s="111">
        <f t="shared" si="11"/>
        <v>1.245429681688502</v>
      </c>
      <c r="O62" s="111">
        <f t="shared" si="11"/>
        <v>1.2337331747501585</v>
      </c>
      <c r="P62" s="111">
        <f t="shared" si="11"/>
        <v>1.2221467275943025</v>
      </c>
      <c r="Q62" s="111">
        <f t="shared" si="11"/>
        <v>1.210669302662696</v>
      </c>
      <c r="R62" s="111">
        <f t="shared" si="11"/>
        <v>1.1992998721960912</v>
      </c>
      <c r="S62" s="111">
        <f t="shared" si="11"/>
        <v>1.1880374181415265</v>
      </c>
      <c r="T62" s="111">
        <f t="shared" si="11"/>
        <v>1.1768809320604949</v>
      </c>
      <c r="U62" s="111">
        <f t="shared" si="11"/>
        <v>1.1658294150379915</v>
      </c>
      <c r="V62" s="111">
        <f t="shared" si="11"/>
        <v>1.1548818775924121</v>
      </c>
      <c r="W62" s="111">
        <f t="shared" si="11"/>
        <v>1.1440373395863201</v>
      </c>
      <c r="X62" s="111">
        <f t="shared" si="11"/>
        <v>1.1332948301380434</v>
      </c>
      <c r="Y62" s="111">
        <f t="shared" si="11"/>
        <v>1.1226533875341216</v>
      </c>
      <c r="Z62" s="111">
        <f t="shared" si="11"/>
        <v>1.1121120591425733</v>
      </c>
      <c r="AA62" s="111">
        <f t="shared" si="11"/>
        <v>1.1016699013269924</v>
      </c>
      <c r="AB62" s="111">
        <f t="shared" si="11"/>
        <v>1.0913259793614554</v>
      </c>
      <c r="AC62" s="111">
        <f t="shared" si="11"/>
        <v>1.0810793673462333</v>
      </c>
      <c r="AD62" s="111">
        <f t="shared" si="11"/>
        <v>1.0709291481243053</v>
      </c>
      <c r="AE62" s="111">
        <f t="shared" si="11"/>
        <v>1.0608744131986616</v>
      </c>
      <c r="AF62" s="111">
        <f t="shared" si="11"/>
        <v>1.0509142626503907</v>
      </c>
      <c r="AG62" s="111">
        <f t="shared" si="11"/>
        <v>1.0410478050575411</v>
      </c>
      <c r="AH62" s="111">
        <f t="shared" si="11"/>
        <v>1.0312741574147559</v>
      </c>
      <c r="AI62" s="111">
        <f t="shared" si="11"/>
        <v>1.0215924450536624</v>
      </c>
      <c r="AJ62" s="61"/>
      <c r="AK62" s="61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</row>
    <row r="63" spans="1:50" ht="15" customHeight="1"/>
    <row r="64" spans="1:50" ht="15" customHeight="1">
      <c r="A64" s="5"/>
      <c r="B64" s="126" t="s">
        <v>149</v>
      </c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</row>
    <row r="65" spans="1:50" ht="15" customHeight="1">
      <c r="A65" s="5"/>
      <c r="B65" s="5"/>
      <c r="C65" s="5"/>
      <c r="D65" s="5"/>
      <c r="E65" s="5"/>
      <c r="F65" s="5"/>
      <c r="G65" s="5"/>
      <c r="H65" s="5"/>
      <c r="I65" s="6"/>
      <c r="J65" s="6"/>
      <c r="K65" s="5"/>
      <c r="L65" s="5"/>
      <c r="M65" s="5"/>
      <c r="N65" s="5"/>
      <c r="O65" s="5"/>
      <c r="P65" s="6"/>
      <c r="Q65" s="6"/>
      <c r="R65" s="6"/>
      <c r="S65" s="5"/>
      <c r="T65" s="5"/>
      <c r="U65" s="5"/>
      <c r="V65" s="5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</row>
    <row r="66" spans="1:50" ht="15" customHeight="1">
      <c r="A66" s="5"/>
      <c r="B66" s="5"/>
      <c r="C66" s="12" t="s">
        <v>27</v>
      </c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</row>
    <row r="67" spans="1:50" ht="15" customHeight="1">
      <c r="A67" s="5"/>
      <c r="B67" s="5"/>
      <c r="C67" s="5"/>
      <c r="D67" s="5"/>
      <c r="E67" s="5"/>
      <c r="F67" s="5"/>
      <c r="G67" s="5"/>
      <c r="H67" s="5"/>
      <c r="I67" s="6"/>
      <c r="J67" s="6"/>
      <c r="P67" s="6"/>
      <c r="Y67" s="7"/>
      <c r="Z67" s="7"/>
      <c r="AA67" s="7"/>
      <c r="AB67" s="7"/>
      <c r="AC67" s="7"/>
      <c r="AD67" s="7"/>
      <c r="AE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</row>
    <row r="68" spans="1:50" ht="13" customHeight="1">
      <c r="B68" s="19"/>
      <c r="C68" s="19"/>
      <c r="D68" s="19"/>
      <c r="E68" s="19" t="s">
        <v>150</v>
      </c>
      <c r="F68" s="19"/>
      <c r="G68" s="5" t="s">
        <v>151</v>
      </c>
      <c r="H68" s="19"/>
      <c r="I68" s="112">
        <v>7.4200000000000002E-2</v>
      </c>
      <c r="J68" s="19"/>
      <c r="K68" s="19"/>
      <c r="L68" s="19"/>
      <c r="M68" s="19"/>
      <c r="N68" s="19"/>
      <c r="O68" s="19"/>
      <c r="P68" s="6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</row>
    <row r="69" spans="1:50" ht="15" customHeight="1">
      <c r="A69" s="19"/>
      <c r="B69" s="19"/>
      <c r="C69" s="19"/>
      <c r="D69" s="19"/>
      <c r="E69" s="19" t="s">
        <v>152</v>
      </c>
      <c r="F69" s="5"/>
      <c r="G69" s="5" t="s">
        <v>151</v>
      </c>
      <c r="H69" s="19"/>
      <c r="I69" s="112">
        <v>-2.1247686210128631E-3</v>
      </c>
      <c r="J69" s="19"/>
      <c r="K69" s="19"/>
      <c r="L69" s="19"/>
      <c r="M69" s="19"/>
      <c r="N69" s="19"/>
      <c r="O69" s="19"/>
      <c r="P69" s="6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</row>
    <row r="70" spans="1:50" ht="15" customHeight="1">
      <c r="A70" s="19"/>
      <c r="B70" s="19"/>
      <c r="C70" s="19"/>
      <c r="D70" s="19"/>
      <c r="E70" s="19" t="s">
        <v>153</v>
      </c>
      <c r="F70" s="19"/>
      <c r="G70" s="5" t="s">
        <v>151</v>
      </c>
      <c r="H70" s="19"/>
      <c r="I70" s="112">
        <v>5.3800000000000001E-2</v>
      </c>
      <c r="J70" s="19"/>
      <c r="K70" s="19"/>
      <c r="L70" s="19"/>
      <c r="M70" s="19"/>
      <c r="N70" s="19"/>
      <c r="O70" s="19"/>
      <c r="P70" s="6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</row>
    <row r="71" spans="1:50" ht="15" customHeight="1">
      <c r="A71" s="19"/>
      <c r="B71" s="19"/>
      <c r="C71" s="19"/>
      <c r="D71" s="19"/>
      <c r="E71" s="19" t="s">
        <v>154</v>
      </c>
      <c r="F71" s="19"/>
      <c r="G71" s="5" t="s">
        <v>151</v>
      </c>
      <c r="H71" s="19"/>
      <c r="I71" s="90">
        <f>I69</f>
        <v>-2.1247686210128631E-3</v>
      </c>
      <c r="J71" s="19"/>
      <c r="K71" s="19"/>
      <c r="L71" s="19"/>
      <c r="M71" s="19"/>
      <c r="N71" s="19"/>
      <c r="O71" s="19"/>
      <c r="P71" s="6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</row>
    <row r="72" spans="1:50" ht="15" customHeight="1">
      <c r="A72" s="19"/>
      <c r="B72" s="19"/>
      <c r="C72" s="19"/>
      <c r="D72" s="19"/>
      <c r="E72" s="19"/>
      <c r="F72" s="19"/>
      <c r="G72" s="5"/>
      <c r="H72" s="19"/>
      <c r="I72" s="90"/>
      <c r="J72" s="19"/>
      <c r="K72" s="19"/>
      <c r="L72" s="19"/>
      <c r="M72" s="19"/>
      <c r="N72" s="19"/>
      <c r="O72" s="19"/>
      <c r="P72" s="6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</row>
    <row r="73" spans="1:50" ht="13" customHeight="1">
      <c r="B73" s="19"/>
      <c r="C73" s="19"/>
      <c r="D73" s="19"/>
      <c r="E73" s="19" t="s">
        <v>155</v>
      </c>
      <c r="F73" s="19"/>
      <c r="G73" s="5" t="s">
        <v>94</v>
      </c>
      <c r="H73" s="19"/>
      <c r="I73" s="112">
        <v>0.40610000000000002</v>
      </c>
      <c r="J73" s="19"/>
      <c r="K73" s="19"/>
      <c r="L73" s="19"/>
      <c r="M73" s="19"/>
      <c r="N73" s="19"/>
      <c r="O73" s="19"/>
      <c r="P73" s="6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</row>
    <row r="74" spans="1:50" ht="13" customHeight="1">
      <c r="B74" s="19"/>
      <c r="C74" s="19"/>
      <c r="D74" s="19"/>
      <c r="E74" s="19" t="s">
        <v>156</v>
      </c>
      <c r="F74" s="19"/>
      <c r="G74" s="5" t="s">
        <v>94</v>
      </c>
      <c r="H74" s="19"/>
      <c r="I74" s="112">
        <v>0.5</v>
      </c>
      <c r="J74" s="19"/>
      <c r="K74" s="19"/>
      <c r="L74" s="19"/>
      <c r="M74" s="19"/>
      <c r="N74" s="19"/>
      <c r="O74" s="19"/>
      <c r="P74" s="6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</row>
    <row r="75" spans="1:50" ht="15" customHeight="1">
      <c r="A75" s="19"/>
      <c r="B75" s="19"/>
      <c r="C75" s="19"/>
      <c r="D75" s="19"/>
      <c r="E75" s="59"/>
      <c r="F75" s="19"/>
      <c r="G75" s="5"/>
      <c r="H75" s="19"/>
      <c r="I75" s="45"/>
      <c r="J75" s="19"/>
      <c r="K75" s="19"/>
      <c r="L75" s="19"/>
      <c r="M75" s="19"/>
      <c r="N75" s="19"/>
      <c r="O75" s="19"/>
      <c r="P75" s="6"/>
      <c r="Q75" s="6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</row>
    <row r="76" spans="1:50" ht="15" customHeight="1">
      <c r="A76" s="19"/>
      <c r="B76" s="19"/>
      <c r="C76" s="19"/>
      <c r="D76" s="19"/>
      <c r="E76" s="19" t="s">
        <v>157</v>
      </c>
      <c r="F76" s="19"/>
      <c r="G76" s="5" t="s">
        <v>94</v>
      </c>
      <c r="H76" s="19"/>
      <c r="I76" s="112">
        <v>0.05</v>
      </c>
      <c r="J76" s="19"/>
      <c r="K76" s="19"/>
      <c r="L76" s="19"/>
      <c r="M76" s="19"/>
      <c r="N76" s="19"/>
      <c r="O76" s="19"/>
      <c r="P76" s="6"/>
      <c r="Q76" s="6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</row>
    <row r="77" spans="1:50" ht="15" customHeight="1">
      <c r="A77" s="19"/>
      <c r="B77" s="19"/>
      <c r="C77" s="19"/>
      <c r="D77" s="19"/>
      <c r="E77" s="19" t="s">
        <v>158</v>
      </c>
      <c r="F77" s="19"/>
      <c r="G77" s="5" t="s">
        <v>94</v>
      </c>
      <c r="H77" s="19"/>
      <c r="I77" s="112">
        <v>2.5000000000000001E-2</v>
      </c>
      <c r="J77" s="19"/>
      <c r="K77" s="19"/>
      <c r="L77" s="19"/>
      <c r="M77" s="19"/>
      <c r="N77" s="19"/>
      <c r="O77" s="19"/>
      <c r="P77" s="6"/>
      <c r="Q77" s="6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</row>
    <row r="78" spans="1:50" ht="15" customHeight="1">
      <c r="A78" s="19"/>
      <c r="B78" s="19"/>
      <c r="C78" s="19"/>
      <c r="D78" s="19"/>
      <c r="E78" s="19"/>
      <c r="F78" s="19"/>
      <c r="G78" s="5"/>
      <c r="H78" s="19"/>
      <c r="I78" s="18"/>
      <c r="J78" s="19"/>
      <c r="K78" s="19"/>
      <c r="L78" s="19"/>
      <c r="M78" s="19"/>
      <c r="N78" s="19"/>
      <c r="O78" s="19"/>
      <c r="P78" s="6"/>
      <c r="Q78" s="6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</row>
    <row r="79" spans="1:50" ht="15" customHeight="1">
      <c r="A79" s="5"/>
      <c r="B79" s="5"/>
      <c r="C79" s="12" t="s">
        <v>159</v>
      </c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</row>
    <row r="80" spans="1:50" ht="15" customHeight="1">
      <c r="A80" s="5"/>
      <c r="B80" s="5"/>
      <c r="C80" s="3" t="s">
        <v>160</v>
      </c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</row>
    <row r="81" spans="1:50" ht="15" customHeight="1">
      <c r="A81" s="75"/>
      <c r="B81" s="75"/>
      <c r="C81" s="75"/>
      <c r="D81" s="75"/>
      <c r="E81" s="10" t="s">
        <v>102</v>
      </c>
      <c r="F81" s="77"/>
      <c r="G81" s="77"/>
      <c r="H81" s="77"/>
      <c r="I81" s="77"/>
      <c r="J81" s="76"/>
      <c r="K81" s="180">
        <f>$I$84</f>
        <v>39904</v>
      </c>
      <c r="L81" s="11">
        <f t="shared" ref="L81:AX81" si="12">+K82+1</f>
        <v>40269</v>
      </c>
      <c r="M81" s="11">
        <f t="shared" si="12"/>
        <v>40634</v>
      </c>
      <c r="N81" s="11">
        <f t="shared" si="12"/>
        <v>41000</v>
      </c>
      <c r="O81" s="11">
        <f t="shared" si="12"/>
        <v>41365</v>
      </c>
      <c r="P81" s="11">
        <f t="shared" si="12"/>
        <v>41730</v>
      </c>
      <c r="Q81" s="11">
        <f t="shared" si="12"/>
        <v>42095</v>
      </c>
      <c r="R81" s="11">
        <f t="shared" si="12"/>
        <v>42461</v>
      </c>
      <c r="S81" s="11">
        <f t="shared" si="12"/>
        <v>42826</v>
      </c>
      <c r="T81" s="11">
        <f t="shared" si="12"/>
        <v>43191</v>
      </c>
      <c r="U81" s="11">
        <f t="shared" si="12"/>
        <v>43556</v>
      </c>
      <c r="V81" s="11">
        <f t="shared" si="12"/>
        <v>43922</v>
      </c>
      <c r="W81" s="11">
        <f t="shared" si="12"/>
        <v>44287</v>
      </c>
      <c r="X81" s="11">
        <f t="shared" si="12"/>
        <v>44652</v>
      </c>
      <c r="Y81" s="11">
        <f t="shared" si="12"/>
        <v>45017</v>
      </c>
      <c r="Z81" s="11">
        <f t="shared" si="12"/>
        <v>45383</v>
      </c>
      <c r="AA81" s="11">
        <f t="shared" si="12"/>
        <v>45748</v>
      </c>
      <c r="AB81" s="11">
        <f t="shared" si="12"/>
        <v>46113</v>
      </c>
      <c r="AC81" s="11">
        <f t="shared" si="12"/>
        <v>46478</v>
      </c>
      <c r="AD81" s="11">
        <f t="shared" si="12"/>
        <v>46844</v>
      </c>
      <c r="AE81" s="11">
        <f t="shared" si="12"/>
        <v>47209</v>
      </c>
      <c r="AF81" s="11">
        <f t="shared" si="12"/>
        <v>47574</v>
      </c>
      <c r="AG81" s="11">
        <f t="shared" si="12"/>
        <v>47939</v>
      </c>
      <c r="AH81" s="11">
        <f t="shared" si="12"/>
        <v>48305</v>
      </c>
      <c r="AI81" s="11">
        <f t="shared" si="12"/>
        <v>48670</v>
      </c>
      <c r="AJ81" s="11">
        <f t="shared" si="12"/>
        <v>49035</v>
      </c>
      <c r="AK81" s="11">
        <f t="shared" si="12"/>
        <v>49400</v>
      </c>
      <c r="AL81" s="11">
        <f t="shared" si="12"/>
        <v>49766</v>
      </c>
      <c r="AM81" s="11">
        <f t="shared" si="12"/>
        <v>50131</v>
      </c>
      <c r="AN81" s="11">
        <f t="shared" si="12"/>
        <v>50496</v>
      </c>
      <c r="AO81" s="11">
        <f t="shared" si="12"/>
        <v>50861</v>
      </c>
      <c r="AP81" s="11">
        <f t="shared" si="12"/>
        <v>51227</v>
      </c>
      <c r="AQ81" s="11">
        <f t="shared" si="12"/>
        <v>51592</v>
      </c>
      <c r="AR81" s="11">
        <f t="shared" si="12"/>
        <v>51957</v>
      </c>
      <c r="AS81" s="11">
        <f t="shared" si="12"/>
        <v>52322</v>
      </c>
      <c r="AT81" s="11">
        <f t="shared" si="12"/>
        <v>52688</v>
      </c>
      <c r="AU81" s="11">
        <f t="shared" si="12"/>
        <v>53053</v>
      </c>
      <c r="AV81" s="11">
        <f t="shared" si="12"/>
        <v>53418</v>
      </c>
      <c r="AW81" s="11">
        <f t="shared" si="12"/>
        <v>53783</v>
      </c>
      <c r="AX81" s="11">
        <f t="shared" si="12"/>
        <v>54149</v>
      </c>
    </row>
    <row r="82" spans="1:50" ht="15" customHeight="1">
      <c r="A82" s="78"/>
      <c r="B82" s="78"/>
      <c r="C82" s="78"/>
      <c r="D82" s="78"/>
      <c r="E82" s="10" t="s">
        <v>103</v>
      </c>
      <c r="F82" s="78"/>
      <c r="G82" s="78"/>
      <c r="H82" s="78"/>
      <c r="I82" s="79"/>
      <c r="J82" s="78"/>
      <c r="K82" s="180">
        <f>EOMONTH(K81,11)</f>
        <v>40268</v>
      </c>
      <c r="L82" s="11">
        <f t="shared" ref="L82:AX82" si="13">DATE(YEAR(K82) + 1, MONTH(K82), DAY(K82))</f>
        <v>40633</v>
      </c>
      <c r="M82" s="11">
        <f t="shared" si="13"/>
        <v>40999</v>
      </c>
      <c r="N82" s="11">
        <f t="shared" si="13"/>
        <v>41364</v>
      </c>
      <c r="O82" s="11">
        <f t="shared" si="13"/>
        <v>41729</v>
      </c>
      <c r="P82" s="11">
        <f t="shared" si="13"/>
        <v>42094</v>
      </c>
      <c r="Q82" s="11">
        <f t="shared" si="13"/>
        <v>42460</v>
      </c>
      <c r="R82" s="11">
        <f t="shared" si="13"/>
        <v>42825</v>
      </c>
      <c r="S82" s="11">
        <f t="shared" si="13"/>
        <v>43190</v>
      </c>
      <c r="T82" s="11">
        <f t="shared" si="13"/>
        <v>43555</v>
      </c>
      <c r="U82" s="11">
        <f t="shared" si="13"/>
        <v>43921</v>
      </c>
      <c r="V82" s="11">
        <f t="shared" si="13"/>
        <v>44286</v>
      </c>
      <c r="W82" s="11">
        <f t="shared" si="13"/>
        <v>44651</v>
      </c>
      <c r="X82" s="11">
        <f t="shared" si="13"/>
        <v>45016</v>
      </c>
      <c r="Y82" s="11">
        <f t="shared" si="13"/>
        <v>45382</v>
      </c>
      <c r="Z82" s="11">
        <f t="shared" si="13"/>
        <v>45747</v>
      </c>
      <c r="AA82" s="11">
        <f t="shared" si="13"/>
        <v>46112</v>
      </c>
      <c r="AB82" s="11">
        <f t="shared" si="13"/>
        <v>46477</v>
      </c>
      <c r="AC82" s="11">
        <f t="shared" si="13"/>
        <v>46843</v>
      </c>
      <c r="AD82" s="11">
        <f t="shared" si="13"/>
        <v>47208</v>
      </c>
      <c r="AE82" s="11">
        <f t="shared" si="13"/>
        <v>47573</v>
      </c>
      <c r="AF82" s="11">
        <f t="shared" si="13"/>
        <v>47938</v>
      </c>
      <c r="AG82" s="11">
        <f t="shared" si="13"/>
        <v>48304</v>
      </c>
      <c r="AH82" s="11">
        <f t="shared" si="13"/>
        <v>48669</v>
      </c>
      <c r="AI82" s="11">
        <f t="shared" si="13"/>
        <v>49034</v>
      </c>
      <c r="AJ82" s="11">
        <f t="shared" si="13"/>
        <v>49399</v>
      </c>
      <c r="AK82" s="11">
        <f t="shared" si="13"/>
        <v>49765</v>
      </c>
      <c r="AL82" s="11">
        <f t="shared" si="13"/>
        <v>50130</v>
      </c>
      <c r="AM82" s="11">
        <f t="shared" si="13"/>
        <v>50495</v>
      </c>
      <c r="AN82" s="11">
        <f t="shared" si="13"/>
        <v>50860</v>
      </c>
      <c r="AO82" s="11">
        <f t="shared" si="13"/>
        <v>51226</v>
      </c>
      <c r="AP82" s="11">
        <f t="shared" si="13"/>
        <v>51591</v>
      </c>
      <c r="AQ82" s="11">
        <f t="shared" si="13"/>
        <v>51956</v>
      </c>
      <c r="AR82" s="11">
        <f t="shared" si="13"/>
        <v>52321</v>
      </c>
      <c r="AS82" s="11">
        <f t="shared" si="13"/>
        <v>52687</v>
      </c>
      <c r="AT82" s="11">
        <f t="shared" si="13"/>
        <v>53052</v>
      </c>
      <c r="AU82" s="11">
        <f t="shared" si="13"/>
        <v>53417</v>
      </c>
      <c r="AV82" s="11">
        <f t="shared" si="13"/>
        <v>53782</v>
      </c>
      <c r="AW82" s="11">
        <f t="shared" si="13"/>
        <v>54148</v>
      </c>
      <c r="AX82" s="11">
        <f t="shared" si="13"/>
        <v>54513</v>
      </c>
    </row>
    <row r="83" spans="1:50" ht="15" customHeight="1"/>
    <row r="84" spans="1:50" ht="15" customHeight="1">
      <c r="A84" s="19"/>
      <c r="B84" s="19"/>
      <c r="C84" s="19"/>
      <c r="D84" s="19"/>
      <c r="E84" s="19" t="s">
        <v>161</v>
      </c>
      <c r="F84" s="19"/>
      <c r="G84" s="19" t="s">
        <v>162</v>
      </c>
      <c r="H84" s="19"/>
      <c r="I84" s="181">
        <v>39904</v>
      </c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</row>
    <row r="85" spans="1:50" ht="15" customHeight="1">
      <c r="A85" s="19"/>
      <c r="B85" s="19"/>
      <c r="C85" s="19"/>
      <c r="D85" s="19"/>
      <c r="E85" s="19" t="s">
        <v>163</v>
      </c>
      <c r="F85" s="19"/>
      <c r="G85" s="19" t="s">
        <v>162</v>
      </c>
      <c r="H85" s="19"/>
      <c r="I85" s="181">
        <v>44197</v>
      </c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</row>
    <row r="86" spans="1:50" ht="15" customHeight="1">
      <c r="A86" s="19"/>
      <c r="B86" s="19"/>
      <c r="C86" s="19"/>
      <c r="D86" s="19"/>
      <c r="E86" s="19" t="s">
        <v>164</v>
      </c>
      <c r="F86" s="19"/>
      <c r="G86" s="19" t="s">
        <v>162</v>
      </c>
      <c r="H86" s="19"/>
      <c r="I86" s="181">
        <v>44217</v>
      </c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</row>
    <row r="87" spans="1:50" ht="15" customHeight="1">
      <c r="A87" s="19"/>
      <c r="B87" s="19"/>
      <c r="C87" s="19"/>
      <c r="D87" s="19"/>
      <c r="E87" s="19" t="s">
        <v>165</v>
      </c>
      <c r="F87" s="19"/>
      <c r="G87" s="19" t="s">
        <v>162</v>
      </c>
      <c r="H87" s="19"/>
      <c r="I87" s="181">
        <v>44218</v>
      </c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</row>
    <row r="88" spans="1:50" ht="15" customHeight="1">
      <c r="A88" s="19"/>
      <c r="B88" s="19"/>
      <c r="C88" s="19"/>
      <c r="D88" s="19"/>
      <c r="E88" s="19" t="s">
        <v>166</v>
      </c>
      <c r="F88" s="19"/>
      <c r="G88" s="19" t="s">
        <v>162</v>
      </c>
      <c r="H88" s="19"/>
      <c r="I88" s="66">
        <f>DATE(YEAR($I$85)+I89,MONTH($I$85),DAY($I$85))-1</f>
        <v>53327</v>
      </c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</row>
    <row r="89" spans="1:50" ht="15" customHeight="1">
      <c r="A89" s="19"/>
      <c r="B89" s="19"/>
      <c r="C89" s="19"/>
      <c r="D89" s="19"/>
      <c r="E89" s="19" t="s">
        <v>167</v>
      </c>
      <c r="F89" s="19"/>
      <c r="G89" s="19" t="s">
        <v>168</v>
      </c>
      <c r="H89" s="19"/>
      <c r="I89" s="182">
        <v>25</v>
      </c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</row>
    <row r="90" spans="1:50" ht="1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</row>
    <row r="91" spans="1:50" ht="15" customHeight="1">
      <c r="A91" s="19"/>
      <c r="B91" s="19"/>
      <c r="C91" s="19"/>
      <c r="D91" s="19"/>
      <c r="E91" s="19" t="s">
        <v>169</v>
      </c>
      <c r="F91" s="19"/>
      <c r="G91" s="19" t="s">
        <v>170</v>
      </c>
      <c r="H91" s="19"/>
      <c r="I91" s="66"/>
      <c r="J91" s="19"/>
      <c r="K91" s="68">
        <f t="shared" ref="K91:AX91" si="14">K$82-K$81+1</f>
        <v>365</v>
      </c>
      <c r="L91" s="68">
        <f t="shared" si="14"/>
        <v>365</v>
      </c>
      <c r="M91" s="68">
        <f t="shared" si="14"/>
        <v>366</v>
      </c>
      <c r="N91" s="68">
        <f t="shared" si="14"/>
        <v>365</v>
      </c>
      <c r="O91" s="68">
        <f t="shared" si="14"/>
        <v>365</v>
      </c>
      <c r="P91" s="68">
        <f t="shared" si="14"/>
        <v>365</v>
      </c>
      <c r="Q91" s="68">
        <f t="shared" si="14"/>
        <v>366</v>
      </c>
      <c r="R91" s="68">
        <f t="shared" si="14"/>
        <v>365</v>
      </c>
      <c r="S91" s="68">
        <f t="shared" si="14"/>
        <v>365</v>
      </c>
      <c r="T91" s="68">
        <f t="shared" si="14"/>
        <v>365</v>
      </c>
      <c r="U91" s="68">
        <f t="shared" si="14"/>
        <v>366</v>
      </c>
      <c r="V91" s="68">
        <f t="shared" si="14"/>
        <v>365</v>
      </c>
      <c r="W91" s="68">
        <f t="shared" si="14"/>
        <v>365</v>
      </c>
      <c r="X91" s="68">
        <f t="shared" si="14"/>
        <v>365</v>
      </c>
      <c r="Y91" s="68">
        <f t="shared" si="14"/>
        <v>366</v>
      </c>
      <c r="Z91" s="68">
        <f t="shared" si="14"/>
        <v>365</v>
      </c>
      <c r="AA91" s="68">
        <f t="shared" si="14"/>
        <v>365</v>
      </c>
      <c r="AB91" s="68">
        <f t="shared" si="14"/>
        <v>365</v>
      </c>
      <c r="AC91" s="68">
        <f t="shared" si="14"/>
        <v>366</v>
      </c>
      <c r="AD91" s="68">
        <f t="shared" si="14"/>
        <v>365</v>
      </c>
      <c r="AE91" s="68">
        <f t="shared" si="14"/>
        <v>365</v>
      </c>
      <c r="AF91" s="68">
        <f t="shared" si="14"/>
        <v>365</v>
      </c>
      <c r="AG91" s="68">
        <f t="shared" si="14"/>
        <v>366</v>
      </c>
      <c r="AH91" s="68">
        <f t="shared" si="14"/>
        <v>365</v>
      </c>
      <c r="AI91" s="68">
        <f t="shared" si="14"/>
        <v>365</v>
      </c>
      <c r="AJ91" s="68">
        <f t="shared" si="14"/>
        <v>365</v>
      </c>
      <c r="AK91" s="68">
        <f t="shared" si="14"/>
        <v>366</v>
      </c>
      <c r="AL91" s="68">
        <f t="shared" si="14"/>
        <v>365</v>
      </c>
      <c r="AM91" s="68">
        <f t="shared" si="14"/>
        <v>365</v>
      </c>
      <c r="AN91" s="68">
        <f t="shared" si="14"/>
        <v>365</v>
      </c>
      <c r="AO91" s="68">
        <f t="shared" si="14"/>
        <v>366</v>
      </c>
      <c r="AP91" s="68">
        <f t="shared" si="14"/>
        <v>365</v>
      </c>
      <c r="AQ91" s="68">
        <f t="shared" si="14"/>
        <v>365</v>
      </c>
      <c r="AR91" s="68">
        <f t="shared" si="14"/>
        <v>365</v>
      </c>
      <c r="AS91" s="68">
        <f t="shared" si="14"/>
        <v>366</v>
      </c>
      <c r="AT91" s="68">
        <f t="shared" si="14"/>
        <v>365</v>
      </c>
      <c r="AU91" s="68">
        <f t="shared" si="14"/>
        <v>365</v>
      </c>
      <c r="AV91" s="68">
        <f t="shared" si="14"/>
        <v>365</v>
      </c>
      <c r="AW91" s="68">
        <f t="shared" si="14"/>
        <v>366</v>
      </c>
      <c r="AX91" s="68">
        <f t="shared" si="14"/>
        <v>365</v>
      </c>
    </row>
    <row r="92" spans="1:50" ht="15" customHeight="1">
      <c r="A92" s="19"/>
      <c r="B92" s="19"/>
      <c r="C92" s="19"/>
      <c r="D92" s="19"/>
      <c r="E92" s="19" t="s">
        <v>171</v>
      </c>
      <c r="F92" s="19"/>
      <c r="G92" s="19" t="s">
        <v>172</v>
      </c>
      <c r="H92" s="19"/>
      <c r="I92" s="66"/>
      <c r="J92" s="19"/>
      <c r="K92" s="113">
        <f t="shared" ref="K92:AX92" si="15">IF($I$86&gt;=K$82,1,IF($I$86&gt;=K$81,($I$86-K$81+1)/K$91,0))</f>
        <v>1</v>
      </c>
      <c r="L92" s="113">
        <f t="shared" si="15"/>
        <v>1</v>
      </c>
      <c r="M92" s="113">
        <f t="shared" si="15"/>
        <v>1</v>
      </c>
      <c r="N92" s="113">
        <f t="shared" si="15"/>
        <v>1</v>
      </c>
      <c r="O92" s="113">
        <f t="shared" si="15"/>
        <v>1</v>
      </c>
      <c r="P92" s="113">
        <f t="shared" si="15"/>
        <v>1</v>
      </c>
      <c r="Q92" s="113">
        <f t="shared" si="15"/>
        <v>1</v>
      </c>
      <c r="R92" s="113">
        <f t="shared" si="15"/>
        <v>1</v>
      </c>
      <c r="S92" s="113">
        <f t="shared" si="15"/>
        <v>1</v>
      </c>
      <c r="T92" s="113">
        <f t="shared" si="15"/>
        <v>1</v>
      </c>
      <c r="U92" s="113">
        <f t="shared" si="15"/>
        <v>1</v>
      </c>
      <c r="V92" s="113">
        <f t="shared" si="15"/>
        <v>0.81095890410958904</v>
      </c>
      <c r="W92" s="113">
        <f t="shared" si="15"/>
        <v>0</v>
      </c>
      <c r="X92" s="113">
        <f t="shared" si="15"/>
        <v>0</v>
      </c>
      <c r="Y92" s="113">
        <f t="shared" si="15"/>
        <v>0</v>
      </c>
      <c r="Z92" s="113">
        <f t="shared" si="15"/>
        <v>0</v>
      </c>
      <c r="AA92" s="113">
        <f t="shared" si="15"/>
        <v>0</v>
      </c>
      <c r="AB92" s="113">
        <f t="shared" si="15"/>
        <v>0</v>
      </c>
      <c r="AC92" s="113">
        <f t="shared" si="15"/>
        <v>0</v>
      </c>
      <c r="AD92" s="113">
        <f t="shared" si="15"/>
        <v>0</v>
      </c>
      <c r="AE92" s="113">
        <f t="shared" si="15"/>
        <v>0</v>
      </c>
      <c r="AF92" s="113">
        <f t="shared" si="15"/>
        <v>0</v>
      </c>
      <c r="AG92" s="113">
        <f t="shared" si="15"/>
        <v>0</v>
      </c>
      <c r="AH92" s="113">
        <f t="shared" si="15"/>
        <v>0</v>
      </c>
      <c r="AI92" s="113">
        <f t="shared" si="15"/>
        <v>0</v>
      </c>
      <c r="AJ92" s="113">
        <f t="shared" si="15"/>
        <v>0</v>
      </c>
      <c r="AK92" s="113">
        <f t="shared" si="15"/>
        <v>0</v>
      </c>
      <c r="AL92" s="113">
        <f t="shared" si="15"/>
        <v>0</v>
      </c>
      <c r="AM92" s="113">
        <f t="shared" si="15"/>
        <v>0</v>
      </c>
      <c r="AN92" s="113">
        <f t="shared" si="15"/>
        <v>0</v>
      </c>
      <c r="AO92" s="113">
        <f t="shared" si="15"/>
        <v>0</v>
      </c>
      <c r="AP92" s="113">
        <f t="shared" si="15"/>
        <v>0</v>
      </c>
      <c r="AQ92" s="113">
        <f t="shared" si="15"/>
        <v>0</v>
      </c>
      <c r="AR92" s="113">
        <f t="shared" si="15"/>
        <v>0</v>
      </c>
      <c r="AS92" s="113">
        <f t="shared" si="15"/>
        <v>0</v>
      </c>
      <c r="AT92" s="113">
        <f t="shared" si="15"/>
        <v>0</v>
      </c>
      <c r="AU92" s="113">
        <f t="shared" si="15"/>
        <v>0</v>
      </c>
      <c r="AV92" s="113">
        <f t="shared" si="15"/>
        <v>0</v>
      </c>
      <c r="AW92" s="113">
        <f t="shared" si="15"/>
        <v>0</v>
      </c>
      <c r="AX92" s="113">
        <f t="shared" si="15"/>
        <v>0</v>
      </c>
    </row>
    <row r="93" spans="1:50" ht="15" customHeight="1">
      <c r="A93" s="19"/>
      <c r="B93" s="19"/>
      <c r="C93" s="19"/>
      <c r="D93" s="19"/>
      <c r="E93" s="19" t="s">
        <v>173</v>
      </c>
      <c r="F93" s="19"/>
      <c r="G93" s="19" t="s">
        <v>172</v>
      </c>
      <c r="H93" s="19"/>
      <c r="I93" s="66"/>
      <c r="J93" s="19"/>
      <c r="K93" s="113">
        <f t="shared" ref="K93:AX93" si="16">IF(OR(K92=1,K94=1),0,IF($I$87&lt;K81,0,IF($I$87&lt;K82,($I$87-(MAX($I$86+1,K81)))/K91,MIN(1,(K82-$I$86)/K91))))</f>
        <v>0</v>
      </c>
      <c r="L93" s="113">
        <f t="shared" si="16"/>
        <v>0</v>
      </c>
      <c r="M93" s="113">
        <f t="shared" si="16"/>
        <v>0</v>
      </c>
      <c r="N93" s="113">
        <f t="shared" si="16"/>
        <v>0</v>
      </c>
      <c r="O93" s="113">
        <f t="shared" si="16"/>
        <v>0</v>
      </c>
      <c r="P93" s="113">
        <f t="shared" si="16"/>
        <v>0</v>
      </c>
      <c r="Q93" s="113">
        <f t="shared" si="16"/>
        <v>0</v>
      </c>
      <c r="R93" s="113">
        <f t="shared" si="16"/>
        <v>0</v>
      </c>
      <c r="S93" s="113">
        <f t="shared" si="16"/>
        <v>0</v>
      </c>
      <c r="T93" s="113">
        <f t="shared" si="16"/>
        <v>0</v>
      </c>
      <c r="U93" s="113">
        <f t="shared" si="16"/>
        <v>0</v>
      </c>
      <c r="V93" s="113">
        <f t="shared" si="16"/>
        <v>0</v>
      </c>
      <c r="W93" s="113">
        <f t="shared" si="16"/>
        <v>0</v>
      </c>
      <c r="X93" s="113">
        <f t="shared" si="16"/>
        <v>0</v>
      </c>
      <c r="Y93" s="113">
        <f t="shared" si="16"/>
        <v>0</v>
      </c>
      <c r="Z93" s="113">
        <f t="shared" si="16"/>
        <v>0</v>
      </c>
      <c r="AA93" s="113">
        <f t="shared" si="16"/>
        <v>0</v>
      </c>
      <c r="AB93" s="113">
        <f t="shared" si="16"/>
        <v>0</v>
      </c>
      <c r="AC93" s="113">
        <f t="shared" si="16"/>
        <v>0</v>
      </c>
      <c r="AD93" s="113">
        <f t="shared" si="16"/>
        <v>0</v>
      </c>
      <c r="AE93" s="113">
        <f t="shared" si="16"/>
        <v>0</v>
      </c>
      <c r="AF93" s="113">
        <f t="shared" si="16"/>
        <v>0</v>
      </c>
      <c r="AG93" s="113">
        <f t="shared" si="16"/>
        <v>0</v>
      </c>
      <c r="AH93" s="113">
        <f t="shared" si="16"/>
        <v>0</v>
      </c>
      <c r="AI93" s="113">
        <f t="shared" si="16"/>
        <v>0</v>
      </c>
      <c r="AJ93" s="113">
        <f t="shared" si="16"/>
        <v>0</v>
      </c>
      <c r="AK93" s="113">
        <f t="shared" si="16"/>
        <v>0</v>
      </c>
      <c r="AL93" s="113">
        <f t="shared" si="16"/>
        <v>0</v>
      </c>
      <c r="AM93" s="113">
        <f t="shared" si="16"/>
        <v>0</v>
      </c>
      <c r="AN93" s="113">
        <f t="shared" si="16"/>
        <v>0</v>
      </c>
      <c r="AO93" s="113">
        <f t="shared" si="16"/>
        <v>0</v>
      </c>
      <c r="AP93" s="113">
        <f t="shared" si="16"/>
        <v>0</v>
      </c>
      <c r="AQ93" s="113">
        <f t="shared" si="16"/>
        <v>0</v>
      </c>
      <c r="AR93" s="113">
        <f t="shared" si="16"/>
        <v>0</v>
      </c>
      <c r="AS93" s="113">
        <f t="shared" si="16"/>
        <v>0</v>
      </c>
      <c r="AT93" s="113">
        <f t="shared" si="16"/>
        <v>0</v>
      </c>
      <c r="AU93" s="113">
        <f t="shared" si="16"/>
        <v>0</v>
      </c>
      <c r="AV93" s="113">
        <f t="shared" si="16"/>
        <v>0</v>
      </c>
      <c r="AW93" s="113">
        <f t="shared" si="16"/>
        <v>0</v>
      </c>
      <c r="AX93" s="113">
        <f t="shared" si="16"/>
        <v>0</v>
      </c>
    </row>
    <row r="94" spans="1:50" ht="15" customHeight="1">
      <c r="A94" s="19"/>
      <c r="B94" s="19"/>
      <c r="C94" s="19"/>
      <c r="D94" s="19"/>
      <c r="E94" s="19" t="s">
        <v>174</v>
      </c>
      <c r="F94" s="19"/>
      <c r="G94" s="19" t="s">
        <v>172</v>
      </c>
      <c r="H94" s="19"/>
      <c r="I94" s="66"/>
      <c r="J94" s="19"/>
      <c r="K94" s="113">
        <f t="shared" ref="K94:AX94" si="17">IF(OR($I$87&gt;K$82,$I$88&lt;K$81),0,IF($I$87&gt;=K$81,(K$82-$I$87+1)/K$91,IF($I$88&lt;=K$82,($I$88-K$81+1)/K$91,1)))</f>
        <v>0</v>
      </c>
      <c r="L94" s="113">
        <f t="shared" si="17"/>
        <v>0</v>
      </c>
      <c r="M94" s="113">
        <f t="shared" si="17"/>
        <v>0</v>
      </c>
      <c r="N94" s="113">
        <f t="shared" si="17"/>
        <v>0</v>
      </c>
      <c r="O94" s="113">
        <f t="shared" si="17"/>
        <v>0</v>
      </c>
      <c r="P94" s="113">
        <f t="shared" si="17"/>
        <v>0</v>
      </c>
      <c r="Q94" s="113">
        <f t="shared" si="17"/>
        <v>0</v>
      </c>
      <c r="R94" s="113">
        <f t="shared" si="17"/>
        <v>0</v>
      </c>
      <c r="S94" s="113">
        <f t="shared" si="17"/>
        <v>0</v>
      </c>
      <c r="T94" s="113">
        <f t="shared" si="17"/>
        <v>0</v>
      </c>
      <c r="U94" s="113">
        <f t="shared" si="17"/>
        <v>0</v>
      </c>
      <c r="V94" s="113">
        <f t="shared" si="17"/>
        <v>0.18904109589041096</v>
      </c>
      <c r="W94" s="113">
        <f t="shared" si="17"/>
        <v>1</v>
      </c>
      <c r="X94" s="113">
        <f t="shared" si="17"/>
        <v>1</v>
      </c>
      <c r="Y94" s="113">
        <f t="shared" si="17"/>
        <v>1</v>
      </c>
      <c r="Z94" s="113">
        <f t="shared" si="17"/>
        <v>1</v>
      </c>
      <c r="AA94" s="113">
        <f t="shared" si="17"/>
        <v>1</v>
      </c>
      <c r="AB94" s="113">
        <f t="shared" si="17"/>
        <v>1</v>
      </c>
      <c r="AC94" s="113">
        <f t="shared" si="17"/>
        <v>1</v>
      </c>
      <c r="AD94" s="113">
        <f t="shared" si="17"/>
        <v>1</v>
      </c>
      <c r="AE94" s="113">
        <f t="shared" si="17"/>
        <v>1</v>
      </c>
      <c r="AF94" s="113">
        <f t="shared" si="17"/>
        <v>1</v>
      </c>
      <c r="AG94" s="113">
        <f t="shared" si="17"/>
        <v>1</v>
      </c>
      <c r="AH94" s="113">
        <f t="shared" si="17"/>
        <v>1</v>
      </c>
      <c r="AI94" s="113">
        <f t="shared" si="17"/>
        <v>1</v>
      </c>
      <c r="AJ94" s="113">
        <f t="shared" si="17"/>
        <v>1</v>
      </c>
      <c r="AK94" s="113">
        <f t="shared" si="17"/>
        <v>1</v>
      </c>
      <c r="AL94" s="113">
        <f t="shared" si="17"/>
        <v>1</v>
      </c>
      <c r="AM94" s="113">
        <f t="shared" si="17"/>
        <v>1</v>
      </c>
      <c r="AN94" s="113">
        <f t="shared" si="17"/>
        <v>1</v>
      </c>
      <c r="AO94" s="113">
        <f t="shared" si="17"/>
        <v>1</v>
      </c>
      <c r="AP94" s="113">
        <f t="shared" si="17"/>
        <v>1</v>
      </c>
      <c r="AQ94" s="113">
        <f t="shared" si="17"/>
        <v>1</v>
      </c>
      <c r="AR94" s="113">
        <f t="shared" si="17"/>
        <v>1</v>
      </c>
      <c r="AS94" s="113">
        <f t="shared" si="17"/>
        <v>1</v>
      </c>
      <c r="AT94" s="113">
        <f t="shared" si="17"/>
        <v>1</v>
      </c>
      <c r="AU94" s="113">
        <f t="shared" si="17"/>
        <v>0.75342465753424659</v>
      </c>
      <c r="AV94" s="113">
        <f t="shared" si="17"/>
        <v>0</v>
      </c>
      <c r="AW94" s="113">
        <f t="shared" si="17"/>
        <v>0</v>
      </c>
      <c r="AX94" s="113">
        <f t="shared" si="17"/>
        <v>0</v>
      </c>
    </row>
    <row r="95" spans="1:50" ht="15" customHeight="1">
      <c r="A95" s="19"/>
      <c r="B95" s="19"/>
      <c r="C95" s="19"/>
      <c r="D95" s="19"/>
      <c r="E95" s="19" t="s">
        <v>175</v>
      </c>
      <c r="F95" s="19"/>
      <c r="G95" s="19" t="s">
        <v>172</v>
      </c>
      <c r="H95" s="19" t="s">
        <v>176</v>
      </c>
      <c r="I95" s="66"/>
      <c r="J95" s="19"/>
      <c r="K95" s="113">
        <f>IF(AND(SUM(K34:K36)&lt;&gt;0,SUM(L34:$AX36)=0),1,0)</f>
        <v>0</v>
      </c>
      <c r="L95" s="113">
        <f>IF(AND(SUM(L34:L36)&lt;&gt;0,SUM(M34:$AX36)=0),1,0)</f>
        <v>0</v>
      </c>
      <c r="M95" s="113">
        <f>IF(AND(SUM(M34:M36)&lt;&gt;0,SUM(N34:$AX36)=0),1,0)</f>
        <v>0</v>
      </c>
      <c r="N95" s="113">
        <f>IF(AND(SUM(N34:N36)&lt;&gt;0,SUM(O34:$AX36)=0),1,0)</f>
        <v>0</v>
      </c>
      <c r="O95" s="113">
        <f>IF(AND(SUM(O34:O36)&lt;&gt;0,SUM(P34:$AX36)=0),1,0)</f>
        <v>0</v>
      </c>
      <c r="P95" s="113">
        <f>IF(AND(SUM(P34:P36)&lt;&gt;0,SUM(Q34:$AX36)=0),1,0)</f>
        <v>0</v>
      </c>
      <c r="Q95" s="113">
        <f>IF(AND(SUM(Q34:Q36)&lt;&gt;0,SUM(R34:$AX36)=0),1,0)</f>
        <v>0</v>
      </c>
      <c r="R95" s="113">
        <f>IF(AND(SUM(R34:R36)&lt;&gt;0,SUM(S34:$AX36)=0),1,0)</f>
        <v>0</v>
      </c>
      <c r="S95" s="113">
        <f>IF(AND(SUM(S34:S36)&lt;&gt;0,SUM(T34:$AX36)=0),1,0)</f>
        <v>0</v>
      </c>
      <c r="T95" s="113">
        <f>IF(AND(SUM(T34:T36)&lt;&gt;0,SUM(U34:$AX36)=0),1,0)</f>
        <v>0</v>
      </c>
      <c r="U95" s="113">
        <f>IF(AND(SUM(U34:U36)&lt;&gt;0,SUM(V34:$AX36)=0),1,0)</f>
        <v>0</v>
      </c>
      <c r="V95" s="113">
        <f>IF(AND(SUM(V34:V36)&lt;&gt;0,SUM(W34:$AX36)=0),1,0)</f>
        <v>0</v>
      </c>
      <c r="W95" s="113">
        <f>IF(AND(SUM(W34:W36)&lt;&gt;0,SUM(X34:$AX36)=0),1,0)</f>
        <v>1</v>
      </c>
      <c r="X95" s="113">
        <f>IF(AND(SUM(X34:X36)&lt;&gt;0,SUM(Y34:$AX36)=0),1,0)</f>
        <v>0</v>
      </c>
      <c r="Y95" s="113">
        <f>IF(AND(SUM(Y34:Y36)&lt;&gt;0,SUM(Z34:$AX36)=0),1,0)</f>
        <v>0</v>
      </c>
      <c r="Z95" s="113">
        <f>IF(AND(SUM(Z34:Z36)&lt;&gt;0,SUM(AA34:$AX36)=0),1,0)</f>
        <v>0</v>
      </c>
      <c r="AA95" s="113">
        <f>IF(AND(SUM(AA34:AA36)&lt;&gt;0,SUM(AB34:$AX36)=0),1,0)</f>
        <v>0</v>
      </c>
      <c r="AB95" s="113">
        <f>IF(AND(SUM(AB34:AB36)&lt;&gt;0,SUM(AC34:$AX36)=0),1,0)</f>
        <v>0</v>
      </c>
      <c r="AC95" s="113">
        <f>IF(AND(SUM(AC34:AC36)&lt;&gt;0,SUM(AD34:$AX36)=0),1,0)</f>
        <v>0</v>
      </c>
      <c r="AD95" s="113">
        <f>IF(AND(SUM(AD34:AD36)&lt;&gt;0,SUM(AE34:$AX36)=0),1,0)</f>
        <v>0</v>
      </c>
      <c r="AE95" s="113">
        <f>IF(AND(SUM(AE34:AE36)&lt;&gt;0,SUM(AF34:$AX36)=0),1,0)</f>
        <v>0</v>
      </c>
      <c r="AF95" s="113">
        <f>IF(AND(SUM(AF34:AF36)&lt;&gt;0,SUM(AG34:$AX36)=0),1,0)</f>
        <v>0</v>
      </c>
      <c r="AG95" s="113">
        <f>IF(AND(SUM(AG34:AG36)&lt;&gt;0,SUM(AH34:$AX36)=0),1,0)</f>
        <v>0</v>
      </c>
      <c r="AH95" s="113">
        <f>IF(AND(SUM(AH34:AH36)&lt;&gt;0,SUM(AI34:$AX36)=0),1,0)</f>
        <v>0</v>
      </c>
      <c r="AI95" s="113">
        <f>IF(AND(SUM(AI34:AI36)&lt;&gt;0,SUM(AJ34:$AX36)=0),1,0)</f>
        <v>0</v>
      </c>
      <c r="AJ95" s="113">
        <f>IF(AND(SUM(AJ34:AJ36)&lt;&gt;0,SUM(AK34:$AX36)=0),1,0)</f>
        <v>0</v>
      </c>
      <c r="AK95" s="113">
        <f>IF(AND(SUM(AK34:AK36)&lt;&gt;0,SUM(AL34:$AX36)=0),1,0)</f>
        <v>0</v>
      </c>
      <c r="AL95" s="113">
        <f>IF(AND(SUM(AL34:AL36)&lt;&gt;0,SUM(AM34:$AX36)=0),1,0)</f>
        <v>0</v>
      </c>
      <c r="AM95" s="113">
        <f>IF(AND(SUM(AM34:AM36)&lt;&gt;0,SUM(AN34:$AX36)=0),1,0)</f>
        <v>0</v>
      </c>
      <c r="AN95" s="113">
        <f>IF(AND(SUM(AN34:AN36)&lt;&gt;0,SUM(AO34:$AX36)=0),1,0)</f>
        <v>0</v>
      </c>
      <c r="AO95" s="113">
        <f>IF(AND(SUM(AO34:AO36)&lt;&gt;0,SUM(AP34:$AX36)=0),1,0)</f>
        <v>0</v>
      </c>
      <c r="AP95" s="113">
        <f>IF(AND(SUM(AP34:AP36)&lt;&gt;0,SUM(AQ34:$AX36)=0),1,0)</f>
        <v>0</v>
      </c>
      <c r="AQ95" s="113">
        <f>IF(AND(SUM(AQ34:AQ36)&lt;&gt;0,SUM(AR34:$AX36)=0),1,0)</f>
        <v>0</v>
      </c>
      <c r="AR95" s="113">
        <f>IF(AND(SUM(AR34:AR36)&lt;&gt;0,SUM(AS34:$AX36)=0),1,0)</f>
        <v>0</v>
      </c>
      <c r="AS95" s="113">
        <f>IF(AND(SUM(AS34:AS36)&lt;&gt;0,SUM(AT34:$AX36)=0),1,0)</f>
        <v>0</v>
      </c>
      <c r="AT95" s="113">
        <f>IF(AND(SUM(AT34:AT36)&lt;&gt;0,SUM(AU34:$AX36)=0),1,0)</f>
        <v>0</v>
      </c>
      <c r="AU95" s="113">
        <f>IF(AND(SUM(AU34:AU36)&lt;&gt;0,SUM(AV34:$AX36)=0),1,0)</f>
        <v>0</v>
      </c>
      <c r="AV95" s="113">
        <f>IF(AND(SUM(AV34:AV36)&lt;&gt;0,SUM(AW34:$AX36)=0),1,0)</f>
        <v>0</v>
      </c>
      <c r="AW95" s="113">
        <f>IF(AND(SUM(AW34:AW36)&lt;&gt;0,SUM(AX34:$AX36)=0),1,0)</f>
        <v>0</v>
      </c>
      <c r="AX95" s="113">
        <f>IF(AND(SUM(AX34:AX36)&lt;&gt;0,SUM($AX34:AZ36)=0),1,0)</f>
        <v>0</v>
      </c>
    </row>
    <row r="96" spans="1:50" ht="15" customHeight="1">
      <c r="A96" s="19"/>
      <c r="B96" s="19"/>
      <c r="C96" s="19"/>
      <c r="D96" s="19"/>
      <c r="E96" s="19" t="s">
        <v>177</v>
      </c>
      <c r="F96" s="19"/>
      <c r="G96" s="19" t="s">
        <v>172</v>
      </c>
      <c r="H96" s="19"/>
      <c r="I96" s="66"/>
      <c r="J96" s="19"/>
      <c r="K96" s="113">
        <f>IF(AND(SUM($J35:K35)=0,L35&gt;0),1,0)</f>
        <v>0</v>
      </c>
      <c r="L96" s="113">
        <f>IF(AND(SUM($J35:L35)=0,M35&gt;0),1,0)</f>
        <v>0</v>
      </c>
      <c r="M96" s="113">
        <f>IF(AND(SUM($J35:M35)=0,N35&gt;0),1,0)</f>
        <v>0</v>
      </c>
      <c r="N96" s="113">
        <f>IF(AND(SUM($J35:N35)=0,O35&gt;0),1,0)</f>
        <v>0</v>
      </c>
      <c r="O96" s="113">
        <f>IF(AND(SUM($J35:O35)=0,P35&gt;0),1,0)</f>
        <v>0</v>
      </c>
      <c r="P96" s="113">
        <f>IF(AND(SUM($J35:P35)=0,Q35&gt;0),1,0)</f>
        <v>0</v>
      </c>
      <c r="Q96" s="113">
        <f>IF(AND(SUM($J35:Q35)=0,R35&gt;0),1,0)</f>
        <v>1</v>
      </c>
      <c r="R96" s="113">
        <f>IF(AND(SUM($J35:R35)=0,S35&gt;0),1,0)</f>
        <v>0</v>
      </c>
      <c r="S96" s="113">
        <f>IF(AND(SUM($J35:S35)=0,T35&gt;0),1,0)</f>
        <v>0</v>
      </c>
      <c r="T96" s="113">
        <f>IF(AND(SUM($J35:T35)=0,U35&gt;0),1,0)</f>
        <v>0</v>
      </c>
      <c r="U96" s="113">
        <f>IF(AND(SUM($J35:U35)=0,V35&gt;0),1,0)</f>
        <v>0</v>
      </c>
      <c r="V96" s="113">
        <f>IF(AND(SUM($J35:V35)=0,W35&gt;0),1,0)</f>
        <v>0</v>
      </c>
      <c r="W96" s="113">
        <f>IF(AND(SUM($J35:W35)=0,X35&gt;0),1,0)</f>
        <v>0</v>
      </c>
      <c r="X96" s="113">
        <f>IF(AND(SUM($J35:X35)=0,Y35&gt;0),1,0)</f>
        <v>0</v>
      </c>
      <c r="Y96" s="113">
        <f>IF(AND(SUM($J35:Y35)=0,Z35&gt;0),1,0)</f>
        <v>0</v>
      </c>
      <c r="Z96" s="113">
        <f>IF(AND(SUM($J35:Z35)=0,AA35&gt;0),1,0)</f>
        <v>0</v>
      </c>
      <c r="AA96" s="113">
        <f>IF(AND(SUM($J35:AA35)=0,AB35&gt;0),1,0)</f>
        <v>0</v>
      </c>
      <c r="AB96" s="113">
        <f>IF(AND(SUM($J35:AB35)=0,AC35&gt;0),1,0)</f>
        <v>0</v>
      </c>
      <c r="AC96" s="113">
        <f>IF(AND(SUM($J35:AC35)=0,AD35&gt;0),1,0)</f>
        <v>0</v>
      </c>
      <c r="AD96" s="113">
        <f>IF(AND(SUM($J35:AD35)=0,AE35&gt;0),1,0)</f>
        <v>0</v>
      </c>
      <c r="AE96" s="113">
        <f>IF(AND(SUM($J35:AE35)=0,AF35&gt;0),1,0)</f>
        <v>0</v>
      </c>
      <c r="AF96" s="113">
        <f>IF(AND(SUM($J35:AF35)=0,AG35&gt;0),1,0)</f>
        <v>0</v>
      </c>
      <c r="AG96" s="113">
        <f>IF(AND(SUM($J35:AG35)=0,AH35&gt;0),1,0)</f>
        <v>0</v>
      </c>
      <c r="AH96" s="113">
        <f>IF(AND(SUM($J35:AH35)=0,AI35&gt;0),1,0)</f>
        <v>0</v>
      </c>
      <c r="AI96" s="113">
        <f>IF(AND(SUM($J35:AI35)=0,AJ35&gt;0),1,0)</f>
        <v>0</v>
      </c>
      <c r="AJ96" s="113">
        <f>IF(AND(SUM($J35:AJ35)=0,AK35&gt;0),1,0)</f>
        <v>0</v>
      </c>
      <c r="AK96" s="113">
        <f>IF(AND(SUM($J35:AK35)=0,AL35&gt;0),1,0)</f>
        <v>0</v>
      </c>
      <c r="AL96" s="113">
        <f>IF(AND(SUM($J35:AL35)=0,AM35&gt;0),1,0)</f>
        <v>0</v>
      </c>
      <c r="AM96" s="113">
        <f>IF(AND(SUM($J35:AM35)=0,AN35&gt;0),1,0)</f>
        <v>0</v>
      </c>
      <c r="AN96" s="113">
        <f>IF(AND(SUM($J35:AN35)=0,AO35&gt;0),1,0)</f>
        <v>0</v>
      </c>
      <c r="AO96" s="113">
        <f>IF(AND(SUM($J35:AO35)=0,AP35&gt;0),1,0)</f>
        <v>0</v>
      </c>
      <c r="AP96" s="113">
        <f>IF(AND(SUM($J35:AP35)=0,AQ35&gt;0),1,0)</f>
        <v>0</v>
      </c>
      <c r="AQ96" s="113">
        <f>IF(AND(SUM($J35:AQ35)=0,AR35&gt;0),1,0)</f>
        <v>0</v>
      </c>
      <c r="AR96" s="113">
        <f>IF(AND(SUM($J35:AR35)=0,AS35&gt;0),1,0)</f>
        <v>0</v>
      </c>
      <c r="AS96" s="113">
        <f>IF(AND(SUM($J35:AS35)=0,AT35&gt;0),1,0)</f>
        <v>0</v>
      </c>
      <c r="AT96" s="113">
        <f>IF(AND(SUM($J35:AT35)=0,AU35&gt;0),1,0)</f>
        <v>0</v>
      </c>
      <c r="AU96" s="113">
        <f>IF(AND(SUM($J35:AU35)=0,AV35&gt;0),1,0)</f>
        <v>0</v>
      </c>
      <c r="AV96" s="113">
        <f>IF(AND(SUM($J35:AV35)=0,AW35&gt;0),1,0)</f>
        <v>0</v>
      </c>
      <c r="AW96" s="113">
        <f>IF(AND(SUM($J35:AW35)=0,AX35&gt;0),1,0)</f>
        <v>0</v>
      </c>
      <c r="AX96" s="113">
        <f>IF(AND(SUM($J35:AX35)=0,AZ35&gt;0),1,0)</f>
        <v>0</v>
      </c>
    </row>
    <row r="97" spans="1:50" ht="15" customHeight="1">
      <c r="A97" s="19"/>
      <c r="B97" s="19"/>
      <c r="C97" s="19"/>
      <c r="D97" s="19"/>
      <c r="E97" s="19"/>
      <c r="F97" s="19"/>
      <c r="G97" s="19"/>
      <c r="H97" s="19"/>
      <c r="I97" s="66"/>
      <c r="J97" s="19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  <c r="AT97" s="86"/>
      <c r="AU97" s="86"/>
      <c r="AV97" s="86"/>
      <c r="AW97" s="86"/>
      <c r="AX97" s="86"/>
    </row>
    <row r="98" spans="1:50" ht="15" customHeight="1">
      <c r="A98" s="5"/>
      <c r="B98" s="5"/>
      <c r="C98" s="12" t="s">
        <v>178</v>
      </c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</row>
    <row r="99" spans="1:50" ht="15" customHeight="1">
      <c r="A99" s="19"/>
      <c r="B99" s="19"/>
      <c r="C99" s="19"/>
      <c r="D99" s="19"/>
      <c r="E99" s="19"/>
      <c r="F99" s="19"/>
      <c r="G99" s="5"/>
      <c r="H99" s="19"/>
      <c r="I99" s="18"/>
      <c r="J99" s="19"/>
      <c r="K99" s="19"/>
      <c r="L99" s="19"/>
      <c r="M99" s="19"/>
      <c r="N99" s="19"/>
      <c r="O99" s="19"/>
      <c r="P99" s="6"/>
      <c r="Q99" s="6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</row>
    <row r="100" spans="1:50" ht="15" customHeight="1">
      <c r="A100" s="75"/>
      <c r="B100" s="75"/>
      <c r="C100" s="75"/>
      <c r="D100" s="75"/>
      <c r="E100" s="10" t="s">
        <v>102</v>
      </c>
      <c r="F100" s="77"/>
      <c r="G100" s="77"/>
      <c r="H100" s="77"/>
      <c r="I100" s="77"/>
      <c r="J100" s="76"/>
      <c r="K100" s="179">
        <f>K17</f>
        <v>39904</v>
      </c>
      <c r="L100" s="11">
        <f t="shared" ref="L100:AX100" si="18">+K101+1</f>
        <v>40269</v>
      </c>
      <c r="M100" s="11">
        <f t="shared" si="18"/>
        <v>40634</v>
      </c>
      <c r="N100" s="11">
        <f t="shared" si="18"/>
        <v>41000</v>
      </c>
      <c r="O100" s="11">
        <f t="shared" si="18"/>
        <v>41365</v>
      </c>
      <c r="P100" s="11">
        <f t="shared" si="18"/>
        <v>41730</v>
      </c>
      <c r="Q100" s="11">
        <f t="shared" si="18"/>
        <v>42095</v>
      </c>
      <c r="R100" s="11">
        <f t="shared" si="18"/>
        <v>42461</v>
      </c>
      <c r="S100" s="11">
        <f t="shared" si="18"/>
        <v>42826</v>
      </c>
      <c r="T100" s="11">
        <f t="shared" si="18"/>
        <v>43191</v>
      </c>
      <c r="U100" s="11">
        <f t="shared" si="18"/>
        <v>43556</v>
      </c>
      <c r="V100" s="11">
        <f t="shared" si="18"/>
        <v>43922</v>
      </c>
      <c r="W100" s="11">
        <f t="shared" si="18"/>
        <v>44287</v>
      </c>
      <c r="X100" s="11">
        <f t="shared" si="18"/>
        <v>44652</v>
      </c>
      <c r="Y100" s="11">
        <f t="shared" si="18"/>
        <v>45017</v>
      </c>
      <c r="Z100" s="11">
        <f t="shared" si="18"/>
        <v>45383</v>
      </c>
      <c r="AA100" s="11">
        <f t="shared" si="18"/>
        <v>45748</v>
      </c>
      <c r="AB100" s="11">
        <f t="shared" si="18"/>
        <v>46113</v>
      </c>
      <c r="AC100" s="11">
        <f t="shared" si="18"/>
        <v>46478</v>
      </c>
      <c r="AD100" s="11">
        <f t="shared" si="18"/>
        <v>46844</v>
      </c>
      <c r="AE100" s="11">
        <f t="shared" si="18"/>
        <v>47209</v>
      </c>
      <c r="AF100" s="11">
        <f t="shared" si="18"/>
        <v>47574</v>
      </c>
      <c r="AG100" s="11">
        <f t="shared" si="18"/>
        <v>47939</v>
      </c>
      <c r="AH100" s="11">
        <f t="shared" si="18"/>
        <v>48305</v>
      </c>
      <c r="AI100" s="11">
        <f t="shared" si="18"/>
        <v>48670</v>
      </c>
      <c r="AJ100" s="11">
        <f t="shared" si="18"/>
        <v>49035</v>
      </c>
      <c r="AK100" s="11">
        <f t="shared" si="18"/>
        <v>49400</v>
      </c>
      <c r="AL100" s="11">
        <f t="shared" si="18"/>
        <v>49766</v>
      </c>
      <c r="AM100" s="11">
        <f t="shared" si="18"/>
        <v>50131</v>
      </c>
      <c r="AN100" s="11">
        <f t="shared" si="18"/>
        <v>50496</v>
      </c>
      <c r="AO100" s="11">
        <f t="shared" si="18"/>
        <v>50861</v>
      </c>
      <c r="AP100" s="11">
        <f t="shared" si="18"/>
        <v>51227</v>
      </c>
      <c r="AQ100" s="11">
        <f t="shared" si="18"/>
        <v>51592</v>
      </c>
      <c r="AR100" s="11">
        <f t="shared" si="18"/>
        <v>51957</v>
      </c>
      <c r="AS100" s="11">
        <f t="shared" si="18"/>
        <v>52322</v>
      </c>
      <c r="AT100" s="11">
        <f t="shared" si="18"/>
        <v>52688</v>
      </c>
      <c r="AU100" s="11">
        <f t="shared" si="18"/>
        <v>53053</v>
      </c>
      <c r="AV100" s="11">
        <f t="shared" si="18"/>
        <v>53418</v>
      </c>
      <c r="AW100" s="11">
        <f t="shared" si="18"/>
        <v>53783</v>
      </c>
      <c r="AX100" s="11">
        <f t="shared" si="18"/>
        <v>54149</v>
      </c>
    </row>
    <row r="101" spans="1:50" ht="15" customHeight="1">
      <c r="A101" s="78"/>
      <c r="B101" s="78"/>
      <c r="C101" s="78"/>
      <c r="D101" s="78"/>
      <c r="E101" s="10" t="s">
        <v>103</v>
      </c>
      <c r="F101" s="78"/>
      <c r="G101" s="78"/>
      <c r="H101" s="78"/>
      <c r="I101" s="79"/>
      <c r="J101" s="78"/>
      <c r="K101" s="179">
        <f>K18</f>
        <v>40268</v>
      </c>
      <c r="L101" s="11">
        <f t="shared" ref="L101:AX101" si="19">DATE(YEAR(K101) + 1, MONTH(K101), DAY(K101))</f>
        <v>40633</v>
      </c>
      <c r="M101" s="11">
        <f t="shared" si="19"/>
        <v>40999</v>
      </c>
      <c r="N101" s="11">
        <f t="shared" si="19"/>
        <v>41364</v>
      </c>
      <c r="O101" s="11">
        <f t="shared" si="19"/>
        <v>41729</v>
      </c>
      <c r="P101" s="11">
        <f t="shared" si="19"/>
        <v>42094</v>
      </c>
      <c r="Q101" s="11">
        <f t="shared" si="19"/>
        <v>42460</v>
      </c>
      <c r="R101" s="11">
        <f t="shared" si="19"/>
        <v>42825</v>
      </c>
      <c r="S101" s="11">
        <f t="shared" si="19"/>
        <v>43190</v>
      </c>
      <c r="T101" s="11">
        <f t="shared" si="19"/>
        <v>43555</v>
      </c>
      <c r="U101" s="11">
        <f t="shared" si="19"/>
        <v>43921</v>
      </c>
      <c r="V101" s="11">
        <f t="shared" si="19"/>
        <v>44286</v>
      </c>
      <c r="W101" s="11">
        <f t="shared" si="19"/>
        <v>44651</v>
      </c>
      <c r="X101" s="11">
        <f t="shared" si="19"/>
        <v>45016</v>
      </c>
      <c r="Y101" s="11">
        <f t="shared" si="19"/>
        <v>45382</v>
      </c>
      <c r="Z101" s="11">
        <f t="shared" si="19"/>
        <v>45747</v>
      </c>
      <c r="AA101" s="11">
        <f t="shared" si="19"/>
        <v>46112</v>
      </c>
      <c r="AB101" s="11">
        <f t="shared" si="19"/>
        <v>46477</v>
      </c>
      <c r="AC101" s="11">
        <f t="shared" si="19"/>
        <v>46843</v>
      </c>
      <c r="AD101" s="11">
        <f t="shared" si="19"/>
        <v>47208</v>
      </c>
      <c r="AE101" s="11">
        <f t="shared" si="19"/>
        <v>47573</v>
      </c>
      <c r="AF101" s="11">
        <f t="shared" si="19"/>
        <v>47938</v>
      </c>
      <c r="AG101" s="11">
        <f t="shared" si="19"/>
        <v>48304</v>
      </c>
      <c r="AH101" s="11">
        <f t="shared" si="19"/>
        <v>48669</v>
      </c>
      <c r="AI101" s="11">
        <f t="shared" si="19"/>
        <v>49034</v>
      </c>
      <c r="AJ101" s="11">
        <f t="shared" si="19"/>
        <v>49399</v>
      </c>
      <c r="AK101" s="11">
        <f t="shared" si="19"/>
        <v>49765</v>
      </c>
      <c r="AL101" s="11">
        <f t="shared" si="19"/>
        <v>50130</v>
      </c>
      <c r="AM101" s="11">
        <f t="shared" si="19"/>
        <v>50495</v>
      </c>
      <c r="AN101" s="11">
        <f t="shared" si="19"/>
        <v>50860</v>
      </c>
      <c r="AO101" s="11">
        <f t="shared" si="19"/>
        <v>51226</v>
      </c>
      <c r="AP101" s="11">
        <f t="shared" si="19"/>
        <v>51591</v>
      </c>
      <c r="AQ101" s="11">
        <f t="shared" si="19"/>
        <v>51956</v>
      </c>
      <c r="AR101" s="11">
        <f t="shared" si="19"/>
        <v>52321</v>
      </c>
      <c r="AS101" s="11">
        <f t="shared" si="19"/>
        <v>52687</v>
      </c>
      <c r="AT101" s="11">
        <f t="shared" si="19"/>
        <v>53052</v>
      </c>
      <c r="AU101" s="11">
        <f t="shared" si="19"/>
        <v>53417</v>
      </c>
      <c r="AV101" s="11">
        <f t="shared" si="19"/>
        <v>53782</v>
      </c>
      <c r="AW101" s="11">
        <f t="shared" si="19"/>
        <v>54148</v>
      </c>
      <c r="AX101" s="11">
        <f t="shared" si="19"/>
        <v>54513</v>
      </c>
    </row>
    <row r="102" spans="1:50" ht="15" customHeight="1"/>
    <row r="103" spans="1:50" ht="15" customHeight="1">
      <c r="B103" s="33"/>
      <c r="E103" s="4" t="s">
        <v>179</v>
      </c>
      <c r="G103" s="5" t="s">
        <v>94</v>
      </c>
      <c r="I103" s="83">
        <v>0.02</v>
      </c>
      <c r="J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</row>
    <row r="104" spans="1:50" ht="26" customHeight="1">
      <c r="B104" s="33"/>
      <c r="E104" s="19" t="s">
        <v>107</v>
      </c>
      <c r="F104" s="19"/>
      <c r="G104" s="69" t="s">
        <v>108</v>
      </c>
      <c r="H104" s="69" t="s">
        <v>109</v>
      </c>
      <c r="I104" s="82">
        <f>I24</f>
        <v>132.9</v>
      </c>
      <c r="K104" s="34"/>
      <c r="L104" s="34"/>
      <c r="M104" s="34"/>
      <c r="N104" s="34"/>
      <c r="O104" s="34"/>
      <c r="S104" s="34"/>
      <c r="T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</row>
    <row r="105" spans="1:50" ht="13" customHeight="1">
      <c r="B105" s="33"/>
      <c r="E105" s="19"/>
      <c r="F105" s="19"/>
      <c r="G105" s="69"/>
      <c r="H105" s="69"/>
      <c r="I105" s="68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</row>
    <row r="106" spans="1:50" ht="15" customHeight="1">
      <c r="B106" s="33"/>
      <c r="E106" s="4" t="s">
        <v>110</v>
      </c>
      <c r="G106" s="4" t="s">
        <v>108</v>
      </c>
      <c r="H106" s="4" t="s">
        <v>111</v>
      </c>
      <c r="K106" s="61">
        <f t="shared" ref="K106:AX106" si="20">K28</f>
        <v>98.746657615474163</v>
      </c>
      <c r="L106" s="61">
        <f t="shared" si="20"/>
        <v>100.7215907677837</v>
      </c>
      <c r="M106" s="61">
        <f t="shared" si="20"/>
        <v>102.7360225831393</v>
      </c>
      <c r="N106" s="61">
        <f t="shared" si="20"/>
        <v>104.79074303480211</v>
      </c>
      <c r="O106" s="61">
        <f t="shared" si="20"/>
        <v>106.8865578954982</v>
      </c>
      <c r="P106" s="61">
        <f t="shared" si="20"/>
        <v>109.0242890534081</v>
      </c>
      <c r="Q106" s="61">
        <f t="shared" si="20"/>
        <v>111.2047748344763</v>
      </c>
      <c r="R106" s="61">
        <f t="shared" si="20"/>
        <v>113.4288703311658</v>
      </c>
      <c r="S106" s="61">
        <f t="shared" si="20"/>
        <v>115.6974477377891</v>
      </c>
      <c r="T106" s="61">
        <f t="shared" si="20"/>
        <v>118.01139669254491</v>
      </c>
      <c r="U106" s="61">
        <f t="shared" si="20"/>
        <v>120.3716246263958</v>
      </c>
      <c r="V106" s="61">
        <f t="shared" si="20"/>
        <v>122.7790571189237</v>
      </c>
      <c r="W106" s="61">
        <f t="shared" si="20"/>
        <v>125.23463826130219</v>
      </c>
      <c r="X106" s="61">
        <f t="shared" si="20"/>
        <v>127.73933102652823</v>
      </c>
      <c r="Y106" s="61">
        <f t="shared" si="20"/>
        <v>130.29411764705881</v>
      </c>
      <c r="Z106" s="61">
        <f t="shared" si="20"/>
        <v>132.89999999999998</v>
      </c>
      <c r="AA106" s="61">
        <f t="shared" si="20"/>
        <v>135.55799999999999</v>
      </c>
      <c r="AB106" s="61">
        <f t="shared" si="20"/>
        <v>138.26916</v>
      </c>
      <c r="AC106" s="61">
        <f t="shared" si="20"/>
        <v>141.0345432</v>
      </c>
      <c r="AD106" s="61">
        <f t="shared" si="20"/>
        <v>143.855234064</v>
      </c>
      <c r="AE106" s="61">
        <f t="shared" si="20"/>
        <v>146.73233874528</v>
      </c>
      <c r="AF106" s="61">
        <f t="shared" si="20"/>
        <v>149.66698552018562</v>
      </c>
      <c r="AG106" s="61">
        <f t="shared" si="20"/>
        <v>152.66032523058934</v>
      </c>
      <c r="AH106" s="61">
        <f t="shared" si="20"/>
        <v>155.71353173520112</v>
      </c>
      <c r="AI106" s="61">
        <f t="shared" si="20"/>
        <v>158.82780236990513</v>
      </c>
      <c r="AJ106" s="61">
        <f t="shared" si="20"/>
        <v>162.00435841730322</v>
      </c>
      <c r="AK106" s="61">
        <f t="shared" si="20"/>
        <v>165.24444558564929</v>
      </c>
      <c r="AL106" s="61">
        <f t="shared" si="20"/>
        <v>168.54933449736228</v>
      </c>
      <c r="AM106" s="61">
        <f t="shared" si="20"/>
        <v>171.92032118730953</v>
      </c>
      <c r="AN106" s="61">
        <f t="shared" si="20"/>
        <v>175.35872761105571</v>
      </c>
      <c r="AO106" s="61">
        <f t="shared" si="20"/>
        <v>178.86590216327684</v>
      </c>
      <c r="AP106" s="61">
        <f t="shared" si="20"/>
        <v>182.44322020654238</v>
      </c>
      <c r="AQ106" s="61">
        <f t="shared" si="20"/>
        <v>186.09208461067323</v>
      </c>
      <c r="AR106" s="61">
        <f t="shared" si="20"/>
        <v>189.8139263028867</v>
      </c>
      <c r="AS106" s="61">
        <f t="shared" si="20"/>
        <v>193.61020482894443</v>
      </c>
      <c r="AT106" s="61">
        <f t="shared" si="20"/>
        <v>197.48240892552332</v>
      </c>
      <c r="AU106" s="61">
        <f t="shared" si="20"/>
        <v>201.43205710403379</v>
      </c>
      <c r="AV106" s="61">
        <f t="shared" si="20"/>
        <v>205.46069824611448</v>
      </c>
      <c r="AW106" s="61">
        <f t="shared" si="20"/>
        <v>209.56991221103678</v>
      </c>
      <c r="AX106" s="61">
        <f t="shared" si="20"/>
        <v>213.76131045525753</v>
      </c>
    </row>
    <row r="107" spans="1:50" ht="15" customHeight="1">
      <c r="B107" s="33"/>
      <c r="E107" s="130" t="s">
        <v>180</v>
      </c>
      <c r="G107" s="4" t="s">
        <v>181</v>
      </c>
      <c r="K107" s="135">
        <f t="shared" ref="K107:AX107" si="21">K106/$I$104</f>
        <v>0.74301472998851892</v>
      </c>
      <c r="L107" s="135">
        <f t="shared" si="21"/>
        <v>0.75787502458828959</v>
      </c>
      <c r="M107" s="135">
        <f t="shared" si="21"/>
        <v>0.77303252508005493</v>
      </c>
      <c r="N107" s="135">
        <f t="shared" si="21"/>
        <v>0.7884931755816561</v>
      </c>
      <c r="O107" s="135">
        <f t="shared" si="21"/>
        <v>0.80426303909328967</v>
      </c>
      <c r="P107" s="135">
        <f t="shared" si="21"/>
        <v>0.8203482998751549</v>
      </c>
      <c r="Q107" s="135">
        <f t="shared" si="21"/>
        <v>0.83675526587265836</v>
      </c>
      <c r="R107" s="135">
        <f t="shared" si="21"/>
        <v>0.85349037119011129</v>
      </c>
      <c r="S107" s="135">
        <f t="shared" si="21"/>
        <v>0.87056017861391344</v>
      </c>
      <c r="T107" s="135">
        <f t="shared" si="21"/>
        <v>0.88797138218619187</v>
      </c>
      <c r="U107" s="135">
        <f t="shared" si="21"/>
        <v>0.90573080982991572</v>
      </c>
      <c r="V107" s="135">
        <f t="shared" si="21"/>
        <v>0.92384542602651387</v>
      </c>
      <c r="W107" s="135">
        <f t="shared" si="21"/>
        <v>0.94232233454704428</v>
      </c>
      <c r="X107" s="135">
        <f t="shared" si="21"/>
        <v>0.96116878123798521</v>
      </c>
      <c r="Y107" s="135">
        <f t="shared" si="21"/>
        <v>0.98039215686274495</v>
      </c>
      <c r="Z107" s="135">
        <f t="shared" si="21"/>
        <v>0.99999999999999978</v>
      </c>
      <c r="AA107" s="135">
        <f t="shared" si="21"/>
        <v>1.0199999999999998</v>
      </c>
      <c r="AB107" s="135">
        <f t="shared" si="21"/>
        <v>1.0404</v>
      </c>
      <c r="AC107" s="135">
        <f t="shared" si="21"/>
        <v>1.0612079999999999</v>
      </c>
      <c r="AD107" s="135">
        <f t="shared" si="21"/>
        <v>1.08243216</v>
      </c>
      <c r="AE107" s="135">
        <f t="shared" si="21"/>
        <v>1.1040808032</v>
      </c>
      <c r="AF107" s="135">
        <f t="shared" si="21"/>
        <v>1.1261624192640001</v>
      </c>
      <c r="AG107" s="135">
        <f t="shared" si="21"/>
        <v>1.14868566764928</v>
      </c>
      <c r="AH107" s="135">
        <f t="shared" si="21"/>
        <v>1.1716593810022657</v>
      </c>
      <c r="AI107" s="135">
        <f t="shared" si="21"/>
        <v>1.1950925686223108</v>
      </c>
      <c r="AJ107" s="135">
        <f t="shared" si="21"/>
        <v>1.2189944199947571</v>
      </c>
      <c r="AK107" s="135">
        <f t="shared" si="21"/>
        <v>1.2433743083946522</v>
      </c>
      <c r="AL107" s="135">
        <f t="shared" si="21"/>
        <v>1.2682417945625453</v>
      </c>
      <c r="AM107" s="135">
        <f t="shared" si="21"/>
        <v>1.2936066304537963</v>
      </c>
      <c r="AN107" s="135">
        <f t="shared" si="21"/>
        <v>1.3194787630628722</v>
      </c>
      <c r="AO107" s="135">
        <f t="shared" si="21"/>
        <v>1.3458683383241297</v>
      </c>
      <c r="AP107" s="135">
        <f t="shared" si="21"/>
        <v>1.3727857050906123</v>
      </c>
      <c r="AQ107" s="135">
        <f t="shared" si="21"/>
        <v>1.4002414191924246</v>
      </c>
      <c r="AR107" s="135">
        <f t="shared" si="21"/>
        <v>1.4282462475762732</v>
      </c>
      <c r="AS107" s="135">
        <f t="shared" si="21"/>
        <v>1.4568111725277986</v>
      </c>
      <c r="AT107" s="135">
        <f t="shared" si="21"/>
        <v>1.4859473959783545</v>
      </c>
      <c r="AU107" s="135">
        <f t="shared" si="21"/>
        <v>1.5156663438979217</v>
      </c>
      <c r="AV107" s="135">
        <f t="shared" si="21"/>
        <v>1.5459796707758802</v>
      </c>
      <c r="AW107" s="135">
        <f t="shared" si="21"/>
        <v>1.5768992641913979</v>
      </c>
      <c r="AX107" s="135">
        <f t="shared" si="21"/>
        <v>1.6084372494752259</v>
      </c>
    </row>
    <row r="108" spans="1:50" ht="15" customHeight="1">
      <c r="A108" s="19"/>
      <c r="B108" s="19"/>
      <c r="C108" s="19"/>
      <c r="D108" s="19"/>
      <c r="E108" s="19"/>
      <c r="F108" s="19"/>
      <c r="G108" s="5"/>
      <c r="H108" s="19"/>
      <c r="I108" s="18"/>
      <c r="J108" s="19"/>
      <c r="K108" s="19"/>
      <c r="L108" s="19"/>
      <c r="M108" s="19"/>
      <c r="N108" s="19"/>
      <c r="O108" s="19"/>
      <c r="P108" s="6"/>
      <c r="Q108" s="6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</row>
    <row r="109" spans="1:50" ht="15" customHeight="1">
      <c r="A109" s="5"/>
      <c r="B109" s="5"/>
      <c r="C109" s="12" t="s">
        <v>182</v>
      </c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</row>
    <row r="110" spans="1:50" ht="15" customHeight="1">
      <c r="A110" s="5"/>
      <c r="B110" s="5"/>
      <c r="C110" s="5"/>
      <c r="D110" s="5"/>
      <c r="E110" s="5"/>
      <c r="F110" s="5"/>
      <c r="G110" s="5"/>
      <c r="H110" s="5"/>
      <c r="I110" s="5"/>
      <c r="J110" s="6"/>
      <c r="K110" s="5"/>
      <c r="L110" s="5"/>
      <c r="M110" s="5"/>
      <c r="N110" s="5"/>
      <c r="O110" s="5"/>
      <c r="P110" s="6"/>
      <c r="Q110" s="6"/>
      <c r="R110" s="6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</row>
    <row r="111" spans="1:50" ht="15" customHeight="1">
      <c r="A111" s="14"/>
      <c r="B111" s="14"/>
      <c r="C111" s="14"/>
      <c r="D111" s="14"/>
      <c r="E111" s="17" t="s">
        <v>115</v>
      </c>
      <c r="F111" s="16"/>
      <c r="G111" s="16"/>
      <c r="H111" s="16"/>
      <c r="I111" s="16"/>
      <c r="J111" s="17"/>
      <c r="K111" s="125" t="s">
        <v>116</v>
      </c>
      <c r="L111" s="125" t="s">
        <v>117</v>
      </c>
      <c r="M111" s="125" t="s">
        <v>118</v>
      </c>
      <c r="N111" s="125" t="s">
        <v>119</v>
      </c>
      <c r="O111" s="125" t="s">
        <v>120</v>
      </c>
      <c r="P111" s="125" t="s">
        <v>121</v>
      </c>
      <c r="Q111" s="125" t="s">
        <v>122</v>
      </c>
      <c r="R111" s="125" t="s">
        <v>123</v>
      </c>
      <c r="S111" s="125" t="s">
        <v>124</v>
      </c>
      <c r="T111" s="125" t="s">
        <v>125</v>
      </c>
      <c r="U111" s="125" t="s">
        <v>126</v>
      </c>
      <c r="V111" s="125" t="s">
        <v>127</v>
      </c>
      <c r="W111" s="125" t="s">
        <v>128</v>
      </c>
      <c r="X111" s="125" t="s">
        <v>129</v>
      </c>
      <c r="Y111" s="125" t="s">
        <v>130</v>
      </c>
      <c r="Z111" s="125" t="s">
        <v>131</v>
      </c>
      <c r="AA111" s="125" t="s">
        <v>132</v>
      </c>
      <c r="AB111" s="125" t="s">
        <v>133</v>
      </c>
      <c r="AC111" s="125" t="s">
        <v>134</v>
      </c>
      <c r="AD111" s="125" t="s">
        <v>135</v>
      </c>
      <c r="AE111" s="125" t="s">
        <v>136</v>
      </c>
      <c r="AF111" s="125" t="s">
        <v>137</v>
      </c>
      <c r="AG111" s="125" t="s">
        <v>138</v>
      </c>
      <c r="AH111" s="125" t="s">
        <v>139</v>
      </c>
      <c r="AI111" s="125" t="s">
        <v>140</v>
      </c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</row>
    <row r="112" spans="1:50" ht="15" customHeight="1">
      <c r="A112" s="5"/>
      <c r="B112" s="5"/>
      <c r="C112" s="5"/>
      <c r="D112" s="5"/>
      <c r="E112" s="5"/>
      <c r="F112" s="5"/>
      <c r="G112" s="5"/>
      <c r="H112" s="5"/>
      <c r="I112" s="5"/>
      <c r="J112" s="6"/>
      <c r="K112" s="5"/>
      <c r="L112" s="5"/>
      <c r="M112" s="5"/>
      <c r="N112" s="5"/>
      <c r="O112" s="5"/>
      <c r="P112" s="6"/>
      <c r="Q112" s="6"/>
      <c r="R112" s="6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</row>
    <row r="113" spans="1:50" ht="15" customHeight="1">
      <c r="A113" s="5"/>
      <c r="B113" s="5"/>
      <c r="C113" s="5"/>
      <c r="D113" s="5"/>
      <c r="E113" s="4" t="s">
        <v>183</v>
      </c>
      <c r="G113" s="5" t="s">
        <v>94</v>
      </c>
      <c r="H113" s="5"/>
      <c r="I113" s="5"/>
      <c r="J113" s="6"/>
      <c r="K113" s="90">
        <v>0.25</v>
      </c>
      <c r="L113" s="90">
        <v>0.25</v>
      </c>
      <c r="M113" s="90">
        <v>0.25</v>
      </c>
      <c r="N113" s="90">
        <v>0.25</v>
      </c>
      <c r="O113" s="90">
        <v>0.25</v>
      </c>
      <c r="P113" s="90">
        <v>0.25</v>
      </c>
      <c r="Q113" s="90">
        <v>0.25</v>
      </c>
      <c r="R113" s="90">
        <v>0.25</v>
      </c>
      <c r="S113" s="90">
        <v>0.25</v>
      </c>
      <c r="T113" s="90">
        <v>0.25</v>
      </c>
      <c r="U113" s="90">
        <v>0.25</v>
      </c>
      <c r="V113" s="90">
        <v>0.25</v>
      </c>
      <c r="W113" s="90">
        <v>0.25</v>
      </c>
      <c r="X113" s="90">
        <v>0.25</v>
      </c>
      <c r="Y113" s="90">
        <v>0.25</v>
      </c>
      <c r="Z113" s="90">
        <v>0.25</v>
      </c>
      <c r="AA113" s="90">
        <v>0.25</v>
      </c>
      <c r="AB113" s="90">
        <v>0.25</v>
      </c>
      <c r="AC113" s="90">
        <v>0.25</v>
      </c>
      <c r="AD113" s="90">
        <v>0.25</v>
      </c>
      <c r="AE113" s="90">
        <v>0.25</v>
      </c>
      <c r="AF113" s="90">
        <v>0.25</v>
      </c>
      <c r="AG113" s="90">
        <v>0.25</v>
      </c>
      <c r="AH113" s="90">
        <v>0.25</v>
      </c>
      <c r="AI113" s="90">
        <v>0.25</v>
      </c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</row>
    <row r="114" spans="1:50" ht="15" customHeight="1">
      <c r="A114" s="5"/>
      <c r="B114" s="5"/>
      <c r="C114" s="5"/>
      <c r="D114" s="5"/>
      <c r="E114" s="4" t="s">
        <v>184</v>
      </c>
      <c r="G114" s="4" t="s">
        <v>94</v>
      </c>
      <c r="H114" s="5"/>
      <c r="I114" s="5"/>
      <c r="J114" s="6"/>
      <c r="K114" s="90">
        <v>0.08</v>
      </c>
      <c r="L114" s="90">
        <v>0.08</v>
      </c>
      <c r="M114" s="90">
        <v>0.08</v>
      </c>
      <c r="N114" s="90">
        <v>0.08</v>
      </c>
      <c r="O114" s="90">
        <v>0.08</v>
      </c>
      <c r="P114" s="90">
        <v>0.08</v>
      </c>
      <c r="Q114" s="90">
        <v>0.08</v>
      </c>
      <c r="R114" s="90">
        <v>0.08</v>
      </c>
      <c r="S114" s="90">
        <v>0.08</v>
      </c>
      <c r="T114" s="90">
        <v>0.08</v>
      </c>
      <c r="U114" s="90">
        <v>0.08</v>
      </c>
      <c r="V114" s="90">
        <v>0.08</v>
      </c>
      <c r="W114" s="90">
        <v>0.08</v>
      </c>
      <c r="X114" s="90">
        <v>0.08</v>
      </c>
      <c r="Y114" s="90">
        <v>0.08</v>
      </c>
      <c r="Z114" s="90">
        <v>0.08</v>
      </c>
      <c r="AA114" s="90">
        <v>0.08</v>
      </c>
      <c r="AB114" s="90">
        <v>0.08</v>
      </c>
      <c r="AC114" s="90">
        <v>0.08</v>
      </c>
      <c r="AD114" s="90">
        <v>0.08</v>
      </c>
      <c r="AE114" s="90">
        <v>0.08</v>
      </c>
      <c r="AF114" s="90">
        <v>0.08</v>
      </c>
      <c r="AG114" s="90">
        <v>0.08</v>
      </c>
      <c r="AH114" s="90">
        <v>0.08</v>
      </c>
      <c r="AI114" s="90">
        <v>0.08</v>
      </c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</row>
    <row r="115" spans="1:50" ht="15" customHeight="1">
      <c r="A115" s="5"/>
      <c r="B115" s="5"/>
      <c r="C115" s="5"/>
      <c r="D115" s="5"/>
      <c r="E115" s="5"/>
      <c r="F115" s="5"/>
      <c r="G115" s="5"/>
      <c r="H115" s="5"/>
      <c r="I115" s="5"/>
      <c r="J115" s="6"/>
      <c r="K115" s="5"/>
      <c r="L115" s="5"/>
      <c r="M115" s="5"/>
      <c r="N115" s="5"/>
      <c r="O115" s="5"/>
      <c r="P115" s="6"/>
      <c r="Q115" s="6"/>
      <c r="R115" s="6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</row>
    <row r="116" spans="1:50" ht="15" customHeight="1">
      <c r="B116" s="33"/>
      <c r="E116" s="4" t="s">
        <v>179</v>
      </c>
      <c r="G116" s="5" t="s">
        <v>94</v>
      </c>
      <c r="I116" s="90">
        <f>I103</f>
        <v>0.02</v>
      </c>
      <c r="J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</row>
    <row r="117" spans="1:50" ht="15" customHeight="1">
      <c r="B117" s="33"/>
      <c r="E117" s="4" t="s">
        <v>185</v>
      </c>
      <c r="G117" s="5" t="s">
        <v>162</v>
      </c>
      <c r="I117" s="84">
        <v>45292</v>
      </c>
      <c r="J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</row>
    <row r="118" spans="1:50" ht="15" customHeight="1">
      <c r="B118" s="33"/>
      <c r="E118" s="4" t="s">
        <v>186</v>
      </c>
      <c r="G118" s="5" t="s">
        <v>162</v>
      </c>
      <c r="I118" s="66">
        <f>EOMONTH(I117,11)</f>
        <v>45657</v>
      </c>
      <c r="J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</row>
    <row r="119" spans="1:50" ht="15" customHeight="1">
      <c r="E119" s="130" t="s">
        <v>187</v>
      </c>
      <c r="G119" s="4" t="s">
        <v>181</v>
      </c>
      <c r="I119" s="113">
        <f>(1+$I$116)^((I85-AVERAGE(I117,I118))/365.25)</f>
        <v>0.93308240821171251</v>
      </c>
    </row>
    <row r="120" spans="1:50" ht="15" customHeight="1">
      <c r="G120" s="5"/>
      <c r="J120" s="6"/>
      <c r="P120" s="6"/>
      <c r="Q120" s="6"/>
      <c r="R120" s="6"/>
      <c r="S120" s="5"/>
    </row>
    <row r="121" spans="1:50" ht="15" customHeight="1">
      <c r="B121" s="5"/>
      <c r="C121" s="12" t="s">
        <v>188</v>
      </c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</row>
    <row r="122" spans="1:50" ht="15" customHeight="1">
      <c r="B122" s="5"/>
      <c r="C122" s="5"/>
      <c r="D122" s="5"/>
      <c r="E122" s="5"/>
      <c r="F122" s="5"/>
      <c r="G122" s="5"/>
      <c r="H122" s="5"/>
      <c r="I122" s="5"/>
      <c r="J122" s="6"/>
      <c r="K122" s="5"/>
      <c r="L122" s="5"/>
      <c r="M122" s="5"/>
      <c r="N122" s="5"/>
      <c r="O122" s="5"/>
      <c r="P122" s="6"/>
      <c r="Q122" s="6"/>
      <c r="R122" s="6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</row>
    <row r="123" spans="1:50" ht="15" customHeight="1">
      <c r="E123" s="4" t="s">
        <v>189</v>
      </c>
      <c r="G123" s="5" t="s">
        <v>96</v>
      </c>
      <c r="I123" s="183" t="s">
        <v>190</v>
      </c>
      <c r="J123" s="6"/>
      <c r="P123" s="6"/>
      <c r="Q123" s="6"/>
      <c r="R123" s="6"/>
      <c r="S123" s="5"/>
    </row>
    <row r="124" spans="1:50" ht="15" customHeight="1">
      <c r="G124" s="5"/>
      <c r="J124" s="6"/>
      <c r="P124" s="6"/>
      <c r="Q124" s="6"/>
      <c r="R124" s="6"/>
      <c r="S124" s="5"/>
    </row>
    <row r="125" spans="1:50" ht="15" customHeight="1">
      <c r="A125" s="19"/>
      <c r="B125" s="126" t="s">
        <v>45</v>
      </c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  <c r="AW125" s="58"/>
      <c r="AX125" s="58"/>
    </row>
    <row r="126" spans="1:50" ht="15" customHeight="1"/>
  </sheetData>
  <dataValidations disablePrompts="1" count="3">
    <dataValidation type="custom" allowBlank="1" showErrorMessage="1" errorTitle="Invalid value" error="Please enter value between 0% and 100%" sqref="I6" xr:uid="{00000000-0002-0000-0200-000000000000}">
      <formula1>AND(I6&gt;=0%,I6&lt;=100%)</formula1>
    </dataValidation>
    <dataValidation type="list" allowBlank="1" showInputMessage="1" showErrorMessage="1" sqref="I9" xr:uid="{00000000-0002-0000-0200-000001000000}">
      <formula1>"£,€,kr."</formula1>
    </dataValidation>
    <dataValidation type="list" allowBlank="1" showInputMessage="1" showErrorMessage="1" sqref="I123" xr:uid="{00000000-0002-0000-0200-000002000000}">
      <formula1>"Yes,No"</formula1>
    </dataValidation>
  </dataValidations>
  <pageMargins left="0.23622047244094491" right="0.23622047244094491" top="0.74803149606299213" bottom="0.74803149606299213" header="0.31496062992125978" footer="0.31496062992125978"/>
  <pageSetup paperSize="8" scale="3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FFFFCC"/>
    <pageSetUpPr fitToPage="1"/>
  </sheetPr>
  <dimension ref="A1:XFA144"/>
  <sheetViews>
    <sheetView zoomScaleNormal="100" workbookViewId="0">
      <pane xSplit="10" ySplit="2" topLeftCell="K3" activePane="bottomRight" state="frozen"/>
      <selection activeCell="H41" sqref="H41"/>
      <selection pane="topRight" activeCell="H41" sqref="H41"/>
      <selection pane="bottomLeft" activeCell="H41" sqref="H41"/>
      <selection pane="bottomRight" activeCell="G43" sqref="G43"/>
    </sheetView>
  </sheetViews>
  <sheetFormatPr baseColWidth="10" defaultColWidth="0" defaultRowHeight="15" customHeight="1" zeroHeight="1"/>
  <cols>
    <col min="1" max="4" width="2.59765625" style="4" customWidth="1"/>
    <col min="5" max="5" width="54" style="4" bestFit="1" customWidth="1"/>
    <col min="6" max="6" width="1.59765625" style="4" customWidth="1"/>
    <col min="7" max="7" width="15.59765625" style="4" customWidth="1"/>
    <col min="8" max="8" width="22.3984375" style="4" bestFit="1" customWidth="1"/>
    <col min="9" max="9" width="16" style="4" bestFit="1" customWidth="1"/>
    <col min="10" max="10" width="1.59765625" style="4" customWidth="1"/>
    <col min="11" max="11" width="55.19921875" style="161" bestFit="1" customWidth="1"/>
    <col min="12" max="12" width="40" style="161" customWidth="1"/>
    <col min="13" max="13" width="3" customWidth="1"/>
    <col min="14" max="31" width="10.59765625" hidden="1" customWidth="1"/>
    <col min="32" max="32" width="11.59765625" hidden="1" customWidth="1"/>
    <col min="33" max="48" width="10.59765625" hidden="1" customWidth="1"/>
    <col min="49" max="50" width="10.796875" hidden="1" customWidth="1"/>
    <col min="51" max="52" width="10" hidden="1" customWidth="1"/>
    <col min="53" max="16381" width="9" hidden="1" customWidth="1"/>
    <col min="16382" max="16384" width="2" hidden="1" customWidth="1"/>
  </cols>
  <sheetData>
    <row r="1" spans="1:12" ht="14.5" customHeight="1">
      <c r="A1" s="171" t="s">
        <v>23</v>
      </c>
      <c r="B1" s="14"/>
      <c r="C1" s="14"/>
      <c r="D1" s="14"/>
      <c r="E1" s="14"/>
      <c r="F1" s="14"/>
      <c r="G1" s="14"/>
      <c r="H1" s="14" t="s">
        <v>84</v>
      </c>
      <c r="I1" s="169" t="s">
        <v>191</v>
      </c>
      <c r="J1" s="15"/>
      <c r="K1" s="159"/>
      <c r="L1" s="159"/>
    </row>
    <row r="2" spans="1:12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170" t="s">
        <v>192</v>
      </c>
      <c r="J2" s="17"/>
      <c r="K2" s="160" t="s">
        <v>193</v>
      </c>
      <c r="L2" s="160" t="s">
        <v>194</v>
      </c>
    </row>
    <row r="3" spans="1:12" ht="15" customHeight="1"/>
    <row r="4" spans="1:12" ht="15" customHeight="1">
      <c r="B4" s="126" t="s">
        <v>90</v>
      </c>
      <c r="C4" s="58"/>
      <c r="D4" s="58"/>
      <c r="E4" s="58"/>
      <c r="F4" s="58"/>
      <c r="G4" s="58"/>
      <c r="H4" s="58"/>
      <c r="I4" s="151"/>
      <c r="J4" s="58"/>
      <c r="K4" s="162"/>
      <c r="L4" s="162"/>
    </row>
    <row r="5" spans="1:12" ht="15" customHeight="1">
      <c r="I5" s="152"/>
    </row>
    <row r="6" spans="1:12" ht="15" customHeight="1">
      <c r="E6" s="4" t="str">
        <f>Inputs!E6</f>
        <v>GB indexed portion of interconnector</v>
      </c>
      <c r="G6" s="4" t="str">
        <f>Inputs!G6</f>
        <v>choice %</v>
      </c>
      <c r="I6" s="153">
        <f>ROW(Inputs!E6)</f>
        <v>6</v>
      </c>
      <c r="K6" s="165" t="s">
        <v>195</v>
      </c>
      <c r="L6" s="174"/>
    </row>
    <row r="7" spans="1:12" ht="15" customHeight="1">
      <c r="E7" s="4" t="str">
        <f>Inputs!E9</f>
        <v>Currency of cost inputs</v>
      </c>
      <c r="G7" s="4" t="str">
        <f>Inputs!G9</f>
        <v>choice</v>
      </c>
      <c r="I7" s="153">
        <f>ROW(Inputs!E9)</f>
        <v>9</v>
      </c>
      <c r="K7" s="165" t="s">
        <v>196</v>
      </c>
      <c r="L7" s="165"/>
    </row>
    <row r="8" spans="1:12" ht="15" customHeight="1">
      <c r="B8" s="19"/>
      <c r="C8" s="19"/>
      <c r="D8" s="19"/>
      <c r="E8" s="4" t="str">
        <f>Inputs!E11</f>
        <v>Base year price term</v>
      </c>
      <c r="F8" s="19"/>
      <c r="G8" s="4" t="str">
        <f>Inputs!G11</f>
        <v>choice</v>
      </c>
      <c r="H8" s="19"/>
      <c r="I8" s="153">
        <f>ROW(Inputs!E11)</f>
        <v>11</v>
      </c>
      <c r="J8" s="19"/>
      <c r="K8" s="165" t="s">
        <v>195</v>
      </c>
      <c r="L8" s="174"/>
    </row>
    <row r="9" spans="1:12" ht="15" customHeight="1">
      <c r="A9" s="19"/>
      <c r="B9" s="19"/>
      <c r="C9" s="19"/>
      <c r="D9" s="19"/>
      <c r="E9" s="19"/>
      <c r="F9" s="19"/>
      <c r="G9" s="19"/>
      <c r="H9" s="19"/>
      <c r="I9" s="155"/>
      <c r="J9" s="19"/>
      <c r="K9" s="163"/>
      <c r="L9" s="163"/>
    </row>
    <row r="10" spans="1:12" ht="15" customHeight="1">
      <c r="A10" s="19"/>
      <c r="B10" s="126" t="s">
        <v>100</v>
      </c>
      <c r="C10" s="58"/>
      <c r="D10" s="58"/>
      <c r="E10" s="58"/>
      <c r="F10" s="58"/>
      <c r="G10" s="58"/>
      <c r="H10" s="58"/>
      <c r="I10" s="151"/>
      <c r="J10" s="58"/>
      <c r="K10" s="162"/>
      <c r="L10" s="162"/>
    </row>
    <row r="11" spans="1:12" ht="15" customHeight="1">
      <c r="A11" s="19"/>
      <c r="B11" s="19"/>
      <c r="C11" s="19"/>
      <c r="D11" s="19"/>
      <c r="E11" s="19"/>
      <c r="F11" s="19"/>
      <c r="G11" s="19"/>
      <c r="H11" s="19"/>
      <c r="I11" s="154"/>
      <c r="J11" s="19"/>
      <c r="K11" s="163"/>
      <c r="L11" s="163"/>
    </row>
    <row r="12" spans="1:12" ht="15" customHeight="1">
      <c r="A12" s="19"/>
      <c r="B12" s="19"/>
      <c r="C12" s="12" t="s">
        <v>101</v>
      </c>
      <c r="D12" s="12"/>
      <c r="E12" s="12"/>
      <c r="F12" s="12"/>
      <c r="G12" s="12"/>
      <c r="H12" s="12"/>
      <c r="I12" s="156"/>
      <c r="J12" s="12"/>
      <c r="K12" s="164"/>
      <c r="L12" s="164"/>
    </row>
    <row r="13" spans="1:12" ht="15" customHeight="1">
      <c r="I13" s="152"/>
    </row>
    <row r="14" spans="1:12" ht="15" customHeight="1">
      <c r="E14" s="4" t="str">
        <f>Inputs!E20</f>
        <v>Development costs</v>
      </c>
      <c r="G14" s="4" t="str">
        <f>Inputs!G20</f>
        <v>£m nominal</v>
      </c>
      <c r="I14" s="152">
        <f>ROW(Inputs!E20)</f>
        <v>20</v>
      </c>
      <c r="K14" s="165" t="s">
        <v>196</v>
      </c>
      <c r="L14" s="165"/>
    </row>
    <row r="15" spans="1:12" ht="15" customHeight="1">
      <c r="E15" s="4" t="str">
        <f>Inputs!E21</f>
        <v>Capex</v>
      </c>
      <c r="G15" s="4" t="str">
        <f>Inputs!G21</f>
        <v>£m nominal</v>
      </c>
      <c r="I15" s="152">
        <f>ROW(Inputs!E21)</f>
        <v>21</v>
      </c>
      <c r="K15" s="165" t="s">
        <v>196</v>
      </c>
      <c r="L15" s="165"/>
    </row>
    <row r="16" spans="1:12" ht="15" customHeight="1">
      <c r="E16" s="4" t="str">
        <f>Inputs!E22</f>
        <v>Spares</v>
      </c>
      <c r="G16" s="4" t="str">
        <f>Inputs!G22</f>
        <v>£m nominal</v>
      </c>
      <c r="I16" s="152">
        <f>ROW(Inputs!E22)</f>
        <v>22</v>
      </c>
      <c r="K16" s="165" t="s">
        <v>196</v>
      </c>
      <c r="L16" s="165"/>
    </row>
    <row r="17" spans="1:12" ht="15" customHeight="1">
      <c r="I17" s="152"/>
      <c r="K17" s="163"/>
      <c r="L17" s="163"/>
    </row>
    <row r="18" spans="1:12" ht="13" customHeight="1">
      <c r="E18" s="4" t="str">
        <f>Inputs!E24</f>
        <v>Base year CPIH L522</v>
      </c>
      <c r="G18" s="4" t="str">
        <f>Inputs!G24</f>
        <v>Jan 2015 = 100</v>
      </c>
      <c r="H18" s="4" t="str">
        <f>Inputs!H24</f>
        <v>UK CPIH L522 2024</v>
      </c>
      <c r="I18" s="154">
        <f>ROW(Inputs!E24)</f>
        <v>24</v>
      </c>
      <c r="K18" s="165" t="s">
        <v>197</v>
      </c>
      <c r="L18" s="175" t="s">
        <v>198</v>
      </c>
    </row>
    <row r="19" spans="1:12" ht="13" hidden="1" customHeight="1">
      <c r="I19" s="154"/>
      <c r="K19" s="165"/>
      <c r="L19" s="174"/>
    </row>
    <row r="20" spans="1:12" ht="13" hidden="1" customHeight="1">
      <c r="I20" s="154"/>
      <c r="K20" s="165"/>
      <c r="L20" s="175"/>
    </row>
    <row r="21" spans="1:12" ht="15" customHeight="1">
      <c r="I21" s="154"/>
      <c r="K21" s="163"/>
      <c r="L21" s="166"/>
    </row>
    <row r="22" spans="1:12" ht="13" customHeight="1">
      <c r="E22" s="4" t="str">
        <f>Inputs!E28</f>
        <v>Average UK CPIH L522</v>
      </c>
      <c r="G22" s="4" t="str">
        <f>Inputs!G28</f>
        <v>Jan 2015 = 100</v>
      </c>
      <c r="H22" s="4" t="str">
        <f>Inputs!H28</f>
        <v>UK CPIH L522 t</v>
      </c>
      <c r="I22" s="154">
        <f>ROW(Inputs!E28)</f>
        <v>28</v>
      </c>
      <c r="K22" s="202" t="s">
        <v>197</v>
      </c>
      <c r="L22" s="175" t="s">
        <v>198</v>
      </c>
    </row>
    <row r="23" spans="1:12" ht="15" customHeight="1">
      <c r="G23" s="70"/>
      <c r="H23" s="70"/>
      <c r="I23" s="152"/>
      <c r="K23" s="163"/>
      <c r="L23" s="163"/>
    </row>
    <row r="24" spans="1:12" ht="15" customHeight="1">
      <c r="C24" s="12" t="s">
        <v>114</v>
      </c>
      <c r="D24" s="12"/>
      <c r="E24" s="12"/>
      <c r="F24" s="12"/>
      <c r="G24" s="12"/>
      <c r="H24" s="12"/>
      <c r="I24" s="156"/>
      <c r="J24" s="12"/>
      <c r="K24" s="164"/>
      <c r="L24" s="164"/>
    </row>
    <row r="25" spans="1:12" ht="15" customHeight="1">
      <c r="I25" s="152"/>
    </row>
    <row r="26" spans="1:12" ht="15" customHeight="1">
      <c r="B26" s="19"/>
      <c r="C26" s="19"/>
      <c r="D26" s="19"/>
      <c r="E26" s="19" t="str">
        <f>Inputs!E42</f>
        <v>Replacement Capex</v>
      </c>
      <c r="F26" s="19"/>
      <c r="G26" s="19" t="str">
        <f>Inputs!G42</f>
        <v>£m 19/20 prices</v>
      </c>
      <c r="H26" s="19"/>
      <c r="I26" s="154">
        <f>ROW(Inputs!E42)</f>
        <v>42</v>
      </c>
      <c r="J26" s="19"/>
      <c r="K26" s="165" t="s">
        <v>196</v>
      </c>
      <c r="L26" s="165"/>
    </row>
    <row r="27" spans="1:12" ht="15" customHeight="1">
      <c r="B27" s="19"/>
      <c r="C27" s="19"/>
      <c r="D27" s="19"/>
      <c r="E27" s="19" t="str">
        <f>Inputs!E43</f>
        <v>Decommissioning baseline</v>
      </c>
      <c r="F27" s="19"/>
      <c r="G27" s="19" t="str">
        <f>Inputs!G43</f>
        <v>£m 19/20 prices</v>
      </c>
      <c r="H27" s="19"/>
      <c r="I27" s="154">
        <f>ROW(Inputs!E43)</f>
        <v>43</v>
      </c>
      <c r="J27" s="19"/>
      <c r="K27" s="165" t="s">
        <v>196</v>
      </c>
      <c r="L27" s="165"/>
    </row>
    <row r="28" spans="1:12" ht="15" customHeight="1">
      <c r="B28" s="19"/>
      <c r="C28" s="19"/>
      <c r="D28" s="19"/>
      <c r="E28" s="19" t="str">
        <f>Inputs!E44</f>
        <v>Controllable Opex</v>
      </c>
      <c r="F28" s="19"/>
      <c r="G28" s="19" t="str">
        <f>Inputs!G44</f>
        <v>£m 19/20 prices</v>
      </c>
      <c r="H28" s="19"/>
      <c r="I28" s="154">
        <f>ROW(Inputs!E44)</f>
        <v>44</v>
      </c>
      <c r="J28" s="19"/>
      <c r="K28" s="165" t="s">
        <v>196</v>
      </c>
      <c r="L28" s="165"/>
    </row>
    <row r="29" spans="1:12" ht="15" customHeight="1">
      <c r="B29" s="19"/>
      <c r="C29" s="19"/>
      <c r="D29" s="19"/>
      <c r="E29" s="19" t="str">
        <f>Inputs!E45</f>
        <v>Non-controllable Opex baseline</v>
      </c>
      <c r="F29" s="19"/>
      <c r="G29" s="19" t="str">
        <f>Inputs!G45</f>
        <v>£m 19/20 prices</v>
      </c>
      <c r="H29" s="19"/>
      <c r="I29" s="154">
        <f>ROW(Inputs!E45)</f>
        <v>45</v>
      </c>
      <c r="J29" s="19"/>
      <c r="K29" s="165" t="s">
        <v>196</v>
      </c>
      <c r="L29" s="165"/>
    </row>
    <row r="30" spans="1:12" ht="15" customHeight="1">
      <c r="I30" s="152"/>
    </row>
    <row r="31" spans="1:12" ht="15" customHeight="1">
      <c r="E31" s="4" t="str">
        <f>Inputs!E51</f>
        <v>2019/20 CPIH L522</v>
      </c>
      <c r="G31" s="4" t="str">
        <f>Inputs!G51</f>
        <v>Jan 2015 = 100</v>
      </c>
      <c r="I31" s="154">
        <f>ROW(Inputs!E51)</f>
        <v>51</v>
      </c>
      <c r="J31" s="19"/>
      <c r="K31" s="165" t="s">
        <v>197</v>
      </c>
      <c r="L31" s="175" t="s">
        <v>198</v>
      </c>
    </row>
    <row r="32" spans="1:12" ht="13" hidden="1" customHeight="1">
      <c r="A32" s="70"/>
      <c r="E32" s="4">
        <f>Inputs!E52</f>
        <v>0</v>
      </c>
      <c r="G32" s="4" t="str">
        <f>Inputs!G52</f>
        <v/>
      </c>
      <c r="I32" s="154">
        <f>ROW(Inputs!E52)</f>
        <v>52</v>
      </c>
      <c r="J32" s="19"/>
      <c r="K32" s="165"/>
      <c r="L32" s="174"/>
    </row>
    <row r="33" spans="1:12" ht="13" hidden="1" customHeight="1">
      <c r="A33" s="70"/>
      <c r="E33" s="4">
        <f>Inputs!E53</f>
        <v>0</v>
      </c>
      <c r="G33" s="4" t="str">
        <f>Inputs!G53</f>
        <v/>
      </c>
      <c r="I33" s="154">
        <f>ROW(Inputs!E53)</f>
        <v>53</v>
      </c>
      <c r="J33" s="19"/>
      <c r="K33" s="165"/>
      <c r="L33" s="175"/>
    </row>
    <row r="34" spans="1:12" ht="15" hidden="1" customHeight="1">
      <c r="I34" s="154"/>
    </row>
    <row r="35" spans="1:12" ht="13" hidden="1" customHeight="1">
      <c r="A35" s="70"/>
      <c r="E35" s="4" t="str">
        <f>Inputs!E55</f>
        <v/>
      </c>
      <c r="G35" s="4" t="str">
        <f>Inputs!G55</f>
        <v/>
      </c>
      <c r="H35" s="4" t="str">
        <f>Inputs!H55</f>
        <v/>
      </c>
      <c r="I35" s="154">
        <f>ROW(Inputs!E55)</f>
        <v>55</v>
      </c>
      <c r="K35" s="165"/>
      <c r="L35" s="175"/>
    </row>
    <row r="36" spans="1:12" ht="15" customHeight="1">
      <c r="I36" s="152"/>
    </row>
    <row r="37" spans="1:12" ht="15" customHeight="1">
      <c r="A37" s="5"/>
      <c r="B37" s="126" t="s">
        <v>149</v>
      </c>
      <c r="C37" s="13"/>
      <c r="D37" s="13"/>
      <c r="E37" s="13"/>
      <c r="F37" s="13"/>
      <c r="G37" s="13"/>
      <c r="H37" s="13"/>
      <c r="I37" s="157"/>
      <c r="J37" s="13"/>
      <c r="K37" s="167"/>
      <c r="L37" s="167"/>
    </row>
    <row r="38" spans="1:12" ht="15" customHeight="1">
      <c r="A38" s="5"/>
      <c r="B38" s="5"/>
      <c r="C38" s="5"/>
      <c r="D38" s="5"/>
      <c r="E38" s="5"/>
      <c r="F38" s="5"/>
      <c r="G38" s="5"/>
      <c r="H38" s="5"/>
      <c r="I38" s="158"/>
      <c r="J38" s="6"/>
      <c r="K38" s="163"/>
      <c r="L38" s="163"/>
    </row>
    <row r="39" spans="1:12" ht="15" customHeight="1">
      <c r="A39" s="5"/>
      <c r="B39" s="5"/>
      <c r="C39" s="12" t="s">
        <v>27</v>
      </c>
      <c r="D39" s="12"/>
      <c r="E39" s="12"/>
      <c r="F39" s="12"/>
      <c r="G39" s="12"/>
      <c r="H39" s="12"/>
      <c r="I39" s="156"/>
      <c r="J39" s="12"/>
      <c r="K39" s="164"/>
      <c r="L39" s="164"/>
    </row>
    <row r="40" spans="1:12" ht="15" customHeight="1">
      <c r="A40" s="5"/>
      <c r="B40" s="5"/>
      <c r="C40" s="5"/>
      <c r="D40" s="5"/>
      <c r="E40" s="5"/>
      <c r="F40" s="5"/>
      <c r="G40" s="5"/>
      <c r="H40" s="5"/>
      <c r="I40" s="158"/>
      <c r="J40" s="6"/>
    </row>
    <row r="41" spans="1:12" ht="13" customHeight="1">
      <c r="B41" s="19"/>
      <c r="C41" s="19"/>
      <c r="D41" s="19"/>
      <c r="E41" s="19" t="str">
        <f>Inputs!E68</f>
        <v>Cap return rate</v>
      </c>
      <c r="F41" s="19"/>
      <c r="G41" s="19" t="str">
        <f>Inputs!G68</f>
        <v>real annual %</v>
      </c>
      <c r="H41" s="19"/>
      <c r="I41" s="154">
        <f>ROW(Inputs!E68)</f>
        <v>68</v>
      </c>
      <c r="J41" s="19"/>
      <c r="K41" s="165" t="s">
        <v>199</v>
      </c>
      <c r="L41" s="174"/>
    </row>
    <row r="42" spans="1:12" ht="15" customHeight="1">
      <c r="A42" s="19"/>
      <c r="B42" s="19"/>
      <c r="C42" s="19"/>
      <c r="D42" s="19"/>
      <c r="E42" s="19" t="str">
        <f>Inputs!E69</f>
        <v>Floor return rate</v>
      </c>
      <c r="F42" s="19"/>
      <c r="G42" s="19" t="str">
        <f>Inputs!G69</f>
        <v>real annual %</v>
      </c>
      <c r="H42" s="19"/>
      <c r="I42" s="154">
        <f>ROW(Inputs!E69)</f>
        <v>69</v>
      </c>
      <c r="J42" s="19"/>
      <c r="K42" s="165" t="s">
        <v>199</v>
      </c>
      <c r="L42" s="174"/>
    </row>
    <row r="43" spans="1:12" ht="15" customHeight="1">
      <c r="A43" s="19"/>
      <c r="B43" s="19"/>
      <c r="C43" s="19"/>
      <c r="D43" s="19"/>
      <c r="E43" s="19" t="str">
        <f>Inputs!E70</f>
        <v>Interest during construction (IDC) rate</v>
      </c>
      <c r="F43" s="19"/>
      <c r="G43" s="19" t="str">
        <f>Inputs!G70</f>
        <v>real annual %</v>
      </c>
      <c r="H43" s="19"/>
      <c r="I43" s="154">
        <f>ROW(Inputs!E70)</f>
        <v>70</v>
      </c>
      <c r="J43" s="19"/>
      <c r="K43" s="165" t="s">
        <v>199</v>
      </c>
      <c r="L43" s="174"/>
    </row>
    <row r="44" spans="1:12" ht="15" customHeight="1">
      <c r="A44" s="19"/>
      <c r="B44" s="19"/>
      <c r="C44" s="19"/>
      <c r="D44" s="19"/>
      <c r="E44" s="19"/>
      <c r="F44" s="19"/>
      <c r="G44" s="19"/>
      <c r="H44" s="19"/>
      <c r="I44" s="154"/>
      <c r="J44" s="19"/>
      <c r="K44" s="163"/>
      <c r="L44" s="163"/>
    </row>
    <row r="45" spans="1:12" ht="13" customHeight="1">
      <c r="B45" s="19"/>
      <c r="C45" s="19"/>
      <c r="D45" s="19"/>
      <c r="E45" s="19" t="str">
        <f>Inputs!E73</f>
        <v>Pre-operational notional gearing</v>
      </c>
      <c r="F45" s="19"/>
      <c r="G45" s="19" t="str">
        <f>Inputs!G73</f>
        <v>%</v>
      </c>
      <c r="H45" s="19"/>
      <c r="I45" s="154">
        <f>ROW(Inputs!E73)</f>
        <v>73</v>
      </c>
      <c r="J45" s="19"/>
      <c r="K45" s="165" t="s">
        <v>199</v>
      </c>
      <c r="L45" s="174"/>
    </row>
    <row r="46" spans="1:12" ht="13" customHeight="1">
      <c r="B46" s="19"/>
      <c r="C46" s="19"/>
      <c r="D46" s="19"/>
      <c r="E46" s="19" t="str">
        <f>Inputs!E74</f>
        <v>Operational notional gearing</v>
      </c>
      <c r="F46" s="19"/>
      <c r="G46" s="19" t="str">
        <f>Inputs!G74</f>
        <v>%</v>
      </c>
      <c r="H46" s="19"/>
      <c r="I46" s="154">
        <f>ROW(Inputs!E74)</f>
        <v>74</v>
      </c>
      <c r="J46" s="19"/>
      <c r="K46" s="165" t="s">
        <v>199</v>
      </c>
      <c r="L46" s="174"/>
    </row>
    <row r="47" spans="1:12" ht="15" customHeight="1">
      <c r="A47" s="19"/>
      <c r="B47" s="19"/>
      <c r="C47" s="19"/>
      <c r="D47" s="19"/>
      <c r="E47" s="19"/>
      <c r="F47" s="19"/>
      <c r="G47" s="19"/>
      <c r="H47" s="19"/>
      <c r="I47" s="154"/>
      <c r="J47" s="19"/>
      <c r="K47" s="163"/>
      <c r="L47" s="163"/>
    </row>
    <row r="48" spans="1:12" ht="15" customHeight="1">
      <c r="A48" s="19"/>
      <c r="B48" s="19"/>
      <c r="C48" s="19"/>
      <c r="D48" s="19"/>
      <c r="E48" s="19" t="str">
        <f>Inputs!E76</f>
        <v>Equity transaction costs</v>
      </c>
      <c r="F48" s="19"/>
      <c r="G48" s="19" t="str">
        <f>Inputs!G76</f>
        <v>%</v>
      </c>
      <c r="H48" s="19"/>
      <c r="I48" s="154">
        <f>ROW(Inputs!E76)</f>
        <v>76</v>
      </c>
      <c r="J48" s="19"/>
      <c r="K48" s="165" t="s">
        <v>199</v>
      </c>
      <c r="L48" s="174"/>
    </row>
    <row r="49" spans="1:12" ht="15" customHeight="1">
      <c r="A49" s="19"/>
      <c r="B49" s="19"/>
      <c r="C49" s="19"/>
      <c r="D49" s="19"/>
      <c r="E49" s="19" t="str">
        <f>Inputs!E77</f>
        <v>Debt transaction costs</v>
      </c>
      <c r="F49" s="19"/>
      <c r="G49" s="19" t="str">
        <f>Inputs!G77</f>
        <v>%</v>
      </c>
      <c r="H49" s="19"/>
      <c r="I49" s="154">
        <f>ROW(Inputs!E77)</f>
        <v>77</v>
      </c>
      <c r="J49" s="19"/>
      <c r="K49" s="165" t="s">
        <v>199</v>
      </c>
      <c r="L49" s="174"/>
    </row>
    <row r="50" spans="1:12" ht="15" customHeight="1">
      <c r="A50" s="19"/>
      <c r="B50" s="19"/>
      <c r="C50" s="19"/>
      <c r="D50" s="19"/>
      <c r="E50" s="19"/>
      <c r="F50" s="19"/>
      <c r="G50" s="5"/>
      <c r="H50" s="19"/>
      <c r="I50" s="154"/>
      <c r="J50" s="19"/>
      <c r="K50" s="163"/>
      <c r="L50" s="163"/>
    </row>
    <row r="51" spans="1:12" ht="13" customHeight="1">
      <c r="A51" s="5"/>
      <c r="B51" s="5"/>
      <c r="C51" s="12" t="s">
        <v>159</v>
      </c>
      <c r="D51" s="12"/>
      <c r="E51" s="12"/>
      <c r="F51" s="12"/>
      <c r="G51" s="12"/>
      <c r="H51" s="12"/>
      <c r="I51" s="156"/>
      <c r="J51" s="12"/>
      <c r="K51" s="164"/>
      <c r="L51" s="164"/>
    </row>
    <row r="52" spans="1:12" ht="15" customHeight="1">
      <c r="I52" s="152"/>
    </row>
    <row r="53" spans="1:12" ht="15" customHeight="1">
      <c r="A53" s="19"/>
      <c r="B53" s="19"/>
      <c r="C53" s="19"/>
      <c r="D53" s="19"/>
      <c r="E53" s="19" t="str">
        <f>Inputs!E85</f>
        <v>Regime start date</v>
      </c>
      <c r="F53" s="19"/>
      <c r="G53" s="19" t="str">
        <f>Inputs!G85</f>
        <v>date</v>
      </c>
      <c r="H53" s="19"/>
      <c r="I53" s="154">
        <f>ROW(Inputs!I85)</f>
        <v>85</v>
      </c>
      <c r="J53" s="19"/>
      <c r="K53" s="165" t="s">
        <v>196</v>
      </c>
      <c r="L53" s="174"/>
    </row>
    <row r="54" spans="1:12" ht="15" customHeight="1">
      <c r="A54" s="19"/>
      <c r="B54" s="19"/>
      <c r="C54" s="19"/>
      <c r="D54" s="19"/>
      <c r="E54" s="19" t="str">
        <f>Inputs!E86</f>
        <v>End date for IDC</v>
      </c>
      <c r="F54" s="19"/>
      <c r="G54" s="19" t="str">
        <f>Inputs!G86</f>
        <v>date</v>
      </c>
      <c r="H54" s="19"/>
      <c r="I54" s="154">
        <f>ROW(Inputs!I86)</f>
        <v>86</v>
      </c>
      <c r="J54" s="19"/>
      <c r="K54" s="165" t="s">
        <v>196</v>
      </c>
      <c r="L54" s="174"/>
    </row>
    <row r="55" spans="1:12" ht="15" customHeight="1">
      <c r="A55" s="19"/>
      <c r="B55" s="19"/>
      <c r="C55" s="19"/>
      <c r="D55" s="19"/>
      <c r="E55" s="19" t="str">
        <f>Inputs!E87</f>
        <v>Start of operations</v>
      </c>
      <c r="F55" s="19"/>
      <c r="G55" s="19" t="str">
        <f>Inputs!G87</f>
        <v>date</v>
      </c>
      <c r="H55" s="19"/>
      <c r="I55" s="154">
        <f>ROW(Inputs!I87)</f>
        <v>87</v>
      </c>
      <c r="J55" s="19"/>
      <c r="K55" s="165" t="s">
        <v>196</v>
      </c>
      <c r="L55" s="174"/>
    </row>
    <row r="56" spans="1:12" ht="15" customHeight="1">
      <c r="A56" s="19"/>
      <c r="B56" s="19"/>
      <c r="C56" s="19"/>
      <c r="D56" s="19"/>
      <c r="E56" s="19" t="str">
        <f>Inputs!E89</f>
        <v>Number of operational years</v>
      </c>
      <c r="F56" s="19"/>
      <c r="G56" s="19" t="str">
        <f>Inputs!G89</f>
        <v>full years</v>
      </c>
      <c r="H56" s="19"/>
      <c r="I56" s="154">
        <f>ROW(Inputs!I89)</f>
        <v>89</v>
      </c>
      <c r="J56" s="19"/>
      <c r="K56" s="165" t="s">
        <v>195</v>
      </c>
      <c r="L56" s="174"/>
    </row>
    <row r="57" spans="1:12" ht="15" customHeight="1">
      <c r="A57" s="19"/>
      <c r="B57" s="19"/>
      <c r="C57" s="19"/>
      <c r="D57" s="19"/>
      <c r="E57" s="19"/>
      <c r="F57" s="19"/>
      <c r="G57" s="19"/>
      <c r="H57" s="19"/>
      <c r="I57" s="154"/>
      <c r="J57" s="19"/>
      <c r="K57" s="168"/>
      <c r="L57" s="168"/>
    </row>
    <row r="58" spans="1:12" ht="15" customHeight="1">
      <c r="A58" s="5"/>
      <c r="B58" s="5"/>
      <c r="C58" s="12" t="s">
        <v>178</v>
      </c>
      <c r="D58" s="12"/>
      <c r="E58" s="12"/>
      <c r="F58" s="12"/>
      <c r="G58" s="12"/>
      <c r="H58" s="12"/>
      <c r="I58" s="156"/>
      <c r="J58" s="12"/>
      <c r="K58" s="164"/>
      <c r="L58" s="164"/>
    </row>
    <row r="59" spans="1:12" ht="15" customHeight="1">
      <c r="I59" s="152"/>
    </row>
    <row r="60" spans="1:12" ht="15" customHeight="1">
      <c r="B60" s="33"/>
      <c r="E60" s="4" t="str">
        <f>Inputs!E103</f>
        <v>Long-term expected UK CPIH inflation</v>
      </c>
      <c r="G60" s="4" t="str">
        <f>Inputs!G103</f>
        <v>%</v>
      </c>
      <c r="I60" s="154">
        <f>ROW(Inputs!E103)</f>
        <v>103</v>
      </c>
      <c r="J60" s="34"/>
      <c r="K60" s="165" t="s">
        <v>199</v>
      </c>
      <c r="L60" s="174"/>
    </row>
    <row r="61" spans="1:12" ht="15" customHeight="1">
      <c r="A61" s="19"/>
      <c r="B61" s="19"/>
      <c r="C61" s="19"/>
      <c r="D61" s="19"/>
      <c r="E61" s="19"/>
      <c r="F61" s="19"/>
      <c r="G61" s="5"/>
      <c r="H61" s="19"/>
      <c r="I61" s="154"/>
      <c r="J61" s="19"/>
      <c r="K61" s="163"/>
      <c r="L61" s="163"/>
    </row>
    <row r="62" spans="1:12" ht="15" customHeight="1">
      <c r="A62" s="5"/>
      <c r="B62" s="5"/>
      <c r="C62" s="12" t="s">
        <v>182</v>
      </c>
      <c r="D62" s="12"/>
      <c r="E62" s="12"/>
      <c r="F62" s="12"/>
      <c r="G62" s="12"/>
      <c r="H62" s="12"/>
      <c r="I62" s="156"/>
      <c r="J62" s="12"/>
      <c r="K62" s="164"/>
      <c r="L62" s="164"/>
    </row>
    <row r="63" spans="1:12" ht="15" customHeight="1">
      <c r="A63" s="5"/>
      <c r="B63" s="5"/>
      <c r="C63" s="5"/>
      <c r="D63" s="5"/>
      <c r="E63" s="5"/>
      <c r="F63" s="5"/>
      <c r="G63" s="5"/>
      <c r="H63" s="5"/>
      <c r="I63" s="154"/>
      <c r="J63" s="6"/>
      <c r="K63" s="163"/>
      <c r="L63" s="163"/>
    </row>
    <row r="64" spans="1:12" ht="15" customHeight="1">
      <c r="A64" s="5"/>
      <c r="B64" s="5"/>
      <c r="C64" s="5"/>
      <c r="D64" s="5"/>
      <c r="E64" s="4" t="str">
        <f>Inputs!E113</f>
        <v>Corporation tax rate</v>
      </c>
      <c r="G64" s="4" t="str">
        <f>Inputs!G113</f>
        <v>%</v>
      </c>
      <c r="I64" s="154">
        <f>ROW(Inputs!E113)</f>
        <v>113</v>
      </c>
      <c r="J64" s="6"/>
      <c r="K64" s="165" t="s">
        <v>199</v>
      </c>
      <c r="L64" s="174"/>
    </row>
    <row r="65" spans="1:12" ht="15" customHeight="1">
      <c r="A65" s="5"/>
      <c r="B65" s="5"/>
      <c r="C65" s="5"/>
      <c r="D65" s="5"/>
      <c r="E65" s="4" t="str">
        <f>Inputs!E114</f>
        <v>Capital allowance rate (declining balance)</v>
      </c>
      <c r="G65" s="4" t="str">
        <f>Inputs!G114</f>
        <v>%</v>
      </c>
      <c r="I65" s="154">
        <f>ROW(Inputs!E114)</f>
        <v>114</v>
      </c>
      <c r="J65" s="6"/>
      <c r="K65" s="165" t="s">
        <v>199</v>
      </c>
      <c r="L65" s="174"/>
    </row>
    <row r="66" spans="1:12" ht="15" customHeight="1">
      <c r="B66" s="33"/>
      <c r="E66" s="4" t="str">
        <f>Inputs!E117</f>
        <v>Start of price base year</v>
      </c>
      <c r="G66" s="4" t="str">
        <f>Inputs!G117</f>
        <v>date</v>
      </c>
      <c r="I66" s="154">
        <f>ROW(Inputs!E117)</f>
        <v>117</v>
      </c>
      <c r="J66" s="34"/>
      <c r="K66" s="165" t="s">
        <v>195</v>
      </c>
      <c r="L66" s="174"/>
    </row>
    <row r="67" spans="1:12" ht="15" customHeight="1">
      <c r="G67" s="5"/>
      <c r="I67" s="152"/>
      <c r="J67" s="6"/>
    </row>
    <row r="68" spans="1:12" ht="15" customHeight="1">
      <c r="B68" s="5"/>
      <c r="C68" s="12" t="s">
        <v>188</v>
      </c>
      <c r="D68" s="12"/>
      <c r="E68" s="12"/>
      <c r="F68" s="12"/>
      <c r="G68" s="12"/>
      <c r="H68" s="12"/>
      <c r="I68" s="156"/>
      <c r="J68" s="12"/>
      <c r="K68" s="164"/>
      <c r="L68" s="164"/>
    </row>
    <row r="69" spans="1:12" ht="15" customHeight="1">
      <c r="B69" s="5"/>
      <c r="C69" s="5"/>
      <c r="D69" s="5"/>
      <c r="E69" s="5"/>
      <c r="F69" s="5"/>
      <c r="G69" s="5"/>
      <c r="H69" s="5"/>
      <c r="I69" s="154"/>
      <c r="J69" s="6"/>
      <c r="K69" s="163"/>
      <c r="L69" s="163"/>
    </row>
    <row r="70" spans="1:12" ht="15" customHeight="1">
      <c r="E70" s="4" t="str">
        <f>Inputs!E123</f>
        <v>Tax element of Cap and Floor annuity previously calculated and fixed</v>
      </c>
      <c r="G70" s="4" t="str">
        <f>Inputs!G123</f>
        <v>choice</v>
      </c>
      <c r="I70" s="154">
        <f>ROW(Inputs!E123)</f>
        <v>123</v>
      </c>
      <c r="J70" s="6"/>
      <c r="K70" s="165" t="s">
        <v>199</v>
      </c>
      <c r="L70" s="174"/>
    </row>
    <row r="71" spans="1:12" ht="15" customHeight="1">
      <c r="G71" s="5"/>
      <c r="I71" s="152"/>
      <c r="J71" s="6"/>
    </row>
    <row r="72" spans="1:12" ht="15" customHeight="1">
      <c r="A72" s="19"/>
      <c r="B72" s="126" t="s">
        <v>45</v>
      </c>
      <c r="C72" s="58"/>
      <c r="D72" s="58"/>
      <c r="E72" s="58"/>
      <c r="F72" s="58"/>
      <c r="G72" s="58"/>
      <c r="H72" s="58"/>
      <c r="I72" s="151"/>
      <c r="J72" s="58"/>
      <c r="K72" s="162"/>
      <c r="L72" s="162"/>
    </row>
    <row r="73" spans="1:12" ht="15" customHeight="1">
      <c r="I73" s="152"/>
    </row>
    <row r="74" spans="1:12" ht="15" hidden="1" customHeight="1">
      <c r="I74" s="152"/>
    </row>
    <row r="75" spans="1:12" ht="15" hidden="1" customHeight="1">
      <c r="I75" s="152"/>
    </row>
    <row r="76" spans="1:12" ht="15" hidden="1" customHeight="1">
      <c r="I76" s="152"/>
    </row>
    <row r="77" spans="1:12" ht="15" hidden="1" customHeight="1">
      <c r="I77" s="152"/>
    </row>
    <row r="78" spans="1:12" ht="15" hidden="1" customHeight="1">
      <c r="I78" s="152"/>
    </row>
    <row r="79" spans="1:12" ht="15" hidden="1" customHeight="1">
      <c r="I79" s="152"/>
    </row>
    <row r="80" spans="1:12" ht="15" hidden="1" customHeight="1">
      <c r="I80" s="152"/>
    </row>
    <row r="81" spans="9:9" ht="15" hidden="1" customHeight="1">
      <c r="I81" s="152"/>
    </row>
    <row r="82" spans="9:9" ht="15" hidden="1" customHeight="1">
      <c r="I82" s="152"/>
    </row>
    <row r="83" spans="9:9" ht="15" hidden="1" customHeight="1">
      <c r="I83" s="152"/>
    </row>
    <row r="84" spans="9:9" ht="15" hidden="1" customHeight="1">
      <c r="I84" s="152"/>
    </row>
    <row r="85" spans="9:9" ht="15" hidden="1" customHeight="1">
      <c r="I85" s="152"/>
    </row>
    <row r="86" spans="9:9" ht="15" hidden="1" customHeight="1">
      <c r="I86" s="152"/>
    </row>
    <row r="87" spans="9:9" ht="15" hidden="1" customHeight="1">
      <c r="I87" s="152"/>
    </row>
    <row r="88" spans="9:9" ht="15" hidden="1" customHeight="1">
      <c r="I88" s="152"/>
    </row>
    <row r="89" spans="9:9" ht="15" hidden="1" customHeight="1">
      <c r="I89" s="152"/>
    </row>
    <row r="90" spans="9:9" ht="15" hidden="1" customHeight="1">
      <c r="I90" s="152"/>
    </row>
    <row r="91" spans="9:9" ht="15" hidden="1" customHeight="1">
      <c r="I91" s="152"/>
    </row>
    <row r="92" spans="9:9" ht="15" hidden="1" customHeight="1">
      <c r="I92" s="152"/>
    </row>
    <row r="93" spans="9:9" ht="15" hidden="1" customHeight="1">
      <c r="I93" s="152"/>
    </row>
    <row r="94" spans="9:9" ht="15" hidden="1" customHeight="1">
      <c r="I94" s="152"/>
    </row>
    <row r="95" spans="9:9" ht="15" hidden="1" customHeight="1">
      <c r="I95" s="152"/>
    </row>
    <row r="96" spans="9:9" ht="15" hidden="1" customHeight="1">
      <c r="I96" s="152"/>
    </row>
    <row r="97" spans="9:9" ht="15" hidden="1" customHeight="1">
      <c r="I97" s="152"/>
    </row>
    <row r="98" spans="9:9" ht="15" hidden="1" customHeight="1">
      <c r="I98" s="152"/>
    </row>
    <row r="99" spans="9:9" ht="15" hidden="1" customHeight="1">
      <c r="I99" s="152"/>
    </row>
    <row r="100" spans="9:9" ht="15" hidden="1" customHeight="1">
      <c r="I100" s="152"/>
    </row>
    <row r="101" spans="9:9" ht="15" hidden="1" customHeight="1">
      <c r="I101" s="152"/>
    </row>
    <row r="102" spans="9:9" ht="15" hidden="1" customHeight="1">
      <c r="I102" s="152"/>
    </row>
    <row r="103" spans="9:9" ht="15" hidden="1" customHeight="1">
      <c r="I103" s="152"/>
    </row>
    <row r="104" spans="9:9" ht="15" hidden="1" customHeight="1">
      <c r="I104" s="152"/>
    </row>
    <row r="105" spans="9:9" ht="15" hidden="1" customHeight="1">
      <c r="I105" s="152"/>
    </row>
    <row r="106" spans="9:9" ht="15" hidden="1" customHeight="1">
      <c r="I106" s="152"/>
    </row>
    <row r="107" spans="9:9" ht="15" hidden="1" customHeight="1">
      <c r="I107" s="152"/>
    </row>
    <row r="108" spans="9:9" ht="15" hidden="1" customHeight="1">
      <c r="I108" s="152"/>
    </row>
    <row r="109" spans="9:9" ht="15" hidden="1" customHeight="1">
      <c r="I109" s="152"/>
    </row>
    <row r="110" spans="9:9" ht="15" hidden="1" customHeight="1">
      <c r="I110" s="152"/>
    </row>
    <row r="111" spans="9:9" ht="15" hidden="1" customHeight="1">
      <c r="I111" s="152"/>
    </row>
    <row r="112" spans="9:9" ht="15" hidden="1" customHeight="1">
      <c r="I112" s="152"/>
    </row>
    <row r="113" spans="9:9" ht="15" hidden="1" customHeight="1">
      <c r="I113" s="152"/>
    </row>
    <row r="114" spans="9:9" ht="15" hidden="1" customHeight="1">
      <c r="I114" s="152"/>
    </row>
    <row r="115" spans="9:9" ht="15" hidden="1" customHeight="1">
      <c r="I115" s="152"/>
    </row>
    <row r="116" spans="9:9" ht="15" hidden="1" customHeight="1">
      <c r="I116" s="152"/>
    </row>
    <row r="117" spans="9:9" ht="15" hidden="1" customHeight="1">
      <c r="I117" s="152"/>
    </row>
    <row r="118" spans="9:9" ht="15" hidden="1" customHeight="1">
      <c r="I118" s="152"/>
    </row>
    <row r="119" spans="9:9" ht="15" hidden="1" customHeight="1">
      <c r="I119" s="152"/>
    </row>
    <row r="120" spans="9:9" ht="15" hidden="1" customHeight="1">
      <c r="I120" s="152"/>
    </row>
    <row r="121" spans="9:9" ht="15" hidden="1" customHeight="1">
      <c r="I121" s="152"/>
    </row>
    <row r="122" spans="9:9" ht="15" hidden="1" customHeight="1">
      <c r="I122" s="152"/>
    </row>
    <row r="123" spans="9:9" ht="15" hidden="1" customHeight="1">
      <c r="I123" s="152"/>
    </row>
    <row r="124" spans="9:9" ht="15" hidden="1" customHeight="1">
      <c r="I124" s="152"/>
    </row>
    <row r="125" spans="9:9" ht="15" hidden="1" customHeight="1">
      <c r="I125" s="152"/>
    </row>
    <row r="126" spans="9:9" ht="15" hidden="1" customHeight="1">
      <c r="I126" s="152"/>
    </row>
    <row r="127" spans="9:9" ht="15" hidden="1" customHeight="1">
      <c r="I127" s="152"/>
    </row>
    <row r="128" spans="9:9" ht="15" hidden="1" customHeight="1">
      <c r="I128" s="152"/>
    </row>
    <row r="129" spans="9:9" ht="15" hidden="1" customHeight="1">
      <c r="I129" s="152"/>
    </row>
    <row r="130" spans="9:9" ht="15" hidden="1" customHeight="1">
      <c r="I130" s="152"/>
    </row>
    <row r="131" spans="9:9" ht="15" hidden="1" customHeight="1">
      <c r="I131" s="152"/>
    </row>
    <row r="132" spans="9:9" ht="15" hidden="1" customHeight="1">
      <c r="I132" s="152"/>
    </row>
    <row r="133" spans="9:9" ht="15" hidden="1" customHeight="1">
      <c r="I133" s="152"/>
    </row>
    <row r="134" spans="9:9" ht="15" hidden="1" customHeight="1">
      <c r="I134" s="152"/>
    </row>
    <row r="135" spans="9:9" ht="15" hidden="1" customHeight="1">
      <c r="I135" s="152"/>
    </row>
    <row r="136" spans="9:9" ht="15" hidden="1" customHeight="1">
      <c r="I136" s="152"/>
    </row>
    <row r="137" spans="9:9" ht="15" hidden="1" customHeight="1">
      <c r="I137" s="152"/>
    </row>
    <row r="138" spans="9:9" ht="15" hidden="1" customHeight="1">
      <c r="I138" s="152"/>
    </row>
    <row r="139" spans="9:9" ht="15" hidden="1" customHeight="1">
      <c r="I139" s="152"/>
    </row>
    <row r="140" spans="9:9" ht="15" hidden="1" customHeight="1">
      <c r="I140" s="152"/>
    </row>
    <row r="144" spans="9:9" ht="15" customHeight="1"/>
  </sheetData>
  <hyperlinks>
    <hyperlink ref="L18" r:id="rId1" xr:uid="{00000000-0004-0000-0300-000000000000}"/>
    <hyperlink ref="L22" r:id="rId2" xr:uid="{00000000-0004-0000-0300-000001000000}"/>
    <hyperlink ref="L31" r:id="rId3" xr:uid="{00000000-0004-0000-0300-000002000000}"/>
  </hyperlinks>
  <pageMargins left="0.23622047244094491" right="0.23622047244094491" top="0.74803149606299213" bottom="0.74803149606299213" header="0.31496062992125978" footer="0.31496062992125978"/>
  <pageSetup paperSize="8" scale="3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7" tint="0.59999389629810485"/>
    <pageSetUpPr fitToPage="1"/>
  </sheetPr>
  <dimension ref="A1:XFC27"/>
  <sheetViews>
    <sheetView zoomScaleNormal="100" workbookViewId="0">
      <pane xSplit="10" ySplit="4" topLeftCell="K5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baseColWidth="10" defaultColWidth="0" defaultRowHeight="15" customHeight="1" zeroHeight="1"/>
  <cols>
    <col min="1" max="4" width="2.59765625" style="4" customWidth="1"/>
    <col min="5" max="5" width="55" style="4" customWidth="1"/>
    <col min="6" max="6" width="1.59765625" style="4" customWidth="1"/>
    <col min="7" max="7" width="15.59765625" style="4" customWidth="1"/>
    <col min="8" max="8" width="10.796875" style="4" bestFit="1" customWidth="1"/>
    <col min="9" max="9" width="10.59765625" style="35" customWidth="1"/>
    <col min="10" max="10" width="1.59765625" style="4" customWidth="1"/>
    <col min="11" max="45" width="10.59765625" style="4" customWidth="1"/>
    <col min="46" max="46" width="10" style="4" bestFit="1" customWidth="1"/>
    <col min="47" max="50" width="10.59765625" style="4" customWidth="1"/>
    <col min="51" max="51" width="3" customWidth="1"/>
    <col min="52" max="52" width="9" style="4" hidden="1" customWidth="1"/>
    <col min="53" max="16383" width="9" hidden="1" customWidth="1"/>
    <col min="16384" max="16384" width="2" hidden="1" customWidth="1"/>
  </cols>
  <sheetData>
    <row r="1" spans="1:50" ht="14.5" customHeight="1">
      <c r="A1" s="171" t="s">
        <v>25</v>
      </c>
      <c r="B1" s="14"/>
      <c r="C1" s="14"/>
      <c r="D1" s="14"/>
      <c r="E1" s="14"/>
      <c r="F1" s="14"/>
      <c r="G1" s="14"/>
      <c r="H1" s="14" t="s">
        <v>84</v>
      </c>
      <c r="I1" s="2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</row>
    <row r="2" spans="1:50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24" t="s">
        <v>88</v>
      </c>
      <c r="J2" s="17"/>
      <c r="K2" s="16" t="s">
        <v>89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4"/>
      <c r="AT2" s="14"/>
      <c r="AU2" s="14"/>
      <c r="AV2" s="14"/>
      <c r="AW2" s="14"/>
      <c r="AX2" s="14"/>
    </row>
    <row r="3" spans="1:50" ht="15" customHeight="1">
      <c r="A3" s="14"/>
      <c r="B3" s="14"/>
      <c r="C3" s="14"/>
      <c r="D3" s="14"/>
      <c r="E3" s="10" t="s">
        <v>102</v>
      </c>
      <c r="F3" s="16"/>
      <c r="G3" s="16"/>
      <c r="H3" s="16"/>
      <c r="I3" s="16"/>
      <c r="J3" s="17"/>
      <c r="K3" s="21">
        <f>Inputs!K17</f>
        <v>39904</v>
      </c>
      <c r="L3" s="11">
        <f t="shared" ref="L3:AX3" si="0">+K4+1</f>
        <v>40269</v>
      </c>
      <c r="M3" s="11">
        <f t="shared" si="0"/>
        <v>40634</v>
      </c>
      <c r="N3" s="11">
        <f t="shared" si="0"/>
        <v>41000</v>
      </c>
      <c r="O3" s="11">
        <f t="shared" si="0"/>
        <v>41365</v>
      </c>
      <c r="P3" s="11">
        <f t="shared" si="0"/>
        <v>41730</v>
      </c>
      <c r="Q3" s="11">
        <f t="shared" si="0"/>
        <v>42095</v>
      </c>
      <c r="R3" s="11">
        <f t="shared" si="0"/>
        <v>42461</v>
      </c>
      <c r="S3" s="11">
        <f t="shared" si="0"/>
        <v>42826</v>
      </c>
      <c r="T3" s="11">
        <f t="shared" si="0"/>
        <v>43191</v>
      </c>
      <c r="U3" s="11">
        <f t="shared" si="0"/>
        <v>43556</v>
      </c>
      <c r="V3" s="11">
        <f t="shared" si="0"/>
        <v>43922</v>
      </c>
      <c r="W3" s="11">
        <f t="shared" si="0"/>
        <v>44287</v>
      </c>
      <c r="X3" s="11">
        <f t="shared" si="0"/>
        <v>44652</v>
      </c>
      <c r="Y3" s="11">
        <f t="shared" si="0"/>
        <v>45017</v>
      </c>
      <c r="Z3" s="11">
        <f t="shared" si="0"/>
        <v>45383</v>
      </c>
      <c r="AA3" s="11">
        <f t="shared" si="0"/>
        <v>45748</v>
      </c>
      <c r="AB3" s="11">
        <f t="shared" si="0"/>
        <v>46113</v>
      </c>
      <c r="AC3" s="11">
        <f t="shared" si="0"/>
        <v>46478</v>
      </c>
      <c r="AD3" s="11">
        <f t="shared" si="0"/>
        <v>46844</v>
      </c>
      <c r="AE3" s="11">
        <f t="shared" si="0"/>
        <v>47209</v>
      </c>
      <c r="AF3" s="11">
        <f t="shared" si="0"/>
        <v>47574</v>
      </c>
      <c r="AG3" s="11">
        <f t="shared" si="0"/>
        <v>47939</v>
      </c>
      <c r="AH3" s="11">
        <f t="shared" si="0"/>
        <v>48305</v>
      </c>
      <c r="AI3" s="11">
        <f t="shared" si="0"/>
        <v>48670</v>
      </c>
      <c r="AJ3" s="11">
        <f t="shared" si="0"/>
        <v>49035</v>
      </c>
      <c r="AK3" s="11">
        <f t="shared" si="0"/>
        <v>49400</v>
      </c>
      <c r="AL3" s="11">
        <f t="shared" si="0"/>
        <v>49766</v>
      </c>
      <c r="AM3" s="11">
        <f t="shared" si="0"/>
        <v>50131</v>
      </c>
      <c r="AN3" s="11">
        <f t="shared" si="0"/>
        <v>50496</v>
      </c>
      <c r="AO3" s="11">
        <f t="shared" si="0"/>
        <v>50861</v>
      </c>
      <c r="AP3" s="11">
        <f t="shared" si="0"/>
        <v>51227</v>
      </c>
      <c r="AQ3" s="11">
        <f t="shared" si="0"/>
        <v>51592</v>
      </c>
      <c r="AR3" s="11">
        <f t="shared" si="0"/>
        <v>51957</v>
      </c>
      <c r="AS3" s="11">
        <f t="shared" si="0"/>
        <v>52322</v>
      </c>
      <c r="AT3" s="11">
        <f t="shared" si="0"/>
        <v>52688</v>
      </c>
      <c r="AU3" s="11">
        <f t="shared" si="0"/>
        <v>53053</v>
      </c>
      <c r="AV3" s="11">
        <f t="shared" si="0"/>
        <v>53418</v>
      </c>
      <c r="AW3" s="11">
        <f t="shared" si="0"/>
        <v>53783</v>
      </c>
      <c r="AX3" s="11">
        <f t="shared" si="0"/>
        <v>54149</v>
      </c>
    </row>
    <row r="4" spans="1:50" ht="15" customHeight="1">
      <c r="A4" s="10"/>
      <c r="B4" s="10"/>
      <c r="C4" s="10"/>
      <c r="D4" s="10"/>
      <c r="E4" s="10" t="s">
        <v>103</v>
      </c>
      <c r="F4" s="10"/>
      <c r="G4" s="10"/>
      <c r="H4" s="10"/>
      <c r="I4" s="25"/>
      <c r="J4" s="10"/>
      <c r="K4" s="21">
        <f>Inputs!K18</f>
        <v>40268</v>
      </c>
      <c r="L4" s="11">
        <f t="shared" ref="L4:AX4" si="1">DATE(YEAR(K4) + 1, MONTH(K4), DAY(K4))</f>
        <v>40633</v>
      </c>
      <c r="M4" s="11">
        <f t="shared" si="1"/>
        <v>40999</v>
      </c>
      <c r="N4" s="11">
        <f t="shared" si="1"/>
        <v>41364</v>
      </c>
      <c r="O4" s="11">
        <f t="shared" si="1"/>
        <v>41729</v>
      </c>
      <c r="P4" s="11">
        <f t="shared" si="1"/>
        <v>42094</v>
      </c>
      <c r="Q4" s="11">
        <f t="shared" si="1"/>
        <v>42460</v>
      </c>
      <c r="R4" s="11">
        <f t="shared" si="1"/>
        <v>42825</v>
      </c>
      <c r="S4" s="11">
        <f t="shared" si="1"/>
        <v>43190</v>
      </c>
      <c r="T4" s="11">
        <f t="shared" si="1"/>
        <v>43555</v>
      </c>
      <c r="U4" s="11">
        <f t="shared" si="1"/>
        <v>43921</v>
      </c>
      <c r="V4" s="11">
        <f t="shared" si="1"/>
        <v>44286</v>
      </c>
      <c r="W4" s="11">
        <f t="shared" si="1"/>
        <v>44651</v>
      </c>
      <c r="X4" s="11">
        <f t="shared" si="1"/>
        <v>45016</v>
      </c>
      <c r="Y4" s="11">
        <f t="shared" si="1"/>
        <v>45382</v>
      </c>
      <c r="Z4" s="11">
        <f t="shared" si="1"/>
        <v>45747</v>
      </c>
      <c r="AA4" s="11">
        <f t="shared" si="1"/>
        <v>46112</v>
      </c>
      <c r="AB4" s="11">
        <f t="shared" si="1"/>
        <v>46477</v>
      </c>
      <c r="AC4" s="11">
        <f t="shared" si="1"/>
        <v>46843</v>
      </c>
      <c r="AD4" s="11">
        <f t="shared" si="1"/>
        <v>47208</v>
      </c>
      <c r="AE4" s="11">
        <f t="shared" si="1"/>
        <v>47573</v>
      </c>
      <c r="AF4" s="11">
        <f t="shared" si="1"/>
        <v>47938</v>
      </c>
      <c r="AG4" s="11">
        <f t="shared" si="1"/>
        <v>48304</v>
      </c>
      <c r="AH4" s="11">
        <f t="shared" si="1"/>
        <v>48669</v>
      </c>
      <c r="AI4" s="11">
        <f t="shared" si="1"/>
        <v>49034</v>
      </c>
      <c r="AJ4" s="11">
        <f t="shared" si="1"/>
        <v>49399</v>
      </c>
      <c r="AK4" s="11">
        <f t="shared" si="1"/>
        <v>49765</v>
      </c>
      <c r="AL4" s="11">
        <f t="shared" si="1"/>
        <v>50130</v>
      </c>
      <c r="AM4" s="11">
        <f t="shared" si="1"/>
        <v>50495</v>
      </c>
      <c r="AN4" s="11">
        <f t="shared" si="1"/>
        <v>50860</v>
      </c>
      <c r="AO4" s="11">
        <f t="shared" si="1"/>
        <v>51226</v>
      </c>
      <c r="AP4" s="11">
        <f t="shared" si="1"/>
        <v>51591</v>
      </c>
      <c r="AQ4" s="11">
        <f t="shared" si="1"/>
        <v>51956</v>
      </c>
      <c r="AR4" s="11">
        <f t="shared" si="1"/>
        <v>52321</v>
      </c>
      <c r="AS4" s="11">
        <f t="shared" si="1"/>
        <v>52687</v>
      </c>
      <c r="AT4" s="11">
        <f t="shared" si="1"/>
        <v>53052</v>
      </c>
      <c r="AU4" s="11">
        <f t="shared" si="1"/>
        <v>53417</v>
      </c>
      <c r="AV4" s="11">
        <f t="shared" si="1"/>
        <v>53782</v>
      </c>
      <c r="AW4" s="11">
        <f t="shared" si="1"/>
        <v>54148</v>
      </c>
      <c r="AX4" s="11">
        <f t="shared" si="1"/>
        <v>54513</v>
      </c>
    </row>
    <row r="5" spans="1:50" ht="15" customHeight="1">
      <c r="A5" s="5"/>
      <c r="B5" s="5"/>
      <c r="C5" s="5"/>
      <c r="D5" s="5"/>
      <c r="E5" s="5"/>
      <c r="F5" s="5"/>
      <c r="G5" s="5"/>
      <c r="H5" s="5"/>
      <c r="I5" s="26"/>
      <c r="J5" s="6"/>
      <c r="K5" s="6"/>
      <c r="L5" s="6"/>
      <c r="M5" s="6"/>
      <c r="N5" s="6"/>
      <c r="O5" s="6"/>
      <c r="P5" s="6"/>
      <c r="Q5" s="6"/>
      <c r="R5" s="6"/>
      <c r="S5" s="5"/>
      <c r="T5" s="5"/>
      <c r="U5" s="5"/>
      <c r="V5" s="5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</row>
    <row r="6" spans="1:50" ht="15" customHeight="1">
      <c r="A6" s="5"/>
      <c r="B6" s="126" t="s">
        <v>200</v>
      </c>
      <c r="C6" s="58"/>
      <c r="D6" s="58"/>
      <c r="E6" s="58"/>
      <c r="F6" s="58"/>
      <c r="G6" s="58"/>
      <c r="H6" s="58"/>
      <c r="I6" s="87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</row>
    <row r="7" spans="1:50" ht="15" customHeight="1">
      <c r="A7" s="5"/>
      <c r="B7" s="5"/>
      <c r="C7" s="5"/>
      <c r="D7" s="5"/>
      <c r="E7" s="5"/>
      <c r="F7" s="5"/>
      <c r="G7" s="5"/>
      <c r="H7" s="5"/>
      <c r="I7" s="26"/>
      <c r="J7" s="6"/>
      <c r="K7" s="6"/>
      <c r="L7" s="6"/>
      <c r="M7" s="6"/>
      <c r="N7" s="6"/>
      <c r="O7" s="6"/>
      <c r="P7" s="6"/>
      <c r="Q7" s="6"/>
      <c r="R7" s="6"/>
      <c r="S7" s="5"/>
      <c r="T7" s="5"/>
      <c r="U7" s="5"/>
      <c r="V7" s="5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</row>
    <row r="8" spans="1:50" ht="15" customHeight="1">
      <c r="A8" s="5"/>
      <c r="B8" s="5"/>
      <c r="C8" s="5"/>
      <c r="D8" s="5"/>
      <c r="E8" s="19" t="s">
        <v>171</v>
      </c>
      <c r="F8" s="5"/>
      <c r="G8" s="5" t="s">
        <v>172</v>
      </c>
      <c r="H8" s="5"/>
      <c r="I8" s="26"/>
      <c r="J8" s="6"/>
      <c r="K8" s="106">
        <f>Inputs!K92</f>
        <v>1</v>
      </c>
      <c r="L8" s="106">
        <f>Inputs!L92</f>
        <v>1</v>
      </c>
      <c r="M8" s="106">
        <f>Inputs!M92</f>
        <v>1</v>
      </c>
      <c r="N8" s="106">
        <f>Inputs!N92</f>
        <v>1</v>
      </c>
      <c r="O8" s="106">
        <f>Inputs!O92</f>
        <v>1</v>
      </c>
      <c r="P8" s="106">
        <f>Inputs!P92</f>
        <v>1</v>
      </c>
      <c r="Q8" s="106">
        <f>Inputs!Q92</f>
        <v>1</v>
      </c>
      <c r="R8" s="106">
        <f>Inputs!R92</f>
        <v>1</v>
      </c>
      <c r="S8" s="106">
        <f>Inputs!S92</f>
        <v>1</v>
      </c>
      <c r="T8" s="106">
        <f>Inputs!T92</f>
        <v>1</v>
      </c>
      <c r="U8" s="106">
        <f>Inputs!U92</f>
        <v>1</v>
      </c>
      <c r="V8" s="106">
        <f>Inputs!V92</f>
        <v>0.81095890410958904</v>
      </c>
      <c r="W8" s="106">
        <f>Inputs!W92</f>
        <v>0</v>
      </c>
      <c r="X8" s="106">
        <f>Inputs!X92</f>
        <v>0</v>
      </c>
      <c r="Y8" s="106">
        <f>Inputs!Y92</f>
        <v>0</v>
      </c>
      <c r="Z8" s="106">
        <f>Inputs!Z92</f>
        <v>0</v>
      </c>
      <c r="AA8" s="106">
        <f>Inputs!AA92</f>
        <v>0</v>
      </c>
      <c r="AB8" s="106">
        <f>Inputs!AB92</f>
        <v>0</v>
      </c>
      <c r="AC8" s="106">
        <f>Inputs!AC92</f>
        <v>0</v>
      </c>
      <c r="AD8" s="106">
        <f>Inputs!AD92</f>
        <v>0</v>
      </c>
      <c r="AE8" s="106">
        <f>Inputs!AE92</f>
        <v>0</v>
      </c>
      <c r="AF8" s="106">
        <f>Inputs!AF92</f>
        <v>0</v>
      </c>
      <c r="AG8" s="106">
        <f>Inputs!AG92</f>
        <v>0</v>
      </c>
      <c r="AH8" s="106">
        <f>Inputs!AH92</f>
        <v>0</v>
      </c>
      <c r="AI8" s="106">
        <f>Inputs!AI92</f>
        <v>0</v>
      </c>
      <c r="AJ8" s="106">
        <f>Inputs!AJ92</f>
        <v>0</v>
      </c>
      <c r="AK8" s="106">
        <f>Inputs!AK92</f>
        <v>0</v>
      </c>
      <c r="AL8" s="106">
        <f>Inputs!AL92</f>
        <v>0</v>
      </c>
      <c r="AM8" s="106">
        <f>Inputs!AM92</f>
        <v>0</v>
      </c>
      <c r="AN8" s="106">
        <f>Inputs!AN92</f>
        <v>0</v>
      </c>
      <c r="AO8" s="106">
        <f>Inputs!AO92</f>
        <v>0</v>
      </c>
      <c r="AP8" s="106">
        <f>Inputs!AP92</f>
        <v>0</v>
      </c>
      <c r="AQ8" s="106">
        <f>Inputs!AQ92</f>
        <v>0</v>
      </c>
      <c r="AR8" s="106">
        <f>Inputs!AR92</f>
        <v>0</v>
      </c>
      <c r="AS8" s="106">
        <f>Inputs!AS92</f>
        <v>0</v>
      </c>
      <c r="AT8" s="106">
        <f>Inputs!AT92</f>
        <v>0</v>
      </c>
      <c r="AU8" s="106">
        <f>Inputs!AU92</f>
        <v>0</v>
      </c>
      <c r="AV8" s="106">
        <f>Inputs!AV92</f>
        <v>0</v>
      </c>
      <c r="AW8" s="106">
        <f>Inputs!AW92</f>
        <v>0</v>
      </c>
      <c r="AX8" s="106">
        <f>Inputs!AX92</f>
        <v>0</v>
      </c>
    </row>
    <row r="9" spans="1:50" ht="15" customHeight="1">
      <c r="A9" s="19"/>
      <c r="B9" s="19"/>
      <c r="C9" s="19"/>
      <c r="D9" s="19"/>
      <c r="E9" s="19" t="s">
        <v>173</v>
      </c>
      <c r="F9" s="19"/>
      <c r="G9" s="19" t="s">
        <v>172</v>
      </c>
      <c r="H9" s="19"/>
      <c r="I9" s="66"/>
      <c r="J9" s="19"/>
      <c r="K9" s="106">
        <f>Inputs!K93</f>
        <v>0</v>
      </c>
      <c r="L9" s="106">
        <f>Inputs!L93</f>
        <v>0</v>
      </c>
      <c r="M9" s="106">
        <f>Inputs!M93</f>
        <v>0</v>
      </c>
      <c r="N9" s="106">
        <f>Inputs!N93</f>
        <v>0</v>
      </c>
      <c r="O9" s="106">
        <f>Inputs!O93</f>
        <v>0</v>
      </c>
      <c r="P9" s="106">
        <f>Inputs!P93</f>
        <v>0</v>
      </c>
      <c r="Q9" s="106">
        <f>Inputs!Q93</f>
        <v>0</v>
      </c>
      <c r="R9" s="106">
        <f>Inputs!R93</f>
        <v>0</v>
      </c>
      <c r="S9" s="106">
        <f>Inputs!S93</f>
        <v>0</v>
      </c>
      <c r="T9" s="106">
        <f>Inputs!T93</f>
        <v>0</v>
      </c>
      <c r="U9" s="106">
        <f>Inputs!U93</f>
        <v>0</v>
      </c>
      <c r="V9" s="106">
        <f>Inputs!V93</f>
        <v>0</v>
      </c>
      <c r="W9" s="106">
        <f>Inputs!W93</f>
        <v>0</v>
      </c>
      <c r="X9" s="106">
        <f>Inputs!X93</f>
        <v>0</v>
      </c>
      <c r="Y9" s="106">
        <f>Inputs!Y93</f>
        <v>0</v>
      </c>
      <c r="Z9" s="106">
        <f>Inputs!Z93</f>
        <v>0</v>
      </c>
      <c r="AA9" s="106">
        <f>Inputs!AA93</f>
        <v>0</v>
      </c>
      <c r="AB9" s="106">
        <f>Inputs!AB93</f>
        <v>0</v>
      </c>
      <c r="AC9" s="106">
        <f>Inputs!AC93</f>
        <v>0</v>
      </c>
      <c r="AD9" s="106">
        <f>Inputs!AD93</f>
        <v>0</v>
      </c>
      <c r="AE9" s="106">
        <f>Inputs!AE93</f>
        <v>0</v>
      </c>
      <c r="AF9" s="106">
        <f>Inputs!AF93</f>
        <v>0</v>
      </c>
      <c r="AG9" s="106">
        <f>Inputs!AG93</f>
        <v>0</v>
      </c>
      <c r="AH9" s="106">
        <f>Inputs!AH93</f>
        <v>0</v>
      </c>
      <c r="AI9" s="106">
        <f>Inputs!AI93</f>
        <v>0</v>
      </c>
      <c r="AJ9" s="106">
        <f>Inputs!AJ93</f>
        <v>0</v>
      </c>
      <c r="AK9" s="106">
        <f>Inputs!AK93</f>
        <v>0</v>
      </c>
      <c r="AL9" s="106">
        <f>Inputs!AL93</f>
        <v>0</v>
      </c>
      <c r="AM9" s="106">
        <f>Inputs!AM93</f>
        <v>0</v>
      </c>
      <c r="AN9" s="106">
        <f>Inputs!AN93</f>
        <v>0</v>
      </c>
      <c r="AO9" s="106">
        <f>Inputs!AO93</f>
        <v>0</v>
      </c>
      <c r="AP9" s="106">
        <f>Inputs!AP93</f>
        <v>0</v>
      </c>
      <c r="AQ9" s="106">
        <f>Inputs!AQ93</f>
        <v>0</v>
      </c>
      <c r="AR9" s="106">
        <f>Inputs!AR93</f>
        <v>0</v>
      </c>
      <c r="AS9" s="106">
        <f>Inputs!AS93</f>
        <v>0</v>
      </c>
      <c r="AT9" s="106">
        <f>Inputs!AT93</f>
        <v>0</v>
      </c>
      <c r="AU9" s="106">
        <f>Inputs!AU93</f>
        <v>0</v>
      </c>
      <c r="AV9" s="106">
        <f>Inputs!AV93</f>
        <v>0</v>
      </c>
      <c r="AW9" s="106">
        <f>Inputs!AW93</f>
        <v>0</v>
      </c>
      <c r="AX9" s="106">
        <f>Inputs!AX93</f>
        <v>0</v>
      </c>
    </row>
    <row r="10" spans="1:50" ht="15" customHeight="1">
      <c r="A10" s="5"/>
      <c r="B10" s="5"/>
      <c r="C10" s="5"/>
      <c r="D10" s="5"/>
      <c r="E10" s="19" t="s">
        <v>174</v>
      </c>
      <c r="F10" s="5"/>
      <c r="G10" s="5" t="s">
        <v>172</v>
      </c>
      <c r="H10" s="5"/>
      <c r="I10" s="26"/>
      <c r="J10" s="6"/>
      <c r="K10" s="106">
        <f>Inputs!K94</f>
        <v>0</v>
      </c>
      <c r="L10" s="106">
        <f>Inputs!L94</f>
        <v>0</v>
      </c>
      <c r="M10" s="106">
        <f>Inputs!M94</f>
        <v>0</v>
      </c>
      <c r="N10" s="106">
        <f>Inputs!N94</f>
        <v>0</v>
      </c>
      <c r="O10" s="106">
        <f>Inputs!O94</f>
        <v>0</v>
      </c>
      <c r="P10" s="106">
        <f>Inputs!P94</f>
        <v>0</v>
      </c>
      <c r="Q10" s="106">
        <f>Inputs!Q94</f>
        <v>0</v>
      </c>
      <c r="R10" s="106">
        <f>Inputs!R94</f>
        <v>0</v>
      </c>
      <c r="S10" s="106">
        <f>Inputs!S94</f>
        <v>0</v>
      </c>
      <c r="T10" s="106">
        <f>Inputs!T94</f>
        <v>0</v>
      </c>
      <c r="U10" s="106">
        <f>Inputs!U94</f>
        <v>0</v>
      </c>
      <c r="V10" s="106">
        <f>Inputs!V94</f>
        <v>0.18904109589041096</v>
      </c>
      <c r="W10" s="106">
        <f>Inputs!W94</f>
        <v>1</v>
      </c>
      <c r="X10" s="106">
        <f>Inputs!X94</f>
        <v>1</v>
      </c>
      <c r="Y10" s="106">
        <f>Inputs!Y94</f>
        <v>1</v>
      </c>
      <c r="Z10" s="106">
        <f>Inputs!Z94</f>
        <v>1</v>
      </c>
      <c r="AA10" s="106">
        <f>Inputs!AA94</f>
        <v>1</v>
      </c>
      <c r="AB10" s="106">
        <f>Inputs!AB94</f>
        <v>1</v>
      </c>
      <c r="AC10" s="106">
        <f>Inputs!AC94</f>
        <v>1</v>
      </c>
      <c r="AD10" s="106">
        <f>Inputs!AD94</f>
        <v>1</v>
      </c>
      <c r="AE10" s="106">
        <f>Inputs!AE94</f>
        <v>1</v>
      </c>
      <c r="AF10" s="106">
        <f>Inputs!AF94</f>
        <v>1</v>
      </c>
      <c r="AG10" s="106">
        <f>Inputs!AG94</f>
        <v>1</v>
      </c>
      <c r="AH10" s="106">
        <f>Inputs!AH94</f>
        <v>1</v>
      </c>
      <c r="AI10" s="106">
        <f>Inputs!AI94</f>
        <v>1</v>
      </c>
      <c r="AJ10" s="106">
        <f>Inputs!AJ94</f>
        <v>1</v>
      </c>
      <c r="AK10" s="106">
        <f>Inputs!AK94</f>
        <v>1</v>
      </c>
      <c r="AL10" s="106">
        <f>Inputs!AL94</f>
        <v>1</v>
      </c>
      <c r="AM10" s="106">
        <f>Inputs!AM94</f>
        <v>1</v>
      </c>
      <c r="AN10" s="106">
        <f>Inputs!AN94</f>
        <v>1</v>
      </c>
      <c r="AO10" s="106">
        <f>Inputs!AO94</f>
        <v>1</v>
      </c>
      <c r="AP10" s="106">
        <f>Inputs!AP94</f>
        <v>1</v>
      </c>
      <c r="AQ10" s="106">
        <f>Inputs!AQ94</f>
        <v>1</v>
      </c>
      <c r="AR10" s="106">
        <f>Inputs!AR94</f>
        <v>1</v>
      </c>
      <c r="AS10" s="106">
        <f>Inputs!AS94</f>
        <v>1</v>
      </c>
      <c r="AT10" s="106">
        <f>Inputs!AT94</f>
        <v>1</v>
      </c>
      <c r="AU10" s="106">
        <f>Inputs!AU94</f>
        <v>0.75342465753424659</v>
      </c>
      <c r="AV10" s="106">
        <f>Inputs!AV94</f>
        <v>0</v>
      </c>
      <c r="AW10" s="106">
        <f>Inputs!AW94</f>
        <v>0</v>
      </c>
      <c r="AX10" s="106">
        <f>Inputs!AX94</f>
        <v>0</v>
      </c>
    </row>
    <row r="11" spans="1:50" ht="15" customHeight="1">
      <c r="A11" s="19"/>
      <c r="B11" s="19"/>
      <c r="C11" s="19"/>
      <c r="D11" s="19"/>
      <c r="E11" s="19" t="s">
        <v>175</v>
      </c>
      <c r="F11" s="19"/>
      <c r="G11" s="19" t="s">
        <v>172</v>
      </c>
      <c r="H11" s="19"/>
      <c r="I11" s="66"/>
      <c r="J11" s="19"/>
      <c r="K11" s="106">
        <f>Inputs!K95</f>
        <v>0</v>
      </c>
      <c r="L11" s="106">
        <f>Inputs!L95</f>
        <v>0</v>
      </c>
      <c r="M11" s="106">
        <f>Inputs!M95</f>
        <v>0</v>
      </c>
      <c r="N11" s="106">
        <f>Inputs!N95</f>
        <v>0</v>
      </c>
      <c r="O11" s="106">
        <f>Inputs!O95</f>
        <v>0</v>
      </c>
      <c r="P11" s="106">
        <f>Inputs!P95</f>
        <v>0</v>
      </c>
      <c r="Q11" s="106">
        <f>Inputs!Q95</f>
        <v>0</v>
      </c>
      <c r="R11" s="106">
        <f>Inputs!R95</f>
        <v>0</v>
      </c>
      <c r="S11" s="106">
        <f>Inputs!S95</f>
        <v>0</v>
      </c>
      <c r="T11" s="106">
        <f>Inputs!T95</f>
        <v>0</v>
      </c>
      <c r="U11" s="106">
        <f>Inputs!U95</f>
        <v>0</v>
      </c>
      <c r="V11" s="106">
        <f>Inputs!V95</f>
        <v>0</v>
      </c>
      <c r="W11" s="106">
        <f>Inputs!W95</f>
        <v>1</v>
      </c>
      <c r="X11" s="106">
        <f>Inputs!X95</f>
        <v>0</v>
      </c>
      <c r="Y11" s="106">
        <f>Inputs!Y95</f>
        <v>0</v>
      </c>
      <c r="Z11" s="106">
        <f>Inputs!Z95</f>
        <v>0</v>
      </c>
      <c r="AA11" s="106">
        <f>Inputs!AA95</f>
        <v>0</v>
      </c>
      <c r="AB11" s="106">
        <f>Inputs!AB95</f>
        <v>0</v>
      </c>
      <c r="AC11" s="106">
        <f>Inputs!AC95</f>
        <v>0</v>
      </c>
      <c r="AD11" s="106">
        <f>Inputs!AD95</f>
        <v>0</v>
      </c>
      <c r="AE11" s="106">
        <f>Inputs!AE95</f>
        <v>0</v>
      </c>
      <c r="AF11" s="106">
        <f>Inputs!AF95</f>
        <v>0</v>
      </c>
      <c r="AG11" s="106">
        <f>Inputs!AG95</f>
        <v>0</v>
      </c>
      <c r="AH11" s="106">
        <f>Inputs!AH95</f>
        <v>0</v>
      </c>
      <c r="AI11" s="106">
        <f>Inputs!AI95</f>
        <v>0</v>
      </c>
      <c r="AJ11" s="106">
        <f>Inputs!AJ95</f>
        <v>0</v>
      </c>
      <c r="AK11" s="106">
        <f>Inputs!AK95</f>
        <v>0</v>
      </c>
      <c r="AL11" s="106">
        <f>Inputs!AL95</f>
        <v>0</v>
      </c>
      <c r="AM11" s="106">
        <f>Inputs!AM95</f>
        <v>0</v>
      </c>
      <c r="AN11" s="106">
        <f>Inputs!AN95</f>
        <v>0</v>
      </c>
      <c r="AO11" s="106">
        <f>Inputs!AO95</f>
        <v>0</v>
      </c>
      <c r="AP11" s="106">
        <f>Inputs!AP95</f>
        <v>0</v>
      </c>
      <c r="AQ11" s="106">
        <f>Inputs!AQ95</f>
        <v>0</v>
      </c>
      <c r="AR11" s="106">
        <f>Inputs!AR95</f>
        <v>0</v>
      </c>
      <c r="AS11" s="106">
        <f>Inputs!AS95</f>
        <v>0</v>
      </c>
      <c r="AT11" s="106">
        <f>Inputs!AT95</f>
        <v>0</v>
      </c>
      <c r="AU11" s="106">
        <f>Inputs!AU95</f>
        <v>0</v>
      </c>
      <c r="AV11" s="106">
        <f>Inputs!AV95</f>
        <v>0</v>
      </c>
      <c r="AW11" s="106">
        <f>Inputs!AW95</f>
        <v>0</v>
      </c>
      <c r="AX11" s="106">
        <f>Inputs!AX95</f>
        <v>0</v>
      </c>
    </row>
    <row r="12" spans="1:50" ht="15" customHeight="1">
      <c r="A12" s="5"/>
      <c r="B12" s="5"/>
      <c r="C12" s="5"/>
      <c r="D12" s="5"/>
      <c r="E12" s="19"/>
      <c r="F12" s="5"/>
      <c r="G12" s="5"/>
      <c r="H12" s="5"/>
      <c r="I12" s="26"/>
      <c r="J12" s="6"/>
      <c r="K12" s="6"/>
      <c r="L12" s="6"/>
      <c r="M12" s="6"/>
      <c r="N12" s="6"/>
      <c r="O12" s="6"/>
      <c r="P12" s="6"/>
      <c r="Q12" s="6"/>
      <c r="R12" s="6"/>
      <c r="S12" s="5"/>
      <c r="T12" s="5"/>
      <c r="U12" s="5"/>
      <c r="V12" s="5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</row>
    <row r="13" spans="1:50" ht="15" customHeight="1">
      <c r="A13" s="5"/>
      <c r="B13" s="126" t="s">
        <v>201</v>
      </c>
      <c r="C13" s="58"/>
      <c r="D13" s="58"/>
      <c r="E13" s="58"/>
      <c r="F13" s="58"/>
      <c r="G13" s="58"/>
      <c r="H13" s="58"/>
      <c r="I13" s="87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</row>
    <row r="14" spans="1:50" ht="15" customHeight="1">
      <c r="A14" s="5"/>
      <c r="B14" s="5"/>
      <c r="C14" s="5"/>
      <c r="D14" s="5"/>
      <c r="E14" s="5"/>
      <c r="F14" s="5"/>
      <c r="G14" s="5"/>
      <c r="H14" s="5"/>
      <c r="I14" s="26"/>
      <c r="J14" s="6"/>
      <c r="K14" s="6"/>
      <c r="L14" s="6"/>
      <c r="M14" s="6"/>
      <c r="N14" s="6"/>
      <c r="O14" s="6"/>
      <c r="P14" s="6"/>
      <c r="Q14" s="6"/>
      <c r="R14" s="6"/>
      <c r="S14" s="5"/>
      <c r="T14" s="5"/>
      <c r="U14" s="5"/>
      <c r="V14" s="5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</row>
    <row r="15" spans="1:50" ht="15" customHeight="1">
      <c r="A15" s="5"/>
      <c r="B15" s="5"/>
      <c r="C15" s="12" t="s">
        <v>202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</row>
    <row r="16" spans="1:50" ht="15" customHeight="1">
      <c r="A16" s="5"/>
      <c r="B16" s="5"/>
      <c r="C16" s="5"/>
      <c r="D16" s="5"/>
      <c r="E16" s="5"/>
      <c r="F16" s="5"/>
      <c r="G16" s="5"/>
      <c r="H16" s="5"/>
      <c r="I16" s="26"/>
      <c r="J16" s="6"/>
      <c r="K16" s="6"/>
      <c r="L16" s="6"/>
      <c r="M16" s="6"/>
      <c r="N16" s="6"/>
      <c r="O16" s="6"/>
      <c r="P16" s="6"/>
      <c r="Q16" s="6"/>
      <c r="R16" s="6"/>
      <c r="S16" s="5"/>
      <c r="T16" s="5"/>
      <c r="U16" s="5"/>
      <c r="V16" s="5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</row>
    <row r="17" spans="1:50" ht="15" customHeight="1">
      <c r="B17" s="5"/>
      <c r="C17" s="5"/>
      <c r="D17" s="53"/>
      <c r="E17" s="6" t="s">
        <v>203</v>
      </c>
      <c r="F17" s="5"/>
      <c r="G17" s="5" t="str">
        <f>Inputs!$I$11</f>
        <v>£m 2024 CPIH prices</v>
      </c>
      <c r="H17" s="5"/>
      <c r="I17" s="26"/>
      <c r="J17" s="6"/>
      <c r="K17" s="114"/>
      <c r="L17" s="184">
        <f t="shared" ref="L17:AX17" si="2">K24</f>
        <v>0</v>
      </c>
      <c r="M17" s="184">
        <f t="shared" si="2"/>
        <v>5.8108510105092645E-2</v>
      </c>
      <c r="N17" s="184">
        <f t="shared" si="2"/>
        <v>0.40427293091627803</v>
      </c>
      <c r="O17" s="184">
        <f t="shared" si="2"/>
        <v>1.3419452527026758</v>
      </c>
      <c r="P17" s="184">
        <f t="shared" si="2"/>
        <v>2.8534207875468689</v>
      </c>
      <c r="Q17" s="184">
        <f t="shared" si="2"/>
        <v>5.3633524076129735</v>
      </c>
      <c r="R17" s="184">
        <f t="shared" si="2"/>
        <v>10.338950376661762</v>
      </c>
      <c r="S17" s="184">
        <f t="shared" si="2"/>
        <v>15.418045574540361</v>
      </c>
      <c r="T17" s="184">
        <f t="shared" si="2"/>
        <v>83.559609652094494</v>
      </c>
      <c r="U17" s="184">
        <f t="shared" si="2"/>
        <v>230.11216438373668</v>
      </c>
      <c r="V17" s="184">
        <f t="shared" si="2"/>
        <v>377.87254483574776</v>
      </c>
      <c r="W17" s="184">
        <f t="shared" si="2"/>
        <v>435.26096027142978</v>
      </c>
      <c r="X17" s="184">
        <f t="shared" si="2"/>
        <v>0</v>
      </c>
      <c r="Y17" s="184">
        <f t="shared" si="2"/>
        <v>0</v>
      </c>
      <c r="Z17" s="184">
        <f t="shared" si="2"/>
        <v>0</v>
      </c>
      <c r="AA17" s="184">
        <f t="shared" si="2"/>
        <v>0</v>
      </c>
      <c r="AB17" s="184">
        <f t="shared" si="2"/>
        <v>0</v>
      </c>
      <c r="AC17" s="184">
        <f t="shared" si="2"/>
        <v>0</v>
      </c>
      <c r="AD17" s="184">
        <f t="shared" si="2"/>
        <v>0</v>
      </c>
      <c r="AE17" s="184">
        <f t="shared" si="2"/>
        <v>0</v>
      </c>
      <c r="AF17" s="184">
        <f t="shared" si="2"/>
        <v>0</v>
      </c>
      <c r="AG17" s="184">
        <f t="shared" si="2"/>
        <v>0</v>
      </c>
      <c r="AH17" s="184">
        <f t="shared" si="2"/>
        <v>0</v>
      </c>
      <c r="AI17" s="184">
        <f t="shared" si="2"/>
        <v>0</v>
      </c>
      <c r="AJ17" s="184">
        <f t="shared" si="2"/>
        <v>0</v>
      </c>
      <c r="AK17" s="184">
        <f t="shared" si="2"/>
        <v>0</v>
      </c>
      <c r="AL17" s="184">
        <f t="shared" si="2"/>
        <v>0</v>
      </c>
      <c r="AM17" s="184">
        <f t="shared" si="2"/>
        <v>0</v>
      </c>
      <c r="AN17" s="184">
        <f t="shared" si="2"/>
        <v>0</v>
      </c>
      <c r="AO17" s="184">
        <f t="shared" si="2"/>
        <v>0</v>
      </c>
      <c r="AP17" s="184">
        <f t="shared" si="2"/>
        <v>0</v>
      </c>
      <c r="AQ17" s="184">
        <f t="shared" si="2"/>
        <v>0</v>
      </c>
      <c r="AR17" s="184">
        <f t="shared" si="2"/>
        <v>0</v>
      </c>
      <c r="AS17" s="184">
        <f t="shared" si="2"/>
        <v>0</v>
      </c>
      <c r="AT17" s="184">
        <f t="shared" si="2"/>
        <v>0</v>
      </c>
      <c r="AU17" s="184">
        <f t="shared" si="2"/>
        <v>0</v>
      </c>
      <c r="AV17" s="184">
        <f t="shared" si="2"/>
        <v>0</v>
      </c>
      <c r="AW17" s="184">
        <f t="shared" si="2"/>
        <v>0</v>
      </c>
      <c r="AX17" s="184">
        <f t="shared" si="2"/>
        <v>0</v>
      </c>
    </row>
    <row r="18" spans="1:50" ht="15" customHeight="1">
      <c r="B18" s="5"/>
      <c r="C18" s="5"/>
      <c r="D18" s="5"/>
      <c r="E18" s="5" t="str">
        <f>Inputs!E34</f>
        <v>Development costs</v>
      </c>
      <c r="F18" s="5"/>
      <c r="G18" s="5" t="str">
        <f>Inputs!$I$11</f>
        <v>£m 2024 CPIH prices</v>
      </c>
      <c r="H18" s="5"/>
      <c r="I18" s="26"/>
      <c r="J18" s="6"/>
      <c r="K18" s="185">
        <f>Inputs!K34</f>
        <v>0</v>
      </c>
      <c r="L18" s="185">
        <f>Inputs!L34</f>
        <v>5.6625193610665814E-2</v>
      </c>
      <c r="M18" s="185">
        <f>Inputs!M34</f>
        <v>0.33428156205101345</v>
      </c>
      <c r="N18" s="185">
        <f>Inputs!N34</f>
        <v>0.8925419924920055</v>
      </c>
      <c r="O18" s="185">
        <f>Inputs!O34</f>
        <v>1.4025388898533699</v>
      </c>
      <c r="P18" s="185">
        <f>Inputs!P34</f>
        <v>2.2962660985421408</v>
      </c>
      <c r="Q18" s="185">
        <f>Inputs!Q34</f>
        <v>4.5674048624172281</v>
      </c>
      <c r="R18" s="185">
        <f>Inputs!R34</f>
        <v>2.5610342050634833</v>
      </c>
      <c r="S18" s="185">
        <f>Inputs!S34</f>
        <v>0</v>
      </c>
      <c r="T18" s="185">
        <f>Inputs!T34</f>
        <v>0</v>
      </c>
      <c r="U18" s="185">
        <f>Inputs!U34</f>
        <v>0</v>
      </c>
      <c r="V18" s="185">
        <f>Inputs!V34</f>
        <v>0</v>
      </c>
      <c r="W18" s="185">
        <f>Inputs!W34</f>
        <v>0</v>
      </c>
      <c r="X18" s="185">
        <f>Inputs!X34</f>
        <v>0</v>
      </c>
      <c r="Y18" s="185">
        <f>Inputs!Y34</f>
        <v>0</v>
      </c>
      <c r="Z18" s="185">
        <f>Inputs!Z34</f>
        <v>0</v>
      </c>
      <c r="AA18" s="185">
        <f>Inputs!AA34</f>
        <v>0</v>
      </c>
      <c r="AB18" s="185">
        <f>Inputs!AB34</f>
        <v>0</v>
      </c>
      <c r="AC18" s="185">
        <f>Inputs!AC34</f>
        <v>0</v>
      </c>
      <c r="AD18" s="185">
        <f>Inputs!AD34</f>
        <v>0</v>
      </c>
      <c r="AE18" s="185">
        <f>Inputs!AE34</f>
        <v>0</v>
      </c>
      <c r="AF18" s="185">
        <f>Inputs!AF34</f>
        <v>0</v>
      </c>
      <c r="AG18" s="185">
        <f>Inputs!AG34</f>
        <v>0</v>
      </c>
      <c r="AH18" s="185">
        <f>Inputs!AH34</f>
        <v>0</v>
      </c>
      <c r="AI18" s="185">
        <f>Inputs!AI34</f>
        <v>0</v>
      </c>
      <c r="AJ18" s="185">
        <f>Inputs!AJ34</f>
        <v>0</v>
      </c>
      <c r="AK18" s="185">
        <f>Inputs!AK34</f>
        <v>0</v>
      </c>
      <c r="AL18" s="185">
        <f>Inputs!AL34</f>
        <v>0</v>
      </c>
      <c r="AM18" s="185">
        <f>Inputs!AM34</f>
        <v>0</v>
      </c>
      <c r="AN18" s="185">
        <f>Inputs!AN34</f>
        <v>0</v>
      </c>
      <c r="AO18" s="185">
        <f>Inputs!AO34</f>
        <v>0</v>
      </c>
      <c r="AP18" s="185">
        <f>Inputs!AP34</f>
        <v>0</v>
      </c>
      <c r="AQ18" s="185">
        <f>Inputs!AQ34</f>
        <v>0</v>
      </c>
      <c r="AR18" s="185">
        <f>Inputs!AR34</f>
        <v>0</v>
      </c>
      <c r="AS18" s="185">
        <f>Inputs!AS34</f>
        <v>0</v>
      </c>
      <c r="AT18" s="185">
        <f>Inputs!AT34</f>
        <v>0</v>
      </c>
      <c r="AU18" s="185">
        <f>Inputs!AU34</f>
        <v>0</v>
      </c>
      <c r="AV18" s="185">
        <f>Inputs!AV34</f>
        <v>0</v>
      </c>
      <c r="AW18" s="185">
        <f>Inputs!AW34</f>
        <v>0</v>
      </c>
      <c r="AX18" s="185">
        <f>Inputs!AX34</f>
        <v>0</v>
      </c>
    </row>
    <row r="19" spans="1:50" ht="15" customHeight="1">
      <c r="B19" s="5"/>
      <c r="C19" s="5"/>
      <c r="D19" s="5"/>
      <c r="E19" s="5" t="str">
        <f>Inputs!E35</f>
        <v>Capex</v>
      </c>
      <c r="F19" s="5"/>
      <c r="G19" s="5" t="str">
        <f>Inputs!$I$11</f>
        <v>£m 2024 CPIH prices</v>
      </c>
      <c r="H19" s="5"/>
      <c r="I19" s="26"/>
      <c r="J19" s="6"/>
      <c r="K19" s="185">
        <f>Inputs!K35</f>
        <v>0</v>
      </c>
      <c r="L19" s="185">
        <f>Inputs!L35</f>
        <v>0</v>
      </c>
      <c r="M19" s="185">
        <f>Inputs!M35</f>
        <v>0</v>
      </c>
      <c r="N19" s="185">
        <f>Inputs!N35</f>
        <v>0</v>
      </c>
      <c r="O19" s="185">
        <f>Inputs!O35</f>
        <v>0</v>
      </c>
      <c r="P19" s="185">
        <f>Inputs!P35</f>
        <v>0</v>
      </c>
      <c r="Q19" s="185">
        <f>Inputs!Q35</f>
        <v>0</v>
      </c>
      <c r="R19" s="185">
        <f>Inputs!R35</f>
        <v>1.8463719371580161</v>
      </c>
      <c r="S19" s="185">
        <f>Inputs!S35</f>
        <v>65.367490044601396</v>
      </c>
      <c r="T19" s="185">
        <f>Inputs!T35</f>
        <v>137.63269637266183</v>
      </c>
      <c r="U19" s="185">
        <f>Inputs!U35</f>
        <v>129.23181587036925</v>
      </c>
      <c r="V19" s="185">
        <f>Inputs!V35</f>
        <v>39.637582199715787</v>
      </c>
      <c r="W19" s="185">
        <f>Inputs!W35</f>
        <v>12.567999123567846</v>
      </c>
      <c r="X19" s="185">
        <f>Inputs!X35</f>
        <v>0</v>
      </c>
      <c r="Y19" s="185">
        <f>Inputs!Y35</f>
        <v>0</v>
      </c>
      <c r="Z19" s="185">
        <f>Inputs!Z35</f>
        <v>0</v>
      </c>
      <c r="AA19" s="185">
        <f>Inputs!AA35</f>
        <v>0</v>
      </c>
      <c r="AB19" s="185">
        <f>Inputs!AB35</f>
        <v>0</v>
      </c>
      <c r="AC19" s="185">
        <f>Inputs!AC35</f>
        <v>0</v>
      </c>
      <c r="AD19" s="185">
        <f>Inputs!AD35</f>
        <v>0</v>
      </c>
      <c r="AE19" s="185">
        <f>Inputs!AE35</f>
        <v>0</v>
      </c>
      <c r="AF19" s="185">
        <f>Inputs!AF35</f>
        <v>0</v>
      </c>
      <c r="AG19" s="185">
        <f>Inputs!AG35</f>
        <v>0</v>
      </c>
      <c r="AH19" s="185">
        <f>Inputs!AH35</f>
        <v>0</v>
      </c>
      <c r="AI19" s="185">
        <f>Inputs!AI35</f>
        <v>0</v>
      </c>
      <c r="AJ19" s="185">
        <f>Inputs!AJ35</f>
        <v>0</v>
      </c>
      <c r="AK19" s="185">
        <f>Inputs!AK35</f>
        <v>0</v>
      </c>
      <c r="AL19" s="185">
        <f>Inputs!AL35</f>
        <v>0</v>
      </c>
      <c r="AM19" s="185">
        <f>Inputs!AM35</f>
        <v>0</v>
      </c>
      <c r="AN19" s="185">
        <f>Inputs!AN35</f>
        <v>0</v>
      </c>
      <c r="AO19" s="185">
        <f>Inputs!AO35</f>
        <v>0</v>
      </c>
      <c r="AP19" s="185">
        <f>Inputs!AP35</f>
        <v>0</v>
      </c>
      <c r="AQ19" s="185">
        <f>Inputs!AQ35</f>
        <v>0</v>
      </c>
      <c r="AR19" s="185">
        <f>Inputs!AR35</f>
        <v>0</v>
      </c>
      <c r="AS19" s="185">
        <f>Inputs!AS35</f>
        <v>0</v>
      </c>
      <c r="AT19" s="185">
        <f>Inputs!AT35</f>
        <v>0</v>
      </c>
      <c r="AU19" s="185">
        <f>Inputs!AU35</f>
        <v>0</v>
      </c>
      <c r="AV19" s="185">
        <f>Inputs!AV35</f>
        <v>0</v>
      </c>
      <c r="AW19" s="185">
        <f>Inputs!AW35</f>
        <v>0</v>
      </c>
      <c r="AX19" s="185">
        <f>Inputs!AX35</f>
        <v>0</v>
      </c>
    </row>
    <row r="20" spans="1:50" ht="15" customHeight="1">
      <c r="B20" s="5"/>
      <c r="C20" s="5"/>
      <c r="D20" s="5"/>
      <c r="E20" s="5" t="str">
        <f>Inputs!E36</f>
        <v>Spares</v>
      </c>
      <c r="F20" s="5"/>
      <c r="G20" s="5" t="str">
        <f>Inputs!$I$11</f>
        <v>£m 2024 CPIH prices</v>
      </c>
      <c r="H20" s="5"/>
      <c r="I20" s="26"/>
      <c r="J20" s="6"/>
      <c r="K20" s="185">
        <f>Inputs!K36</f>
        <v>0</v>
      </c>
      <c r="L20" s="185">
        <f>Inputs!L36</f>
        <v>0</v>
      </c>
      <c r="M20" s="185">
        <f>Inputs!M36</f>
        <v>0</v>
      </c>
      <c r="N20" s="185">
        <f>Inputs!N36</f>
        <v>0</v>
      </c>
      <c r="O20" s="185">
        <f>Inputs!O36</f>
        <v>0</v>
      </c>
      <c r="P20" s="185">
        <f>Inputs!P36</f>
        <v>0</v>
      </c>
      <c r="Q20" s="185">
        <f>Inputs!Q36</f>
        <v>0</v>
      </c>
      <c r="R20" s="185">
        <f>Inputs!R36</f>
        <v>0</v>
      </c>
      <c r="S20" s="185">
        <f>Inputs!S36</f>
        <v>0.22633041033661055</v>
      </c>
      <c r="T20" s="185">
        <f>Inputs!T36</f>
        <v>0.79810863432240509</v>
      </c>
      <c r="U20" s="185">
        <f>Inputs!U36</f>
        <v>2.6927213433199659</v>
      </c>
      <c r="V20" s="185">
        <f>Inputs!V36</f>
        <v>0.4981382657846079</v>
      </c>
      <c r="W20" s="185">
        <f>Inputs!W36</f>
        <v>1.5506811792545097</v>
      </c>
      <c r="X20" s="185">
        <f>Inputs!X36</f>
        <v>0</v>
      </c>
      <c r="Y20" s="185">
        <f>Inputs!Y36</f>
        <v>0</v>
      </c>
      <c r="Z20" s="185">
        <f>Inputs!Z36</f>
        <v>0</v>
      </c>
      <c r="AA20" s="185">
        <f>Inputs!AA36</f>
        <v>0</v>
      </c>
      <c r="AB20" s="185">
        <f>Inputs!AB36</f>
        <v>0</v>
      </c>
      <c r="AC20" s="185">
        <f>Inputs!AC36</f>
        <v>0</v>
      </c>
      <c r="AD20" s="185">
        <f>Inputs!AD36</f>
        <v>0</v>
      </c>
      <c r="AE20" s="185">
        <f>Inputs!AE36</f>
        <v>0</v>
      </c>
      <c r="AF20" s="185">
        <f>Inputs!AF36</f>
        <v>0</v>
      </c>
      <c r="AG20" s="185">
        <f>Inputs!AG36</f>
        <v>0</v>
      </c>
      <c r="AH20" s="185">
        <f>Inputs!AH36</f>
        <v>0</v>
      </c>
      <c r="AI20" s="185">
        <f>Inputs!AI36</f>
        <v>0</v>
      </c>
      <c r="AJ20" s="185">
        <f>Inputs!AJ36</f>
        <v>0</v>
      </c>
      <c r="AK20" s="185">
        <f>Inputs!AK36</f>
        <v>0</v>
      </c>
      <c r="AL20" s="185">
        <f>Inputs!AL36</f>
        <v>0</v>
      </c>
      <c r="AM20" s="185">
        <f>Inputs!AM36</f>
        <v>0</v>
      </c>
      <c r="AN20" s="185">
        <f>Inputs!AN36</f>
        <v>0</v>
      </c>
      <c r="AO20" s="185">
        <f>Inputs!AO36</f>
        <v>0</v>
      </c>
      <c r="AP20" s="185">
        <f>Inputs!AP36</f>
        <v>0</v>
      </c>
      <c r="AQ20" s="185">
        <f>Inputs!AQ36</f>
        <v>0</v>
      </c>
      <c r="AR20" s="185">
        <f>Inputs!AR36</f>
        <v>0</v>
      </c>
      <c r="AS20" s="185">
        <f>Inputs!AS36</f>
        <v>0</v>
      </c>
      <c r="AT20" s="185">
        <f>Inputs!AT36</f>
        <v>0</v>
      </c>
      <c r="AU20" s="185">
        <f>Inputs!AU36</f>
        <v>0</v>
      </c>
      <c r="AV20" s="185">
        <f>Inputs!AV36</f>
        <v>0</v>
      </c>
      <c r="AW20" s="185">
        <f>Inputs!AW36</f>
        <v>0</v>
      </c>
      <c r="AX20" s="185">
        <f>Inputs!AX36</f>
        <v>0</v>
      </c>
    </row>
    <row r="21" spans="1:50" ht="15" customHeight="1">
      <c r="B21" s="5"/>
      <c r="C21" s="5"/>
      <c r="D21" s="5"/>
      <c r="E21" s="5" t="str">
        <f>Finance!E24</f>
        <v>Capitalised interest during construction</v>
      </c>
      <c r="F21" s="5"/>
      <c r="G21" s="5" t="str">
        <f>Inputs!$I$11</f>
        <v>£m 2024 CPIH prices</v>
      </c>
      <c r="H21" s="5"/>
      <c r="I21" s="26"/>
      <c r="J21" s="6"/>
      <c r="K21" s="185">
        <f>Finance!K24</f>
        <v>0</v>
      </c>
      <c r="L21" s="185">
        <f>Finance!L24</f>
        <v>1.4833164944268308E-3</v>
      </c>
      <c r="M21" s="185">
        <f>Finance!M24</f>
        <v>1.1882858760171928E-2</v>
      </c>
      <c r="N21" s="185">
        <f>Finance!N24</f>
        <v>4.5130329294392271E-2</v>
      </c>
      <c r="O21" s="185">
        <f>Finance!O24</f>
        <v>0.10893664499082299</v>
      </c>
      <c r="P21" s="185">
        <f>Finance!P24</f>
        <v>0.21366552152396437</v>
      </c>
      <c r="Q21" s="185">
        <f>Finance!Q24</f>
        <v>0.40819310663155867</v>
      </c>
      <c r="R21" s="185">
        <f>Finance!R24</f>
        <v>0.67168905565709847</v>
      </c>
      <c r="S21" s="185">
        <f>Finance!S24</f>
        <v>2.5477436226161201</v>
      </c>
      <c r="T21" s="185">
        <f>Finance!T24</f>
        <v>8.1217497246579757</v>
      </c>
      <c r="U21" s="185">
        <f>Finance!U24</f>
        <v>15.835843238321868</v>
      </c>
      <c r="V21" s="185">
        <f>Finance!V24</f>
        <v>17.252694970181626</v>
      </c>
      <c r="W21" s="185">
        <f>Finance!W24</f>
        <v>0</v>
      </c>
      <c r="X21" s="185">
        <f>Finance!X24</f>
        <v>0</v>
      </c>
      <c r="Y21" s="185">
        <f>Finance!Y24</f>
        <v>0</v>
      </c>
      <c r="Z21" s="185">
        <f>Finance!Z24</f>
        <v>0</v>
      </c>
      <c r="AA21" s="185">
        <f>Finance!AA24</f>
        <v>0</v>
      </c>
      <c r="AB21" s="185">
        <f>Finance!AB24</f>
        <v>0</v>
      </c>
      <c r="AC21" s="185">
        <f>Finance!AC24</f>
        <v>0</v>
      </c>
      <c r="AD21" s="185">
        <f>Finance!AD24</f>
        <v>0</v>
      </c>
      <c r="AE21" s="185">
        <f>Finance!AE24</f>
        <v>0</v>
      </c>
      <c r="AF21" s="185">
        <f>Finance!AF24</f>
        <v>0</v>
      </c>
      <c r="AG21" s="185">
        <f>Finance!AG24</f>
        <v>0</v>
      </c>
      <c r="AH21" s="185">
        <f>Finance!AH24</f>
        <v>0</v>
      </c>
      <c r="AI21" s="185">
        <f>Finance!AI24</f>
        <v>0</v>
      </c>
      <c r="AJ21" s="185">
        <f>Finance!AJ24</f>
        <v>0</v>
      </c>
      <c r="AK21" s="185">
        <f>Finance!AK24</f>
        <v>0</v>
      </c>
      <c r="AL21" s="185">
        <f>Finance!AL24</f>
        <v>0</v>
      </c>
      <c r="AM21" s="185">
        <f>Finance!AM24</f>
        <v>0</v>
      </c>
      <c r="AN21" s="185">
        <f>Finance!AN24</f>
        <v>0</v>
      </c>
      <c r="AO21" s="185">
        <f>Finance!AO24</f>
        <v>0</v>
      </c>
      <c r="AP21" s="185">
        <f>Finance!AP24</f>
        <v>0</v>
      </c>
      <c r="AQ21" s="185">
        <f>Finance!AQ24</f>
        <v>0</v>
      </c>
      <c r="AR21" s="185">
        <f>Finance!AR24</f>
        <v>0</v>
      </c>
      <c r="AS21" s="185">
        <f>Finance!AS24</f>
        <v>0</v>
      </c>
      <c r="AT21" s="185">
        <f>Finance!AT24</f>
        <v>0</v>
      </c>
      <c r="AU21" s="185">
        <f>Finance!AU24</f>
        <v>0</v>
      </c>
      <c r="AV21" s="185">
        <f>Finance!AV24</f>
        <v>0</v>
      </c>
      <c r="AW21" s="185">
        <f>Finance!AW24</f>
        <v>0</v>
      </c>
      <c r="AX21" s="185">
        <f>Finance!AX24</f>
        <v>0</v>
      </c>
    </row>
    <row r="22" spans="1:50" ht="15" customHeight="1">
      <c r="B22" s="5"/>
      <c r="C22" s="5"/>
      <c r="D22" s="5"/>
      <c r="E22" s="6" t="s">
        <v>204</v>
      </c>
      <c r="F22" s="5"/>
      <c r="G22" s="5" t="str">
        <f>Inputs!$I$11</f>
        <v>£m 2024 CPIH prices</v>
      </c>
      <c r="H22" s="5"/>
      <c r="I22" s="26"/>
      <c r="J22" s="6"/>
      <c r="K22" s="62">
        <f t="shared" ref="K22:AX22" si="3">SUM(K17:K21)</f>
        <v>0</v>
      </c>
      <c r="L22" s="62">
        <f t="shared" si="3"/>
        <v>5.8108510105092645E-2</v>
      </c>
      <c r="M22" s="62">
        <f t="shared" si="3"/>
        <v>0.40427293091627803</v>
      </c>
      <c r="N22" s="62">
        <f t="shared" si="3"/>
        <v>1.3419452527026758</v>
      </c>
      <c r="O22" s="62">
        <f t="shared" si="3"/>
        <v>2.8534207875468689</v>
      </c>
      <c r="P22" s="62">
        <f t="shared" si="3"/>
        <v>5.3633524076129735</v>
      </c>
      <c r="Q22" s="62">
        <f t="shared" si="3"/>
        <v>10.338950376661762</v>
      </c>
      <c r="R22" s="62">
        <f t="shared" si="3"/>
        <v>15.418045574540361</v>
      </c>
      <c r="S22" s="62">
        <f t="shared" si="3"/>
        <v>83.559609652094494</v>
      </c>
      <c r="T22" s="62">
        <f t="shared" si="3"/>
        <v>230.11216438373668</v>
      </c>
      <c r="U22" s="62">
        <f t="shared" si="3"/>
        <v>377.87254483574776</v>
      </c>
      <c r="V22" s="62">
        <f t="shared" si="3"/>
        <v>435.26096027142978</v>
      </c>
      <c r="W22" s="62">
        <f t="shared" si="3"/>
        <v>449.37964057425216</v>
      </c>
      <c r="X22" s="62">
        <f t="shared" si="3"/>
        <v>0</v>
      </c>
      <c r="Y22" s="62">
        <f t="shared" si="3"/>
        <v>0</v>
      </c>
      <c r="Z22" s="62">
        <f t="shared" si="3"/>
        <v>0</v>
      </c>
      <c r="AA22" s="62">
        <f t="shared" si="3"/>
        <v>0</v>
      </c>
      <c r="AB22" s="62">
        <f t="shared" si="3"/>
        <v>0</v>
      </c>
      <c r="AC22" s="62">
        <f t="shared" si="3"/>
        <v>0</v>
      </c>
      <c r="AD22" s="62">
        <f t="shared" si="3"/>
        <v>0</v>
      </c>
      <c r="AE22" s="62">
        <f t="shared" si="3"/>
        <v>0</v>
      </c>
      <c r="AF22" s="62">
        <f t="shared" si="3"/>
        <v>0</v>
      </c>
      <c r="AG22" s="62">
        <f t="shared" si="3"/>
        <v>0</v>
      </c>
      <c r="AH22" s="62">
        <f t="shared" si="3"/>
        <v>0</v>
      </c>
      <c r="AI22" s="62">
        <f t="shared" si="3"/>
        <v>0</v>
      </c>
      <c r="AJ22" s="62">
        <f t="shared" si="3"/>
        <v>0</v>
      </c>
      <c r="AK22" s="62">
        <f t="shared" si="3"/>
        <v>0</v>
      </c>
      <c r="AL22" s="62">
        <f t="shared" si="3"/>
        <v>0</v>
      </c>
      <c r="AM22" s="62">
        <f t="shared" si="3"/>
        <v>0</v>
      </c>
      <c r="AN22" s="62">
        <f t="shared" si="3"/>
        <v>0</v>
      </c>
      <c r="AO22" s="62">
        <f t="shared" si="3"/>
        <v>0</v>
      </c>
      <c r="AP22" s="62">
        <f t="shared" si="3"/>
        <v>0</v>
      </c>
      <c r="AQ22" s="62">
        <f t="shared" si="3"/>
        <v>0</v>
      </c>
      <c r="AR22" s="62">
        <f t="shared" si="3"/>
        <v>0</v>
      </c>
      <c r="AS22" s="62">
        <f t="shared" si="3"/>
        <v>0</v>
      </c>
      <c r="AT22" s="62">
        <f t="shared" si="3"/>
        <v>0</v>
      </c>
      <c r="AU22" s="62">
        <f t="shared" si="3"/>
        <v>0</v>
      </c>
      <c r="AV22" s="62">
        <f t="shared" si="3"/>
        <v>0</v>
      </c>
      <c r="AW22" s="62">
        <f t="shared" si="3"/>
        <v>0</v>
      </c>
      <c r="AX22" s="62">
        <f t="shared" si="3"/>
        <v>0</v>
      </c>
    </row>
    <row r="23" spans="1:50" ht="15" customHeight="1">
      <c r="B23" s="5"/>
      <c r="C23" s="5"/>
      <c r="D23" s="5"/>
      <c r="E23" s="6" t="s">
        <v>205</v>
      </c>
      <c r="F23" s="5"/>
      <c r="G23" s="5" t="str">
        <f>Inputs!$I$11</f>
        <v>£m 2024 CPIH prices</v>
      </c>
      <c r="H23" s="5"/>
      <c r="I23" s="26"/>
      <c r="J23" s="6"/>
      <c r="K23" s="45">
        <f t="shared" ref="K23:AX23" si="4">-K22*K11</f>
        <v>0</v>
      </c>
      <c r="L23" s="45">
        <f t="shared" si="4"/>
        <v>0</v>
      </c>
      <c r="M23" s="45">
        <f t="shared" si="4"/>
        <v>0</v>
      </c>
      <c r="N23" s="45">
        <f t="shared" si="4"/>
        <v>0</v>
      </c>
      <c r="O23" s="45">
        <f t="shared" si="4"/>
        <v>0</v>
      </c>
      <c r="P23" s="45">
        <f t="shared" si="4"/>
        <v>0</v>
      </c>
      <c r="Q23" s="45">
        <f t="shared" si="4"/>
        <v>0</v>
      </c>
      <c r="R23" s="45">
        <f t="shared" si="4"/>
        <v>0</v>
      </c>
      <c r="S23" s="45">
        <f t="shared" si="4"/>
        <v>0</v>
      </c>
      <c r="T23" s="45">
        <f t="shared" si="4"/>
        <v>0</v>
      </c>
      <c r="U23" s="45">
        <f t="shared" si="4"/>
        <v>0</v>
      </c>
      <c r="V23" s="45">
        <f t="shared" si="4"/>
        <v>0</v>
      </c>
      <c r="W23" s="45">
        <f t="shared" si="4"/>
        <v>-449.37964057425216</v>
      </c>
      <c r="X23" s="45">
        <f t="shared" si="4"/>
        <v>0</v>
      </c>
      <c r="Y23" s="45">
        <f t="shared" si="4"/>
        <v>0</v>
      </c>
      <c r="Z23" s="45">
        <f t="shared" si="4"/>
        <v>0</v>
      </c>
      <c r="AA23" s="45">
        <f t="shared" si="4"/>
        <v>0</v>
      </c>
      <c r="AB23" s="45">
        <f t="shared" si="4"/>
        <v>0</v>
      </c>
      <c r="AC23" s="45">
        <f t="shared" si="4"/>
        <v>0</v>
      </c>
      <c r="AD23" s="45">
        <f t="shared" si="4"/>
        <v>0</v>
      </c>
      <c r="AE23" s="45">
        <f t="shared" si="4"/>
        <v>0</v>
      </c>
      <c r="AF23" s="45">
        <f t="shared" si="4"/>
        <v>0</v>
      </c>
      <c r="AG23" s="45">
        <f t="shared" si="4"/>
        <v>0</v>
      </c>
      <c r="AH23" s="45">
        <f t="shared" si="4"/>
        <v>0</v>
      </c>
      <c r="AI23" s="45">
        <f t="shared" si="4"/>
        <v>0</v>
      </c>
      <c r="AJ23" s="45">
        <f t="shared" si="4"/>
        <v>0</v>
      </c>
      <c r="AK23" s="45">
        <f t="shared" si="4"/>
        <v>0</v>
      </c>
      <c r="AL23" s="45">
        <f t="shared" si="4"/>
        <v>0</v>
      </c>
      <c r="AM23" s="45">
        <f t="shared" si="4"/>
        <v>0</v>
      </c>
      <c r="AN23" s="45">
        <f t="shared" si="4"/>
        <v>0</v>
      </c>
      <c r="AO23" s="45">
        <f t="shared" si="4"/>
        <v>0</v>
      </c>
      <c r="AP23" s="45">
        <f t="shared" si="4"/>
        <v>0</v>
      </c>
      <c r="AQ23" s="45">
        <f t="shared" si="4"/>
        <v>0</v>
      </c>
      <c r="AR23" s="45">
        <f t="shared" si="4"/>
        <v>0</v>
      </c>
      <c r="AS23" s="45">
        <f t="shared" si="4"/>
        <v>0</v>
      </c>
      <c r="AT23" s="45">
        <f t="shared" si="4"/>
        <v>0</v>
      </c>
      <c r="AU23" s="45">
        <f t="shared" si="4"/>
        <v>0</v>
      </c>
      <c r="AV23" s="45">
        <f t="shared" si="4"/>
        <v>0</v>
      </c>
      <c r="AW23" s="45">
        <f t="shared" si="4"/>
        <v>0</v>
      </c>
      <c r="AX23" s="45">
        <f t="shared" si="4"/>
        <v>0</v>
      </c>
    </row>
    <row r="24" spans="1:50" ht="26" customHeight="1">
      <c r="B24" s="5"/>
      <c r="C24" s="5"/>
      <c r="D24" s="5"/>
      <c r="E24" s="107" t="s">
        <v>206</v>
      </c>
      <c r="F24" s="5"/>
      <c r="G24" s="5" t="str">
        <f>Inputs!$I$11</f>
        <v>£m 2024 CPIH prices</v>
      </c>
      <c r="H24" s="5"/>
      <c r="I24" s="26"/>
      <c r="J24" s="6"/>
      <c r="K24" s="62">
        <f t="shared" ref="K24:AX24" si="5">SUM(K22:K23)</f>
        <v>0</v>
      </c>
      <c r="L24" s="62">
        <f t="shared" si="5"/>
        <v>5.8108510105092645E-2</v>
      </c>
      <c r="M24" s="62">
        <f t="shared" si="5"/>
        <v>0.40427293091627803</v>
      </c>
      <c r="N24" s="62">
        <f t="shared" si="5"/>
        <v>1.3419452527026758</v>
      </c>
      <c r="O24" s="62">
        <f t="shared" si="5"/>
        <v>2.8534207875468689</v>
      </c>
      <c r="P24" s="62">
        <f t="shared" si="5"/>
        <v>5.3633524076129735</v>
      </c>
      <c r="Q24" s="62">
        <f t="shared" si="5"/>
        <v>10.338950376661762</v>
      </c>
      <c r="R24" s="62">
        <f t="shared" si="5"/>
        <v>15.418045574540361</v>
      </c>
      <c r="S24" s="62">
        <f t="shared" si="5"/>
        <v>83.559609652094494</v>
      </c>
      <c r="T24" s="62">
        <f t="shared" si="5"/>
        <v>230.11216438373668</v>
      </c>
      <c r="U24" s="62">
        <f t="shared" si="5"/>
        <v>377.87254483574776</v>
      </c>
      <c r="V24" s="62">
        <f t="shared" si="5"/>
        <v>435.26096027142978</v>
      </c>
      <c r="W24" s="62">
        <f t="shared" si="5"/>
        <v>0</v>
      </c>
      <c r="X24" s="62">
        <f t="shared" si="5"/>
        <v>0</v>
      </c>
      <c r="Y24" s="62">
        <f t="shared" si="5"/>
        <v>0</v>
      </c>
      <c r="Z24" s="62">
        <f t="shared" si="5"/>
        <v>0</v>
      </c>
      <c r="AA24" s="62">
        <f t="shared" si="5"/>
        <v>0</v>
      </c>
      <c r="AB24" s="62">
        <f t="shared" si="5"/>
        <v>0</v>
      </c>
      <c r="AC24" s="62">
        <f t="shared" si="5"/>
        <v>0</v>
      </c>
      <c r="AD24" s="62">
        <f t="shared" si="5"/>
        <v>0</v>
      </c>
      <c r="AE24" s="62">
        <f t="shared" si="5"/>
        <v>0</v>
      </c>
      <c r="AF24" s="62">
        <f t="shared" si="5"/>
        <v>0</v>
      </c>
      <c r="AG24" s="62">
        <f t="shared" si="5"/>
        <v>0</v>
      </c>
      <c r="AH24" s="62">
        <f t="shared" si="5"/>
        <v>0</v>
      </c>
      <c r="AI24" s="62">
        <f t="shared" si="5"/>
        <v>0</v>
      </c>
      <c r="AJ24" s="62">
        <f t="shared" si="5"/>
        <v>0</v>
      </c>
      <c r="AK24" s="62">
        <f t="shared" si="5"/>
        <v>0</v>
      </c>
      <c r="AL24" s="62">
        <f t="shared" si="5"/>
        <v>0</v>
      </c>
      <c r="AM24" s="62">
        <f t="shared" si="5"/>
        <v>0</v>
      </c>
      <c r="AN24" s="62">
        <f t="shared" si="5"/>
        <v>0</v>
      </c>
      <c r="AO24" s="62">
        <f t="shared" si="5"/>
        <v>0</v>
      </c>
      <c r="AP24" s="62">
        <f t="shared" si="5"/>
        <v>0</v>
      </c>
      <c r="AQ24" s="62">
        <f t="shared" si="5"/>
        <v>0</v>
      </c>
      <c r="AR24" s="62">
        <f t="shared" si="5"/>
        <v>0</v>
      </c>
      <c r="AS24" s="62">
        <f t="shared" si="5"/>
        <v>0</v>
      </c>
      <c r="AT24" s="62">
        <f t="shared" si="5"/>
        <v>0</v>
      </c>
      <c r="AU24" s="62">
        <f t="shared" si="5"/>
        <v>0</v>
      </c>
      <c r="AV24" s="62">
        <f t="shared" si="5"/>
        <v>0</v>
      </c>
      <c r="AW24" s="62">
        <f t="shared" si="5"/>
        <v>0</v>
      </c>
      <c r="AX24" s="62">
        <f t="shared" si="5"/>
        <v>0</v>
      </c>
    </row>
    <row r="25" spans="1:50" ht="15" customHeight="1">
      <c r="A25" s="5"/>
      <c r="B25" s="5"/>
      <c r="C25" s="5"/>
      <c r="D25" s="5"/>
      <c r="E25" s="5"/>
      <c r="F25" s="5"/>
      <c r="G25" s="5"/>
      <c r="H25" s="5"/>
      <c r="I25" s="26"/>
      <c r="J25" s="6"/>
      <c r="K25" s="6"/>
      <c r="L25" s="6"/>
      <c r="M25" s="6"/>
      <c r="N25" s="6"/>
      <c r="O25" s="6"/>
      <c r="P25" s="6"/>
      <c r="Q25" s="6"/>
      <c r="R25" s="6"/>
      <c r="S25" s="5"/>
      <c r="T25" s="5"/>
      <c r="U25" s="5"/>
      <c r="V25" s="5"/>
      <c r="W25" s="5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</row>
    <row r="26" spans="1:50" ht="15" customHeight="1">
      <c r="A26" s="5"/>
      <c r="B26" s="126" t="s">
        <v>45</v>
      </c>
      <c r="C26" s="58"/>
      <c r="D26" s="58"/>
      <c r="E26" s="58"/>
      <c r="F26" s="58"/>
      <c r="G26" s="58"/>
      <c r="H26" s="58"/>
      <c r="I26" s="87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</row>
    <row r="27" spans="1:50" ht="15" customHeight="1">
      <c r="K27" s="42"/>
    </row>
  </sheetData>
  <pageMargins left="0.23622047244094491" right="0.23622047244094491" top="0.74803149606299213" bottom="0.74803149606299213" header="0.31496062992125978" footer="0.31496062992125978"/>
  <pageSetup paperSize="8" scale="43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7" tint="0.59999389629810485"/>
    <pageSetUpPr fitToPage="1"/>
  </sheetPr>
  <dimension ref="A1:AY49"/>
  <sheetViews>
    <sheetView zoomScaleNormal="100" workbookViewId="0">
      <pane xSplit="10" ySplit="4" topLeftCell="K5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baseColWidth="10" defaultColWidth="0" defaultRowHeight="15" customHeight="1" zeroHeight="1"/>
  <cols>
    <col min="1" max="4" width="2.59765625" style="4" customWidth="1"/>
    <col min="5" max="5" width="50.59765625" style="4" customWidth="1"/>
    <col min="6" max="6" width="1.59765625" style="4" customWidth="1"/>
    <col min="7" max="7" width="15.59765625" style="4" customWidth="1"/>
    <col min="8" max="8" width="10.796875" style="4" bestFit="1" customWidth="1"/>
    <col min="9" max="9" width="10.59765625" style="35" customWidth="1"/>
    <col min="10" max="10" width="1.59765625" style="4" customWidth="1"/>
    <col min="11" max="44" width="10.59765625" style="4" customWidth="1"/>
    <col min="45" max="50" width="10.796875" style="4" customWidth="1"/>
    <col min="51" max="51" width="3" customWidth="1"/>
    <col min="52" max="54" width="9" hidden="1" customWidth="1"/>
    <col min="55" max="16384" width="9" hidden="1"/>
  </cols>
  <sheetData>
    <row r="1" spans="1:50" ht="14.5" customHeight="1">
      <c r="A1" s="171" t="s">
        <v>27</v>
      </c>
      <c r="B1" s="14"/>
      <c r="C1" s="14"/>
      <c r="D1" s="14"/>
      <c r="E1" s="14"/>
      <c r="F1" s="14"/>
      <c r="G1" s="14"/>
      <c r="H1" s="14" t="s">
        <v>84</v>
      </c>
      <c r="I1" s="2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</row>
    <row r="2" spans="1:50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24" t="s">
        <v>88</v>
      </c>
      <c r="J2" s="17"/>
      <c r="K2" s="16" t="s">
        <v>89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4"/>
      <c r="AT2" s="14"/>
      <c r="AU2" s="14"/>
      <c r="AV2" s="14"/>
      <c r="AW2" s="14"/>
      <c r="AX2" s="14"/>
    </row>
    <row r="3" spans="1:50" ht="15" customHeight="1">
      <c r="A3" s="14"/>
      <c r="B3" s="14"/>
      <c r="C3" s="14"/>
      <c r="D3" s="14"/>
      <c r="E3" s="10" t="s">
        <v>102</v>
      </c>
      <c r="F3" s="16"/>
      <c r="G3" s="16"/>
      <c r="H3" s="16"/>
      <c r="I3" s="16"/>
      <c r="J3" s="17"/>
      <c r="K3" s="21">
        <f>Inputs!K17</f>
        <v>39904</v>
      </c>
      <c r="L3" s="11">
        <f t="shared" ref="L3:AX3" si="0">+K4+1</f>
        <v>40269</v>
      </c>
      <c r="M3" s="11">
        <f t="shared" si="0"/>
        <v>40634</v>
      </c>
      <c r="N3" s="11">
        <f t="shared" si="0"/>
        <v>41000</v>
      </c>
      <c r="O3" s="11">
        <f t="shared" si="0"/>
        <v>41365</v>
      </c>
      <c r="P3" s="11">
        <f t="shared" si="0"/>
        <v>41730</v>
      </c>
      <c r="Q3" s="11">
        <f t="shared" si="0"/>
        <v>42095</v>
      </c>
      <c r="R3" s="11">
        <f t="shared" si="0"/>
        <v>42461</v>
      </c>
      <c r="S3" s="11">
        <f t="shared" si="0"/>
        <v>42826</v>
      </c>
      <c r="T3" s="11">
        <f t="shared" si="0"/>
        <v>43191</v>
      </c>
      <c r="U3" s="11">
        <f t="shared" si="0"/>
        <v>43556</v>
      </c>
      <c r="V3" s="11">
        <f t="shared" si="0"/>
        <v>43922</v>
      </c>
      <c r="W3" s="11">
        <f t="shared" si="0"/>
        <v>44287</v>
      </c>
      <c r="X3" s="11">
        <f t="shared" si="0"/>
        <v>44652</v>
      </c>
      <c r="Y3" s="11">
        <f t="shared" si="0"/>
        <v>45017</v>
      </c>
      <c r="Z3" s="11">
        <f t="shared" si="0"/>
        <v>45383</v>
      </c>
      <c r="AA3" s="11">
        <f t="shared" si="0"/>
        <v>45748</v>
      </c>
      <c r="AB3" s="11">
        <f t="shared" si="0"/>
        <v>46113</v>
      </c>
      <c r="AC3" s="11">
        <f t="shared" si="0"/>
        <v>46478</v>
      </c>
      <c r="AD3" s="11">
        <f t="shared" si="0"/>
        <v>46844</v>
      </c>
      <c r="AE3" s="11">
        <f t="shared" si="0"/>
        <v>47209</v>
      </c>
      <c r="AF3" s="11">
        <f t="shared" si="0"/>
        <v>47574</v>
      </c>
      <c r="AG3" s="11">
        <f t="shared" si="0"/>
        <v>47939</v>
      </c>
      <c r="AH3" s="11">
        <f t="shared" si="0"/>
        <v>48305</v>
      </c>
      <c r="AI3" s="11">
        <f t="shared" si="0"/>
        <v>48670</v>
      </c>
      <c r="AJ3" s="11">
        <f t="shared" si="0"/>
        <v>49035</v>
      </c>
      <c r="AK3" s="11">
        <f t="shared" si="0"/>
        <v>49400</v>
      </c>
      <c r="AL3" s="11">
        <f t="shared" si="0"/>
        <v>49766</v>
      </c>
      <c r="AM3" s="11">
        <f t="shared" si="0"/>
        <v>50131</v>
      </c>
      <c r="AN3" s="11">
        <f t="shared" si="0"/>
        <v>50496</v>
      </c>
      <c r="AO3" s="11">
        <f t="shared" si="0"/>
        <v>50861</v>
      </c>
      <c r="AP3" s="11">
        <f t="shared" si="0"/>
        <v>51227</v>
      </c>
      <c r="AQ3" s="11">
        <f t="shared" si="0"/>
        <v>51592</v>
      </c>
      <c r="AR3" s="11">
        <f t="shared" si="0"/>
        <v>51957</v>
      </c>
      <c r="AS3" s="11">
        <f t="shared" si="0"/>
        <v>52322</v>
      </c>
      <c r="AT3" s="11">
        <f t="shared" si="0"/>
        <v>52688</v>
      </c>
      <c r="AU3" s="11">
        <f t="shared" si="0"/>
        <v>53053</v>
      </c>
      <c r="AV3" s="11">
        <f t="shared" si="0"/>
        <v>53418</v>
      </c>
      <c r="AW3" s="11">
        <f t="shared" si="0"/>
        <v>53783</v>
      </c>
      <c r="AX3" s="11">
        <f t="shared" si="0"/>
        <v>54149</v>
      </c>
    </row>
    <row r="4" spans="1:50" ht="15" customHeight="1">
      <c r="A4" s="10"/>
      <c r="B4" s="10"/>
      <c r="C4" s="10"/>
      <c r="D4" s="10"/>
      <c r="E4" s="10" t="s">
        <v>103</v>
      </c>
      <c r="F4" s="10"/>
      <c r="G4" s="10"/>
      <c r="H4" s="10"/>
      <c r="I4" s="25"/>
      <c r="J4" s="10"/>
      <c r="K4" s="21">
        <f>Inputs!K18</f>
        <v>40268</v>
      </c>
      <c r="L4" s="11">
        <f t="shared" ref="L4:AX4" si="1">DATE(YEAR(K4) + 1, MONTH(K4), DAY(K4))</f>
        <v>40633</v>
      </c>
      <c r="M4" s="11">
        <f t="shared" si="1"/>
        <v>40999</v>
      </c>
      <c r="N4" s="11">
        <f t="shared" si="1"/>
        <v>41364</v>
      </c>
      <c r="O4" s="11">
        <f t="shared" si="1"/>
        <v>41729</v>
      </c>
      <c r="P4" s="11">
        <f t="shared" si="1"/>
        <v>42094</v>
      </c>
      <c r="Q4" s="11">
        <f t="shared" si="1"/>
        <v>42460</v>
      </c>
      <c r="R4" s="11">
        <f t="shared" si="1"/>
        <v>42825</v>
      </c>
      <c r="S4" s="11">
        <f t="shared" si="1"/>
        <v>43190</v>
      </c>
      <c r="T4" s="11">
        <f t="shared" si="1"/>
        <v>43555</v>
      </c>
      <c r="U4" s="11">
        <f t="shared" si="1"/>
        <v>43921</v>
      </c>
      <c r="V4" s="11">
        <f t="shared" si="1"/>
        <v>44286</v>
      </c>
      <c r="W4" s="11">
        <f t="shared" si="1"/>
        <v>44651</v>
      </c>
      <c r="X4" s="11">
        <f t="shared" si="1"/>
        <v>45016</v>
      </c>
      <c r="Y4" s="11">
        <f t="shared" si="1"/>
        <v>45382</v>
      </c>
      <c r="Z4" s="11">
        <f t="shared" si="1"/>
        <v>45747</v>
      </c>
      <c r="AA4" s="11">
        <f t="shared" si="1"/>
        <v>46112</v>
      </c>
      <c r="AB4" s="11">
        <f t="shared" si="1"/>
        <v>46477</v>
      </c>
      <c r="AC4" s="11">
        <f t="shared" si="1"/>
        <v>46843</v>
      </c>
      <c r="AD4" s="11">
        <f t="shared" si="1"/>
        <v>47208</v>
      </c>
      <c r="AE4" s="11">
        <f t="shared" si="1"/>
        <v>47573</v>
      </c>
      <c r="AF4" s="11">
        <f t="shared" si="1"/>
        <v>47938</v>
      </c>
      <c r="AG4" s="11">
        <f t="shared" si="1"/>
        <v>48304</v>
      </c>
      <c r="AH4" s="11">
        <f t="shared" si="1"/>
        <v>48669</v>
      </c>
      <c r="AI4" s="11">
        <f t="shared" si="1"/>
        <v>49034</v>
      </c>
      <c r="AJ4" s="11">
        <f t="shared" si="1"/>
        <v>49399</v>
      </c>
      <c r="AK4" s="11">
        <f t="shared" si="1"/>
        <v>49765</v>
      </c>
      <c r="AL4" s="11">
        <f t="shared" si="1"/>
        <v>50130</v>
      </c>
      <c r="AM4" s="11">
        <f t="shared" si="1"/>
        <v>50495</v>
      </c>
      <c r="AN4" s="11">
        <f t="shared" si="1"/>
        <v>50860</v>
      </c>
      <c r="AO4" s="11">
        <f t="shared" si="1"/>
        <v>51226</v>
      </c>
      <c r="AP4" s="11">
        <f t="shared" si="1"/>
        <v>51591</v>
      </c>
      <c r="AQ4" s="11">
        <f t="shared" si="1"/>
        <v>51956</v>
      </c>
      <c r="AR4" s="11">
        <f t="shared" si="1"/>
        <v>52321</v>
      </c>
      <c r="AS4" s="11">
        <f t="shared" si="1"/>
        <v>52687</v>
      </c>
      <c r="AT4" s="11">
        <f t="shared" si="1"/>
        <v>53052</v>
      </c>
      <c r="AU4" s="11">
        <f t="shared" si="1"/>
        <v>53417</v>
      </c>
      <c r="AV4" s="11">
        <f t="shared" si="1"/>
        <v>53782</v>
      </c>
      <c r="AW4" s="11">
        <f t="shared" si="1"/>
        <v>54148</v>
      </c>
      <c r="AX4" s="11">
        <f t="shared" si="1"/>
        <v>54513</v>
      </c>
    </row>
    <row r="5" spans="1:50" ht="15" customHeight="1">
      <c r="A5" s="5"/>
      <c r="B5" s="5"/>
      <c r="C5" s="5"/>
      <c r="D5" s="5"/>
      <c r="E5" s="5"/>
      <c r="F5" s="5"/>
      <c r="G5" s="5"/>
      <c r="H5" s="5"/>
      <c r="I5" s="26"/>
      <c r="J5" s="6"/>
      <c r="K5" s="6"/>
      <c r="L5" s="6"/>
      <c r="M5" s="6"/>
      <c r="N5" s="6"/>
      <c r="O5" s="6"/>
      <c r="P5" s="6"/>
      <c r="Q5" s="6"/>
      <c r="R5" s="6"/>
      <c r="S5" s="5"/>
      <c r="T5" s="5"/>
      <c r="U5" s="5"/>
      <c r="V5" s="5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</row>
    <row r="6" spans="1:50" ht="15" customHeight="1">
      <c r="A6" s="5"/>
      <c r="B6" s="126" t="s">
        <v>200</v>
      </c>
      <c r="C6" s="58"/>
      <c r="D6" s="58"/>
      <c r="E6" s="58"/>
      <c r="F6" s="58"/>
      <c r="G6" s="58"/>
      <c r="H6" s="58"/>
      <c r="I6" s="87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</row>
    <row r="7" spans="1:50" ht="15" customHeight="1">
      <c r="A7" s="5"/>
      <c r="B7" s="5"/>
      <c r="C7" s="5"/>
      <c r="D7" s="5"/>
      <c r="E7" s="5"/>
      <c r="F7" s="5"/>
      <c r="G7" s="5"/>
      <c r="H7" s="5"/>
      <c r="I7" s="26"/>
      <c r="J7" s="6"/>
      <c r="K7" s="6"/>
      <c r="L7" s="6"/>
      <c r="M7" s="6"/>
      <c r="N7" s="6"/>
      <c r="O7" s="6"/>
      <c r="P7" s="6"/>
      <c r="Q7" s="6"/>
      <c r="R7" s="6"/>
      <c r="S7" s="5"/>
      <c r="T7" s="5"/>
      <c r="U7" s="5"/>
      <c r="V7" s="5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</row>
    <row r="8" spans="1:50" ht="15" customHeight="1">
      <c r="A8" s="5"/>
      <c r="B8" s="5"/>
      <c r="C8" s="5"/>
      <c r="D8" s="5"/>
      <c r="E8" s="19" t="s">
        <v>171</v>
      </c>
      <c r="F8" s="5"/>
      <c r="G8" s="5" t="s">
        <v>172</v>
      </c>
      <c r="H8" s="5"/>
      <c r="I8" s="26"/>
      <c r="J8" s="6"/>
      <c r="K8" s="106">
        <f>Inputs!K92</f>
        <v>1</v>
      </c>
      <c r="L8" s="106">
        <f>Inputs!L92</f>
        <v>1</v>
      </c>
      <c r="M8" s="106">
        <f>Inputs!M92</f>
        <v>1</v>
      </c>
      <c r="N8" s="106">
        <f>Inputs!N92</f>
        <v>1</v>
      </c>
      <c r="O8" s="106">
        <f>Inputs!O92</f>
        <v>1</v>
      </c>
      <c r="P8" s="106">
        <f>Inputs!P92</f>
        <v>1</v>
      </c>
      <c r="Q8" s="106">
        <f>Inputs!Q92</f>
        <v>1</v>
      </c>
      <c r="R8" s="106">
        <f>Inputs!R92</f>
        <v>1</v>
      </c>
      <c r="S8" s="106">
        <f>Inputs!S92</f>
        <v>1</v>
      </c>
      <c r="T8" s="106">
        <f>Inputs!T92</f>
        <v>1</v>
      </c>
      <c r="U8" s="106">
        <f>Inputs!U92</f>
        <v>1</v>
      </c>
      <c r="V8" s="106">
        <f>Inputs!V92</f>
        <v>0.81095890410958904</v>
      </c>
      <c r="W8" s="106">
        <f>Inputs!W92</f>
        <v>0</v>
      </c>
      <c r="X8" s="106">
        <f>Inputs!X92</f>
        <v>0</v>
      </c>
      <c r="Y8" s="106">
        <f>Inputs!Y92</f>
        <v>0</v>
      </c>
      <c r="Z8" s="106">
        <f>Inputs!Z92</f>
        <v>0</v>
      </c>
      <c r="AA8" s="106">
        <f>Inputs!AA92</f>
        <v>0</v>
      </c>
      <c r="AB8" s="106">
        <f>Inputs!AB92</f>
        <v>0</v>
      </c>
      <c r="AC8" s="106">
        <f>Inputs!AC92</f>
        <v>0</v>
      </c>
      <c r="AD8" s="106">
        <f>Inputs!AD92</f>
        <v>0</v>
      </c>
      <c r="AE8" s="106">
        <f>Inputs!AE92</f>
        <v>0</v>
      </c>
      <c r="AF8" s="106">
        <f>Inputs!AF92</f>
        <v>0</v>
      </c>
      <c r="AG8" s="106">
        <f>Inputs!AG92</f>
        <v>0</v>
      </c>
      <c r="AH8" s="106">
        <f>Inputs!AH92</f>
        <v>0</v>
      </c>
      <c r="AI8" s="106">
        <f>Inputs!AI92</f>
        <v>0</v>
      </c>
      <c r="AJ8" s="106">
        <f>Inputs!AJ92</f>
        <v>0</v>
      </c>
      <c r="AK8" s="106">
        <f>Inputs!AK92</f>
        <v>0</v>
      </c>
      <c r="AL8" s="106">
        <f>Inputs!AL92</f>
        <v>0</v>
      </c>
      <c r="AM8" s="106">
        <f>Inputs!AM92</f>
        <v>0</v>
      </c>
      <c r="AN8" s="106">
        <f>Inputs!AN92</f>
        <v>0</v>
      </c>
      <c r="AO8" s="106">
        <f>Inputs!AO92</f>
        <v>0</v>
      </c>
      <c r="AP8" s="106">
        <f>Inputs!AP92</f>
        <v>0</v>
      </c>
      <c r="AQ8" s="106">
        <f>Inputs!AQ92</f>
        <v>0</v>
      </c>
      <c r="AR8" s="106">
        <f>Inputs!AR92</f>
        <v>0</v>
      </c>
      <c r="AS8" s="106">
        <f>Inputs!AS92</f>
        <v>0</v>
      </c>
      <c r="AT8" s="106">
        <f>Inputs!AT92</f>
        <v>0</v>
      </c>
      <c r="AU8" s="106">
        <f>Inputs!AU92</f>
        <v>0</v>
      </c>
      <c r="AV8" s="106">
        <f>Inputs!AV92</f>
        <v>0</v>
      </c>
      <c r="AW8" s="106">
        <f>Inputs!AW92</f>
        <v>0</v>
      </c>
      <c r="AX8" s="106">
        <f>Inputs!AX92</f>
        <v>0</v>
      </c>
    </row>
    <row r="9" spans="1:50" ht="15" customHeight="1">
      <c r="A9" s="19"/>
      <c r="B9" s="19"/>
      <c r="C9" s="19"/>
      <c r="D9" s="19"/>
      <c r="E9" s="19" t="s">
        <v>173</v>
      </c>
      <c r="F9" s="19"/>
      <c r="G9" s="19" t="s">
        <v>172</v>
      </c>
      <c r="H9" s="19"/>
      <c r="I9" s="66"/>
      <c r="J9" s="19"/>
      <c r="K9" s="106">
        <f>Inputs!K93</f>
        <v>0</v>
      </c>
      <c r="L9" s="106">
        <f>Inputs!L93</f>
        <v>0</v>
      </c>
      <c r="M9" s="106">
        <f>Inputs!M93</f>
        <v>0</v>
      </c>
      <c r="N9" s="106">
        <f>Inputs!N93</f>
        <v>0</v>
      </c>
      <c r="O9" s="106">
        <f>Inputs!O93</f>
        <v>0</v>
      </c>
      <c r="P9" s="106">
        <f>Inputs!P93</f>
        <v>0</v>
      </c>
      <c r="Q9" s="106">
        <f>Inputs!Q93</f>
        <v>0</v>
      </c>
      <c r="R9" s="106">
        <f>Inputs!R93</f>
        <v>0</v>
      </c>
      <c r="S9" s="106">
        <f>Inputs!S93</f>
        <v>0</v>
      </c>
      <c r="T9" s="106">
        <f>Inputs!T93</f>
        <v>0</v>
      </c>
      <c r="U9" s="106">
        <f>Inputs!U93</f>
        <v>0</v>
      </c>
      <c r="V9" s="106">
        <f>Inputs!V93</f>
        <v>0</v>
      </c>
      <c r="W9" s="106">
        <f>Inputs!W93</f>
        <v>0</v>
      </c>
      <c r="X9" s="106">
        <f>Inputs!X93</f>
        <v>0</v>
      </c>
      <c r="Y9" s="106">
        <f>Inputs!Y93</f>
        <v>0</v>
      </c>
      <c r="Z9" s="106">
        <f>Inputs!Z93</f>
        <v>0</v>
      </c>
      <c r="AA9" s="106">
        <f>Inputs!AA93</f>
        <v>0</v>
      </c>
      <c r="AB9" s="106">
        <f>Inputs!AB93</f>
        <v>0</v>
      </c>
      <c r="AC9" s="106">
        <f>Inputs!AC93</f>
        <v>0</v>
      </c>
      <c r="AD9" s="106">
        <f>Inputs!AD93</f>
        <v>0</v>
      </c>
      <c r="AE9" s="106">
        <f>Inputs!AE93</f>
        <v>0</v>
      </c>
      <c r="AF9" s="106">
        <f>Inputs!AF93</f>
        <v>0</v>
      </c>
      <c r="AG9" s="106">
        <f>Inputs!AG93</f>
        <v>0</v>
      </c>
      <c r="AH9" s="106">
        <f>Inputs!AH93</f>
        <v>0</v>
      </c>
      <c r="AI9" s="106">
        <f>Inputs!AI93</f>
        <v>0</v>
      </c>
      <c r="AJ9" s="106">
        <f>Inputs!AJ93</f>
        <v>0</v>
      </c>
      <c r="AK9" s="106">
        <f>Inputs!AK93</f>
        <v>0</v>
      </c>
      <c r="AL9" s="106">
        <f>Inputs!AL93</f>
        <v>0</v>
      </c>
      <c r="AM9" s="106">
        <f>Inputs!AM93</f>
        <v>0</v>
      </c>
      <c r="AN9" s="106">
        <f>Inputs!AN93</f>
        <v>0</v>
      </c>
      <c r="AO9" s="106">
        <f>Inputs!AO93</f>
        <v>0</v>
      </c>
      <c r="AP9" s="106">
        <f>Inputs!AP93</f>
        <v>0</v>
      </c>
      <c r="AQ9" s="106">
        <f>Inputs!AQ93</f>
        <v>0</v>
      </c>
      <c r="AR9" s="106">
        <f>Inputs!AR93</f>
        <v>0</v>
      </c>
      <c r="AS9" s="106">
        <f>Inputs!AS93</f>
        <v>0</v>
      </c>
      <c r="AT9" s="106">
        <f>Inputs!AT93</f>
        <v>0</v>
      </c>
      <c r="AU9" s="106">
        <f>Inputs!AU93</f>
        <v>0</v>
      </c>
      <c r="AV9" s="106">
        <f>Inputs!AV93</f>
        <v>0</v>
      </c>
      <c r="AW9" s="106">
        <f>Inputs!AW93</f>
        <v>0</v>
      </c>
      <c r="AX9" s="106">
        <f>Inputs!AX93</f>
        <v>0</v>
      </c>
    </row>
    <row r="10" spans="1:50" ht="15" customHeight="1">
      <c r="A10" s="5"/>
      <c r="B10" s="5"/>
      <c r="C10" s="5"/>
      <c r="D10" s="5"/>
      <c r="E10" s="19" t="s">
        <v>174</v>
      </c>
      <c r="F10" s="5"/>
      <c r="G10" s="5" t="s">
        <v>172</v>
      </c>
      <c r="H10" s="5"/>
      <c r="I10" s="26"/>
      <c r="J10" s="6"/>
      <c r="K10" s="106">
        <f>Inputs!K94</f>
        <v>0</v>
      </c>
      <c r="L10" s="106">
        <f>Inputs!L94</f>
        <v>0</v>
      </c>
      <c r="M10" s="106">
        <f>Inputs!M94</f>
        <v>0</v>
      </c>
      <c r="N10" s="106">
        <f>Inputs!N94</f>
        <v>0</v>
      </c>
      <c r="O10" s="106">
        <f>Inputs!O94</f>
        <v>0</v>
      </c>
      <c r="P10" s="106">
        <f>Inputs!P94</f>
        <v>0</v>
      </c>
      <c r="Q10" s="106">
        <f>Inputs!Q94</f>
        <v>0</v>
      </c>
      <c r="R10" s="106">
        <f>Inputs!R94</f>
        <v>0</v>
      </c>
      <c r="S10" s="106">
        <f>Inputs!S94</f>
        <v>0</v>
      </c>
      <c r="T10" s="106">
        <f>Inputs!T94</f>
        <v>0</v>
      </c>
      <c r="U10" s="106">
        <f>Inputs!U94</f>
        <v>0</v>
      </c>
      <c r="V10" s="106">
        <f>Inputs!V94</f>
        <v>0.18904109589041096</v>
      </c>
      <c r="W10" s="106">
        <f>Inputs!W94</f>
        <v>1</v>
      </c>
      <c r="X10" s="106">
        <f>Inputs!X94</f>
        <v>1</v>
      </c>
      <c r="Y10" s="106">
        <f>Inputs!Y94</f>
        <v>1</v>
      </c>
      <c r="Z10" s="106">
        <f>Inputs!Z94</f>
        <v>1</v>
      </c>
      <c r="AA10" s="106">
        <f>Inputs!AA94</f>
        <v>1</v>
      </c>
      <c r="AB10" s="106">
        <f>Inputs!AB94</f>
        <v>1</v>
      </c>
      <c r="AC10" s="106">
        <f>Inputs!AC94</f>
        <v>1</v>
      </c>
      <c r="AD10" s="106">
        <f>Inputs!AD94</f>
        <v>1</v>
      </c>
      <c r="AE10" s="106">
        <f>Inputs!AE94</f>
        <v>1</v>
      </c>
      <c r="AF10" s="106">
        <f>Inputs!AF94</f>
        <v>1</v>
      </c>
      <c r="AG10" s="106">
        <f>Inputs!AG94</f>
        <v>1</v>
      </c>
      <c r="AH10" s="106">
        <f>Inputs!AH94</f>
        <v>1</v>
      </c>
      <c r="AI10" s="106">
        <f>Inputs!AI94</f>
        <v>1</v>
      </c>
      <c r="AJ10" s="106">
        <f>Inputs!AJ94</f>
        <v>1</v>
      </c>
      <c r="AK10" s="106">
        <f>Inputs!AK94</f>
        <v>1</v>
      </c>
      <c r="AL10" s="106">
        <f>Inputs!AL94</f>
        <v>1</v>
      </c>
      <c r="AM10" s="106">
        <f>Inputs!AM94</f>
        <v>1</v>
      </c>
      <c r="AN10" s="106">
        <f>Inputs!AN94</f>
        <v>1</v>
      </c>
      <c r="AO10" s="106">
        <f>Inputs!AO94</f>
        <v>1</v>
      </c>
      <c r="AP10" s="106">
        <f>Inputs!AP94</f>
        <v>1</v>
      </c>
      <c r="AQ10" s="106">
        <f>Inputs!AQ94</f>
        <v>1</v>
      </c>
      <c r="AR10" s="106">
        <f>Inputs!AR94</f>
        <v>1</v>
      </c>
      <c r="AS10" s="106">
        <f>Inputs!AS94</f>
        <v>1</v>
      </c>
      <c r="AT10" s="106">
        <f>Inputs!AT94</f>
        <v>1</v>
      </c>
      <c r="AU10" s="106">
        <f>Inputs!AU94</f>
        <v>0.75342465753424659</v>
      </c>
      <c r="AV10" s="106">
        <f>Inputs!AV94</f>
        <v>0</v>
      </c>
      <c r="AW10" s="106">
        <f>Inputs!AW94</f>
        <v>0</v>
      </c>
      <c r="AX10" s="106">
        <f>Inputs!AX94</f>
        <v>0</v>
      </c>
    </row>
    <row r="11" spans="1:50" ht="15" customHeight="1">
      <c r="A11" s="19"/>
      <c r="B11" s="19"/>
      <c r="C11" s="19"/>
      <c r="D11" s="19"/>
      <c r="E11" s="19" t="s">
        <v>175</v>
      </c>
      <c r="F11" s="19"/>
      <c r="G11" s="19" t="s">
        <v>172</v>
      </c>
      <c r="H11" s="19"/>
      <c r="I11" s="66"/>
      <c r="J11" s="19"/>
      <c r="K11" s="106">
        <f>Inputs!K95</f>
        <v>0</v>
      </c>
      <c r="L11" s="106">
        <f>Inputs!L95</f>
        <v>0</v>
      </c>
      <c r="M11" s="106">
        <f>Inputs!M95</f>
        <v>0</v>
      </c>
      <c r="N11" s="106">
        <f>Inputs!N95</f>
        <v>0</v>
      </c>
      <c r="O11" s="106">
        <f>Inputs!O95</f>
        <v>0</v>
      </c>
      <c r="P11" s="106">
        <f>Inputs!P95</f>
        <v>0</v>
      </c>
      <c r="Q11" s="106">
        <f>Inputs!Q95</f>
        <v>0</v>
      </c>
      <c r="R11" s="106">
        <f>Inputs!R95</f>
        <v>0</v>
      </c>
      <c r="S11" s="106">
        <f>Inputs!S95</f>
        <v>0</v>
      </c>
      <c r="T11" s="106">
        <f>Inputs!T95</f>
        <v>0</v>
      </c>
      <c r="U11" s="106">
        <f>Inputs!U95</f>
        <v>0</v>
      </c>
      <c r="V11" s="106">
        <f>Inputs!V95</f>
        <v>0</v>
      </c>
      <c r="W11" s="106">
        <f>Inputs!W95</f>
        <v>1</v>
      </c>
      <c r="X11" s="106">
        <f>Inputs!X95</f>
        <v>0</v>
      </c>
      <c r="Y11" s="106">
        <f>Inputs!Y95</f>
        <v>0</v>
      </c>
      <c r="Z11" s="106">
        <f>Inputs!Z95</f>
        <v>0</v>
      </c>
      <c r="AA11" s="106">
        <f>Inputs!AA95</f>
        <v>0</v>
      </c>
      <c r="AB11" s="106">
        <f>Inputs!AB95</f>
        <v>0</v>
      </c>
      <c r="AC11" s="106">
        <f>Inputs!AC95</f>
        <v>0</v>
      </c>
      <c r="AD11" s="106">
        <f>Inputs!AD95</f>
        <v>0</v>
      </c>
      <c r="AE11" s="106">
        <f>Inputs!AE95</f>
        <v>0</v>
      </c>
      <c r="AF11" s="106">
        <f>Inputs!AF95</f>
        <v>0</v>
      </c>
      <c r="AG11" s="106">
        <f>Inputs!AG95</f>
        <v>0</v>
      </c>
      <c r="AH11" s="106">
        <f>Inputs!AH95</f>
        <v>0</v>
      </c>
      <c r="AI11" s="106">
        <f>Inputs!AI95</f>
        <v>0</v>
      </c>
      <c r="AJ11" s="106">
        <f>Inputs!AJ95</f>
        <v>0</v>
      </c>
      <c r="AK11" s="106">
        <f>Inputs!AK95</f>
        <v>0</v>
      </c>
      <c r="AL11" s="106">
        <f>Inputs!AL95</f>
        <v>0</v>
      </c>
      <c r="AM11" s="106">
        <f>Inputs!AM95</f>
        <v>0</v>
      </c>
      <c r="AN11" s="106">
        <f>Inputs!AN95</f>
        <v>0</v>
      </c>
      <c r="AO11" s="106">
        <f>Inputs!AO95</f>
        <v>0</v>
      </c>
      <c r="AP11" s="106">
        <f>Inputs!AP95</f>
        <v>0</v>
      </c>
      <c r="AQ11" s="106">
        <f>Inputs!AQ95</f>
        <v>0</v>
      </c>
      <c r="AR11" s="106">
        <f>Inputs!AR95</f>
        <v>0</v>
      </c>
      <c r="AS11" s="106">
        <f>Inputs!AS95</f>
        <v>0</v>
      </c>
      <c r="AT11" s="106">
        <f>Inputs!AT95</f>
        <v>0</v>
      </c>
      <c r="AU11" s="106">
        <f>Inputs!AU95</f>
        <v>0</v>
      </c>
      <c r="AV11" s="106">
        <f>Inputs!AV95</f>
        <v>0</v>
      </c>
      <c r="AW11" s="106">
        <f>Inputs!AW95</f>
        <v>0</v>
      </c>
      <c r="AX11" s="106">
        <f>Inputs!AX95</f>
        <v>0</v>
      </c>
    </row>
    <row r="12" spans="1:50" ht="15" customHeight="1">
      <c r="A12" s="19"/>
      <c r="B12" s="19"/>
      <c r="C12" s="19"/>
      <c r="D12" s="19"/>
      <c r="E12" s="19" t="s">
        <v>177</v>
      </c>
      <c r="F12" s="19"/>
      <c r="G12" s="19" t="s">
        <v>172</v>
      </c>
      <c r="H12" s="19"/>
      <c r="I12" s="66"/>
      <c r="J12" s="19"/>
      <c r="K12" s="106">
        <f>Inputs!K96</f>
        <v>0</v>
      </c>
      <c r="L12" s="106">
        <f>Inputs!L96</f>
        <v>0</v>
      </c>
      <c r="M12" s="106">
        <f>Inputs!M96</f>
        <v>0</v>
      </c>
      <c r="N12" s="106">
        <f>Inputs!N96</f>
        <v>0</v>
      </c>
      <c r="O12" s="106">
        <f>Inputs!O96</f>
        <v>0</v>
      </c>
      <c r="P12" s="106">
        <f>Inputs!P96</f>
        <v>0</v>
      </c>
      <c r="Q12" s="106">
        <f>Inputs!Q96</f>
        <v>1</v>
      </c>
      <c r="R12" s="106">
        <f>Inputs!R96</f>
        <v>0</v>
      </c>
      <c r="S12" s="106">
        <f>Inputs!S96</f>
        <v>0</v>
      </c>
      <c r="T12" s="106">
        <f>Inputs!T96</f>
        <v>0</v>
      </c>
      <c r="U12" s="106">
        <f>Inputs!U96</f>
        <v>0</v>
      </c>
      <c r="V12" s="106">
        <f>Inputs!V96</f>
        <v>0</v>
      </c>
      <c r="W12" s="106">
        <f>Inputs!W96</f>
        <v>0</v>
      </c>
      <c r="X12" s="106">
        <f>Inputs!X96</f>
        <v>0</v>
      </c>
      <c r="Y12" s="106">
        <f>Inputs!Y96</f>
        <v>0</v>
      </c>
      <c r="Z12" s="106">
        <f>Inputs!Z96</f>
        <v>0</v>
      </c>
      <c r="AA12" s="106">
        <f>Inputs!AA96</f>
        <v>0</v>
      </c>
      <c r="AB12" s="106">
        <f>Inputs!AB96</f>
        <v>0</v>
      </c>
      <c r="AC12" s="106">
        <f>Inputs!AC96</f>
        <v>0</v>
      </c>
      <c r="AD12" s="106">
        <f>Inputs!AD96</f>
        <v>0</v>
      </c>
      <c r="AE12" s="106">
        <f>Inputs!AE96</f>
        <v>0</v>
      </c>
      <c r="AF12" s="106">
        <f>Inputs!AF96</f>
        <v>0</v>
      </c>
      <c r="AG12" s="106">
        <f>Inputs!AG96</f>
        <v>0</v>
      </c>
      <c r="AH12" s="106">
        <f>Inputs!AH96</f>
        <v>0</v>
      </c>
      <c r="AI12" s="106">
        <f>Inputs!AI96</f>
        <v>0</v>
      </c>
      <c r="AJ12" s="106">
        <f>Inputs!AJ96</f>
        <v>0</v>
      </c>
      <c r="AK12" s="106">
        <f>Inputs!AK96</f>
        <v>0</v>
      </c>
      <c r="AL12" s="106">
        <f>Inputs!AL96</f>
        <v>0</v>
      </c>
      <c r="AM12" s="106">
        <f>Inputs!AM96</f>
        <v>0</v>
      </c>
      <c r="AN12" s="106">
        <f>Inputs!AN96</f>
        <v>0</v>
      </c>
      <c r="AO12" s="106">
        <f>Inputs!AO96</f>
        <v>0</v>
      </c>
      <c r="AP12" s="106">
        <f>Inputs!AP96</f>
        <v>0</v>
      </c>
      <c r="AQ12" s="106">
        <f>Inputs!AQ96</f>
        <v>0</v>
      </c>
      <c r="AR12" s="106">
        <f>Inputs!AR96</f>
        <v>0</v>
      </c>
      <c r="AS12" s="106">
        <f>Inputs!AS96</f>
        <v>0</v>
      </c>
      <c r="AT12" s="106">
        <f>Inputs!AT96</f>
        <v>0</v>
      </c>
      <c r="AU12" s="106">
        <f>Inputs!AU96</f>
        <v>0</v>
      </c>
      <c r="AV12" s="106">
        <f>Inputs!AV96</f>
        <v>0</v>
      </c>
      <c r="AW12" s="106">
        <f>Inputs!AW96</f>
        <v>0</v>
      </c>
      <c r="AX12" s="106">
        <f>Inputs!AX96</f>
        <v>0</v>
      </c>
    </row>
    <row r="13" spans="1:50" ht="15" customHeight="1">
      <c r="A13" s="5"/>
      <c r="B13" s="5"/>
      <c r="C13" s="5"/>
      <c r="D13" s="5"/>
      <c r="E13" s="5"/>
      <c r="F13" s="5"/>
      <c r="G13" s="5"/>
      <c r="H13" s="5"/>
      <c r="I13" s="26"/>
      <c r="J13" s="6"/>
      <c r="K13" s="6"/>
      <c r="L13" s="6"/>
      <c r="M13" s="6"/>
      <c r="N13" s="6"/>
      <c r="O13" s="6"/>
      <c r="P13" s="6"/>
      <c r="Q13" s="6"/>
      <c r="R13" s="6"/>
      <c r="S13" s="5"/>
      <c r="T13" s="5"/>
      <c r="U13" s="5"/>
      <c r="V13" s="5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</row>
    <row r="14" spans="1:50" ht="15" customHeight="1">
      <c r="A14" s="5"/>
      <c r="B14" s="126" t="s">
        <v>207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</row>
    <row r="15" spans="1:50" ht="15" customHeight="1">
      <c r="A15" s="5"/>
      <c r="B15" s="5"/>
      <c r="C15" s="5"/>
      <c r="D15" s="5"/>
      <c r="E15" s="5"/>
      <c r="F15" s="5"/>
      <c r="G15" s="5"/>
      <c r="H15" s="5"/>
      <c r="I15" s="26"/>
      <c r="J15" s="6"/>
      <c r="K15" s="6"/>
      <c r="L15" s="6"/>
      <c r="M15" s="6"/>
      <c r="N15" s="6"/>
      <c r="O15" s="6"/>
      <c r="P15" s="6"/>
      <c r="Q15" s="6"/>
      <c r="R15" s="6"/>
      <c r="S15" s="5"/>
      <c r="T15" s="5"/>
      <c r="U15" s="5"/>
      <c r="V15" s="5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</row>
    <row r="16" spans="1:50" ht="15" customHeight="1">
      <c r="A16" s="5"/>
      <c r="B16" s="5"/>
      <c r="C16" s="12" t="s">
        <v>207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</row>
    <row r="17" spans="1:50" ht="15" customHeight="1">
      <c r="A17" s="29"/>
      <c r="B17" s="29"/>
      <c r="C17" s="29"/>
      <c r="D17" s="54"/>
      <c r="E17" s="19"/>
      <c r="F17" s="31"/>
      <c r="G17" s="19"/>
      <c r="H17" s="19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30"/>
    </row>
    <row r="18" spans="1:50" ht="15" customHeight="1">
      <c r="A18" s="5"/>
      <c r="B18" s="5"/>
      <c r="C18" s="5"/>
      <c r="D18" s="5"/>
      <c r="E18" s="18" t="s">
        <v>208</v>
      </c>
      <c r="F18" s="5"/>
      <c r="G18" s="18" t="str">
        <f>Inputs!G70</f>
        <v>real annual %</v>
      </c>
      <c r="H18" s="19"/>
      <c r="I18" s="88">
        <f>Inputs!I70</f>
        <v>5.3800000000000001E-2</v>
      </c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</row>
    <row r="19" spans="1:50" ht="15" customHeight="1">
      <c r="A19" s="29"/>
      <c r="B19" s="29"/>
      <c r="C19" s="29"/>
      <c r="D19" s="54"/>
      <c r="E19" s="19"/>
      <c r="F19" s="31"/>
      <c r="G19" s="19"/>
      <c r="H19" s="19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19"/>
      <c r="T19" s="19"/>
      <c r="U19" s="19"/>
      <c r="V19" s="19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</row>
    <row r="20" spans="1:50" ht="15" customHeight="1">
      <c r="B20" s="29"/>
      <c r="C20" s="29"/>
      <c r="D20" s="54"/>
      <c r="E20" s="5" t="s">
        <v>203</v>
      </c>
      <c r="F20" s="31"/>
      <c r="G20" s="5" t="str">
        <f>Inputs!$I$11</f>
        <v>£m 2024 CPIH prices</v>
      </c>
      <c r="H20" s="19"/>
      <c r="I20" s="30"/>
      <c r="J20" s="30"/>
      <c r="K20" s="44">
        <f>'Pre Op RAV'!K17</f>
        <v>0</v>
      </c>
      <c r="L20" s="44">
        <f>'Pre Op RAV'!L17</f>
        <v>0</v>
      </c>
      <c r="M20" s="44">
        <f>'Pre Op RAV'!M17</f>
        <v>5.8108510105092645E-2</v>
      </c>
      <c r="N20" s="44">
        <f>'Pre Op RAV'!N17</f>
        <v>0.40427293091627803</v>
      </c>
      <c r="O20" s="44">
        <f>'Pre Op RAV'!O17</f>
        <v>1.3419452527026758</v>
      </c>
      <c r="P20" s="44">
        <f>'Pre Op RAV'!P17</f>
        <v>2.8534207875468689</v>
      </c>
      <c r="Q20" s="44">
        <f>'Pre Op RAV'!Q17</f>
        <v>5.3633524076129735</v>
      </c>
      <c r="R20" s="44">
        <f>'Pre Op RAV'!R17</f>
        <v>10.338950376661762</v>
      </c>
      <c r="S20" s="44">
        <f>'Pre Op RAV'!S17</f>
        <v>15.418045574540361</v>
      </c>
      <c r="T20" s="44">
        <f>'Pre Op RAV'!T17</f>
        <v>83.559609652094494</v>
      </c>
      <c r="U20" s="44">
        <f>'Pre Op RAV'!U17</f>
        <v>230.11216438373668</v>
      </c>
      <c r="V20" s="44">
        <f>'Pre Op RAV'!V17</f>
        <v>377.87254483574776</v>
      </c>
      <c r="W20" s="44">
        <f>'Pre Op RAV'!W17</f>
        <v>435.26096027142978</v>
      </c>
      <c r="X20" s="44">
        <f>'Pre Op RAV'!X17</f>
        <v>0</v>
      </c>
      <c r="Y20" s="44">
        <f>'Pre Op RAV'!Y17</f>
        <v>0</v>
      </c>
      <c r="Z20" s="44">
        <f>'Pre Op RAV'!Z17</f>
        <v>0</v>
      </c>
      <c r="AA20" s="44">
        <f>'Pre Op RAV'!AA17</f>
        <v>0</v>
      </c>
      <c r="AB20" s="44">
        <f>'Pre Op RAV'!AB17</f>
        <v>0</v>
      </c>
      <c r="AC20" s="44">
        <f>'Pre Op RAV'!AC17</f>
        <v>0</v>
      </c>
      <c r="AD20" s="44">
        <f>'Pre Op RAV'!AD17</f>
        <v>0</v>
      </c>
      <c r="AE20" s="44">
        <f>'Pre Op RAV'!AE17</f>
        <v>0</v>
      </c>
      <c r="AF20" s="44">
        <f>'Pre Op RAV'!AF17</f>
        <v>0</v>
      </c>
      <c r="AG20" s="44">
        <f>'Pre Op RAV'!AG17</f>
        <v>0</v>
      </c>
      <c r="AH20" s="44">
        <f>'Pre Op RAV'!AH17</f>
        <v>0</v>
      </c>
      <c r="AI20" s="44">
        <f>'Pre Op RAV'!AI17</f>
        <v>0</v>
      </c>
      <c r="AJ20" s="44">
        <f>'Pre Op RAV'!AJ17</f>
        <v>0</v>
      </c>
      <c r="AK20" s="44">
        <f>'Pre Op RAV'!AK17</f>
        <v>0</v>
      </c>
      <c r="AL20" s="44">
        <f>'Pre Op RAV'!AL17</f>
        <v>0</v>
      </c>
      <c r="AM20" s="44">
        <f>'Pre Op RAV'!AM17</f>
        <v>0</v>
      </c>
      <c r="AN20" s="44">
        <f>'Pre Op RAV'!AN17</f>
        <v>0</v>
      </c>
      <c r="AO20" s="44">
        <f>'Pre Op RAV'!AO17</f>
        <v>0</v>
      </c>
      <c r="AP20" s="44">
        <f>'Pre Op RAV'!AP17</f>
        <v>0</v>
      </c>
      <c r="AQ20" s="44">
        <f>'Pre Op RAV'!AQ17</f>
        <v>0</v>
      </c>
      <c r="AR20" s="44">
        <f>'Pre Op RAV'!AR17</f>
        <v>0</v>
      </c>
      <c r="AS20" s="44">
        <f>'Pre Op RAV'!AS17</f>
        <v>0</v>
      </c>
      <c r="AT20" s="44">
        <f>'Pre Op RAV'!AT17</f>
        <v>0</v>
      </c>
      <c r="AU20" s="44">
        <f>'Pre Op RAV'!AU17</f>
        <v>0</v>
      </c>
      <c r="AV20" s="44">
        <f>'Pre Op RAV'!AV17</f>
        <v>0</v>
      </c>
      <c r="AW20" s="44">
        <f>'Pre Op RAV'!AW17</f>
        <v>0</v>
      </c>
      <c r="AX20" s="44">
        <f>'Pre Op RAV'!AX17</f>
        <v>0</v>
      </c>
    </row>
    <row r="21" spans="1:50" ht="15" customHeight="1">
      <c r="B21" s="29"/>
      <c r="C21" s="29"/>
      <c r="D21" s="54"/>
      <c r="E21" s="5" t="s">
        <v>104</v>
      </c>
      <c r="F21" s="31"/>
      <c r="G21" s="5" t="str">
        <f>Inputs!$I$11</f>
        <v>£m 2024 CPIH prices</v>
      </c>
      <c r="H21" s="19"/>
      <c r="I21" s="30"/>
      <c r="J21" s="30"/>
      <c r="K21" s="44">
        <f>Inputs!K34</f>
        <v>0</v>
      </c>
      <c r="L21" s="44">
        <f>Inputs!L34</f>
        <v>5.6625193610665814E-2</v>
      </c>
      <c r="M21" s="44">
        <f>Inputs!M34</f>
        <v>0.33428156205101345</v>
      </c>
      <c r="N21" s="44">
        <f>Inputs!N34</f>
        <v>0.8925419924920055</v>
      </c>
      <c r="O21" s="44">
        <f>Inputs!O34</f>
        <v>1.4025388898533699</v>
      </c>
      <c r="P21" s="44">
        <f>Inputs!P34</f>
        <v>2.2962660985421408</v>
      </c>
      <c r="Q21" s="44">
        <f>Inputs!Q34</f>
        <v>4.5674048624172281</v>
      </c>
      <c r="R21" s="44">
        <f>Inputs!R34</f>
        <v>2.5610342050634833</v>
      </c>
      <c r="S21" s="44">
        <f>Inputs!S34</f>
        <v>0</v>
      </c>
      <c r="T21" s="44">
        <f>Inputs!T34</f>
        <v>0</v>
      </c>
      <c r="U21" s="44">
        <f>Inputs!U34</f>
        <v>0</v>
      </c>
      <c r="V21" s="44">
        <f>Inputs!V34</f>
        <v>0</v>
      </c>
      <c r="W21" s="44">
        <f>Inputs!W34</f>
        <v>0</v>
      </c>
      <c r="X21" s="44">
        <f>Inputs!X34</f>
        <v>0</v>
      </c>
      <c r="Y21" s="44">
        <f>Inputs!Y34</f>
        <v>0</v>
      </c>
      <c r="Z21" s="44">
        <f>Inputs!Z34</f>
        <v>0</v>
      </c>
      <c r="AA21" s="44">
        <f>Inputs!AA34</f>
        <v>0</v>
      </c>
      <c r="AB21" s="44">
        <f>Inputs!AB34</f>
        <v>0</v>
      </c>
      <c r="AC21" s="44">
        <f>Inputs!AC34</f>
        <v>0</v>
      </c>
      <c r="AD21" s="44">
        <f>Inputs!AD34</f>
        <v>0</v>
      </c>
      <c r="AE21" s="44">
        <f>Inputs!AE34</f>
        <v>0</v>
      </c>
      <c r="AF21" s="44">
        <f>Inputs!AF34</f>
        <v>0</v>
      </c>
      <c r="AG21" s="44">
        <f>Inputs!AG34</f>
        <v>0</v>
      </c>
      <c r="AH21" s="44">
        <f>Inputs!AH34</f>
        <v>0</v>
      </c>
      <c r="AI21" s="44">
        <f>Inputs!AI34</f>
        <v>0</v>
      </c>
      <c r="AJ21" s="44">
        <f>Inputs!AJ34</f>
        <v>0</v>
      </c>
      <c r="AK21" s="44">
        <f>Inputs!AK34</f>
        <v>0</v>
      </c>
      <c r="AL21" s="44">
        <f>Inputs!AL34</f>
        <v>0</v>
      </c>
      <c r="AM21" s="44">
        <f>Inputs!AM34</f>
        <v>0</v>
      </c>
      <c r="AN21" s="44">
        <f>Inputs!AN34</f>
        <v>0</v>
      </c>
      <c r="AO21" s="44">
        <f>Inputs!AO34</f>
        <v>0</v>
      </c>
      <c r="AP21" s="44">
        <f>Inputs!AP34</f>
        <v>0</v>
      </c>
      <c r="AQ21" s="44">
        <f>Inputs!AQ34</f>
        <v>0</v>
      </c>
      <c r="AR21" s="44">
        <f>Inputs!AR34</f>
        <v>0</v>
      </c>
      <c r="AS21" s="44">
        <f>Inputs!AS34</f>
        <v>0</v>
      </c>
      <c r="AT21" s="44">
        <f>Inputs!AT34</f>
        <v>0</v>
      </c>
      <c r="AU21" s="44">
        <f>Inputs!AU34</f>
        <v>0</v>
      </c>
      <c r="AV21" s="44">
        <f>Inputs!AV34</f>
        <v>0</v>
      </c>
      <c r="AW21" s="44">
        <f>Inputs!AW34</f>
        <v>0</v>
      </c>
      <c r="AX21" s="44">
        <f>Inputs!AX34</f>
        <v>0</v>
      </c>
    </row>
    <row r="22" spans="1:50" ht="15" customHeight="1">
      <c r="B22" s="29"/>
      <c r="C22" s="29"/>
      <c r="D22" s="54"/>
      <c r="E22" s="5" t="s">
        <v>105</v>
      </c>
      <c r="F22" s="31"/>
      <c r="G22" s="5" t="str">
        <f>Inputs!$I$11</f>
        <v>£m 2024 CPIH prices</v>
      </c>
      <c r="H22" s="19"/>
      <c r="I22" s="30"/>
      <c r="J22" s="30"/>
      <c r="K22" s="44">
        <f>Inputs!K35</f>
        <v>0</v>
      </c>
      <c r="L22" s="44">
        <f>Inputs!L35</f>
        <v>0</v>
      </c>
      <c r="M22" s="44">
        <f>Inputs!M35</f>
        <v>0</v>
      </c>
      <c r="N22" s="44">
        <f>Inputs!N35</f>
        <v>0</v>
      </c>
      <c r="O22" s="44">
        <f>Inputs!O35</f>
        <v>0</v>
      </c>
      <c r="P22" s="44">
        <f>Inputs!P35</f>
        <v>0</v>
      </c>
      <c r="Q22" s="44">
        <f>Inputs!Q35</f>
        <v>0</v>
      </c>
      <c r="R22" s="44">
        <f>Inputs!R35</f>
        <v>1.8463719371580161</v>
      </c>
      <c r="S22" s="44">
        <f>Inputs!S35</f>
        <v>65.367490044601396</v>
      </c>
      <c r="T22" s="44">
        <f>Inputs!T35</f>
        <v>137.63269637266183</v>
      </c>
      <c r="U22" s="44">
        <f>Inputs!U35</f>
        <v>129.23181587036925</v>
      </c>
      <c r="V22" s="44">
        <f>Inputs!V35</f>
        <v>39.637582199715787</v>
      </c>
      <c r="W22" s="44">
        <f>Inputs!W35</f>
        <v>12.567999123567846</v>
      </c>
      <c r="X22" s="44">
        <f>Inputs!X35</f>
        <v>0</v>
      </c>
      <c r="Y22" s="44">
        <f>Inputs!Y35</f>
        <v>0</v>
      </c>
      <c r="Z22" s="44">
        <f>Inputs!Z35</f>
        <v>0</v>
      </c>
      <c r="AA22" s="44">
        <f>Inputs!AA35</f>
        <v>0</v>
      </c>
      <c r="AB22" s="44">
        <f>Inputs!AB35</f>
        <v>0</v>
      </c>
      <c r="AC22" s="44">
        <f>Inputs!AC35</f>
        <v>0</v>
      </c>
      <c r="AD22" s="44">
        <f>Inputs!AD35</f>
        <v>0</v>
      </c>
      <c r="AE22" s="44">
        <f>Inputs!AE35</f>
        <v>0</v>
      </c>
      <c r="AF22" s="44">
        <f>Inputs!AF35</f>
        <v>0</v>
      </c>
      <c r="AG22" s="44">
        <f>Inputs!AG35</f>
        <v>0</v>
      </c>
      <c r="AH22" s="44">
        <f>Inputs!AH35</f>
        <v>0</v>
      </c>
      <c r="AI22" s="44">
        <f>Inputs!AI35</f>
        <v>0</v>
      </c>
      <c r="AJ22" s="44">
        <f>Inputs!AJ35</f>
        <v>0</v>
      </c>
      <c r="AK22" s="44">
        <f>Inputs!AK35</f>
        <v>0</v>
      </c>
      <c r="AL22" s="44">
        <f>Inputs!AL35</f>
        <v>0</v>
      </c>
      <c r="AM22" s="44">
        <f>Inputs!AM35</f>
        <v>0</v>
      </c>
      <c r="AN22" s="44">
        <f>Inputs!AN35</f>
        <v>0</v>
      </c>
      <c r="AO22" s="44">
        <f>Inputs!AO35</f>
        <v>0</v>
      </c>
      <c r="AP22" s="44">
        <f>Inputs!AP35</f>
        <v>0</v>
      </c>
      <c r="AQ22" s="44">
        <f>Inputs!AQ35</f>
        <v>0</v>
      </c>
      <c r="AR22" s="44">
        <f>Inputs!AR35</f>
        <v>0</v>
      </c>
      <c r="AS22" s="44">
        <f>Inputs!AS35</f>
        <v>0</v>
      </c>
      <c r="AT22" s="44">
        <f>Inputs!AT35</f>
        <v>0</v>
      </c>
      <c r="AU22" s="44">
        <f>Inputs!AU35</f>
        <v>0</v>
      </c>
      <c r="AV22" s="44">
        <f>Inputs!AV35</f>
        <v>0</v>
      </c>
      <c r="AW22" s="44">
        <f>Inputs!AW35</f>
        <v>0</v>
      </c>
      <c r="AX22" s="44">
        <f>Inputs!AX35</f>
        <v>0</v>
      </c>
    </row>
    <row r="23" spans="1:50" ht="15" customHeight="1">
      <c r="B23" s="29"/>
      <c r="C23" s="29"/>
      <c r="D23" s="54"/>
      <c r="E23" s="5" t="s">
        <v>106</v>
      </c>
      <c r="F23" s="31"/>
      <c r="G23" s="5" t="str">
        <f>Inputs!$I$11</f>
        <v>£m 2024 CPIH prices</v>
      </c>
      <c r="H23" s="19"/>
      <c r="I23" s="30"/>
      <c r="J23" s="30"/>
      <c r="K23" s="44">
        <f>Inputs!K36</f>
        <v>0</v>
      </c>
      <c r="L23" s="44">
        <f>Inputs!L36</f>
        <v>0</v>
      </c>
      <c r="M23" s="44">
        <f>Inputs!M36</f>
        <v>0</v>
      </c>
      <c r="N23" s="44">
        <f>Inputs!N36</f>
        <v>0</v>
      </c>
      <c r="O23" s="44">
        <f>Inputs!O36</f>
        <v>0</v>
      </c>
      <c r="P23" s="44">
        <f>Inputs!P36</f>
        <v>0</v>
      </c>
      <c r="Q23" s="44">
        <f>Inputs!Q36</f>
        <v>0</v>
      </c>
      <c r="R23" s="44">
        <f>Inputs!R36</f>
        <v>0</v>
      </c>
      <c r="S23" s="44">
        <f>Inputs!S36</f>
        <v>0.22633041033661055</v>
      </c>
      <c r="T23" s="44">
        <f>Inputs!T36</f>
        <v>0.79810863432240509</v>
      </c>
      <c r="U23" s="44">
        <f>Inputs!U36</f>
        <v>2.6927213433199659</v>
      </c>
      <c r="V23" s="44">
        <f>Inputs!V36</f>
        <v>0.4981382657846079</v>
      </c>
      <c r="W23" s="44">
        <f>Inputs!W36</f>
        <v>1.5506811792545097</v>
      </c>
      <c r="X23" s="44">
        <f>Inputs!X36</f>
        <v>0</v>
      </c>
      <c r="Y23" s="44">
        <f>Inputs!Y36</f>
        <v>0</v>
      </c>
      <c r="Z23" s="44">
        <f>Inputs!Z36</f>
        <v>0</v>
      </c>
      <c r="AA23" s="44">
        <f>Inputs!AA36</f>
        <v>0</v>
      </c>
      <c r="AB23" s="44">
        <f>Inputs!AB36</f>
        <v>0</v>
      </c>
      <c r="AC23" s="44">
        <f>Inputs!AC36</f>
        <v>0</v>
      </c>
      <c r="AD23" s="44">
        <f>Inputs!AD36</f>
        <v>0</v>
      </c>
      <c r="AE23" s="44">
        <f>Inputs!AE36</f>
        <v>0</v>
      </c>
      <c r="AF23" s="44">
        <f>Inputs!AF36</f>
        <v>0</v>
      </c>
      <c r="AG23" s="44">
        <f>Inputs!AG36</f>
        <v>0</v>
      </c>
      <c r="AH23" s="44">
        <f>Inputs!AH36</f>
        <v>0</v>
      </c>
      <c r="AI23" s="44">
        <f>Inputs!AI36</f>
        <v>0</v>
      </c>
      <c r="AJ23" s="44">
        <f>Inputs!AJ36</f>
        <v>0</v>
      </c>
      <c r="AK23" s="44">
        <f>Inputs!AK36</f>
        <v>0</v>
      </c>
      <c r="AL23" s="44">
        <f>Inputs!AL36</f>
        <v>0</v>
      </c>
      <c r="AM23" s="44">
        <f>Inputs!AM36</f>
        <v>0</v>
      </c>
      <c r="AN23" s="44">
        <f>Inputs!AN36</f>
        <v>0</v>
      </c>
      <c r="AO23" s="44">
        <f>Inputs!AO36</f>
        <v>0</v>
      </c>
      <c r="AP23" s="44">
        <f>Inputs!AP36</f>
        <v>0</v>
      </c>
      <c r="AQ23" s="44">
        <f>Inputs!AQ36</f>
        <v>0</v>
      </c>
      <c r="AR23" s="44">
        <f>Inputs!AR36</f>
        <v>0</v>
      </c>
      <c r="AS23" s="44">
        <f>Inputs!AS36</f>
        <v>0</v>
      </c>
      <c r="AT23" s="44">
        <f>Inputs!AT36</f>
        <v>0</v>
      </c>
      <c r="AU23" s="44">
        <f>Inputs!AU36</f>
        <v>0</v>
      </c>
      <c r="AV23" s="44">
        <f>Inputs!AV36</f>
        <v>0</v>
      </c>
      <c r="AW23" s="44">
        <f>Inputs!AW36</f>
        <v>0</v>
      </c>
      <c r="AX23" s="44">
        <f>Inputs!AX36</f>
        <v>0</v>
      </c>
    </row>
    <row r="24" spans="1:50" ht="15" customHeight="1">
      <c r="B24" s="5"/>
      <c r="C24" s="5"/>
      <c r="D24" s="5"/>
      <c r="E24" s="18" t="s">
        <v>209</v>
      </c>
      <c r="F24" s="5"/>
      <c r="G24" s="5" t="str">
        <f>Inputs!$I$11</f>
        <v>£m 2024 CPIH prices</v>
      </c>
      <c r="H24" s="5"/>
      <c r="I24" s="6"/>
      <c r="J24" s="6"/>
      <c r="K24" s="203">
        <f t="shared" ref="K24:AX24" si="2">((1+$I18)^K8-1)*(K20+(K21+K22+K23)/(2+$I18))</f>
        <v>0</v>
      </c>
      <c r="L24" s="203">
        <f t="shared" si="2"/>
        <v>1.4833164944268308E-3</v>
      </c>
      <c r="M24" s="203">
        <f t="shared" si="2"/>
        <v>1.1882858760171928E-2</v>
      </c>
      <c r="N24" s="203">
        <f t="shared" si="2"/>
        <v>4.5130329294392271E-2</v>
      </c>
      <c r="O24" s="203">
        <f t="shared" si="2"/>
        <v>0.10893664499082299</v>
      </c>
      <c r="P24" s="203">
        <f t="shared" si="2"/>
        <v>0.21366552152396437</v>
      </c>
      <c r="Q24" s="203">
        <f t="shared" si="2"/>
        <v>0.40819310663155867</v>
      </c>
      <c r="R24" s="203">
        <f t="shared" si="2"/>
        <v>0.67168905565709847</v>
      </c>
      <c r="S24" s="203">
        <f t="shared" si="2"/>
        <v>2.5477436226161201</v>
      </c>
      <c r="T24" s="203">
        <f t="shared" si="2"/>
        <v>8.1217497246579757</v>
      </c>
      <c r="U24" s="203">
        <f t="shared" si="2"/>
        <v>15.835843238321868</v>
      </c>
      <c r="V24" s="203">
        <f t="shared" si="2"/>
        <v>17.252694970181626</v>
      </c>
      <c r="W24" s="203">
        <f t="shared" si="2"/>
        <v>0</v>
      </c>
      <c r="X24" s="203">
        <f t="shared" si="2"/>
        <v>0</v>
      </c>
      <c r="Y24" s="203">
        <f t="shared" si="2"/>
        <v>0</v>
      </c>
      <c r="Z24" s="203">
        <f t="shared" si="2"/>
        <v>0</v>
      </c>
      <c r="AA24" s="203">
        <f t="shared" si="2"/>
        <v>0</v>
      </c>
      <c r="AB24" s="203">
        <f t="shared" si="2"/>
        <v>0</v>
      </c>
      <c r="AC24" s="203">
        <f t="shared" si="2"/>
        <v>0</v>
      </c>
      <c r="AD24" s="203">
        <f t="shared" si="2"/>
        <v>0</v>
      </c>
      <c r="AE24" s="203">
        <f t="shared" si="2"/>
        <v>0</v>
      </c>
      <c r="AF24" s="203">
        <f t="shared" si="2"/>
        <v>0</v>
      </c>
      <c r="AG24" s="203">
        <f t="shared" si="2"/>
        <v>0</v>
      </c>
      <c r="AH24" s="203">
        <f t="shared" si="2"/>
        <v>0</v>
      </c>
      <c r="AI24" s="203">
        <f t="shared" si="2"/>
        <v>0</v>
      </c>
      <c r="AJ24" s="203">
        <f t="shared" si="2"/>
        <v>0</v>
      </c>
      <c r="AK24" s="203">
        <f t="shared" si="2"/>
        <v>0</v>
      </c>
      <c r="AL24" s="203">
        <f t="shared" si="2"/>
        <v>0</v>
      </c>
      <c r="AM24" s="203">
        <f t="shared" si="2"/>
        <v>0</v>
      </c>
      <c r="AN24" s="203">
        <f t="shared" si="2"/>
        <v>0</v>
      </c>
      <c r="AO24" s="203">
        <f t="shared" si="2"/>
        <v>0</v>
      </c>
      <c r="AP24" s="203">
        <f t="shared" si="2"/>
        <v>0</v>
      </c>
      <c r="AQ24" s="203">
        <f t="shared" si="2"/>
        <v>0</v>
      </c>
      <c r="AR24" s="203">
        <f t="shared" si="2"/>
        <v>0</v>
      </c>
      <c r="AS24" s="203">
        <f t="shared" si="2"/>
        <v>0</v>
      </c>
      <c r="AT24" s="203">
        <f t="shared" si="2"/>
        <v>0</v>
      </c>
      <c r="AU24" s="203">
        <f t="shared" si="2"/>
        <v>0</v>
      </c>
      <c r="AV24" s="203">
        <f t="shared" si="2"/>
        <v>0</v>
      </c>
      <c r="AW24" s="203">
        <f t="shared" si="2"/>
        <v>0</v>
      </c>
      <c r="AX24" s="203">
        <f t="shared" si="2"/>
        <v>0</v>
      </c>
    </row>
    <row r="25" spans="1:50" ht="15" customHeight="1">
      <c r="A25" s="5"/>
      <c r="B25" s="5"/>
      <c r="C25" s="5"/>
      <c r="D25" s="5"/>
      <c r="E25" s="5"/>
      <c r="F25" s="5"/>
      <c r="G25" s="5"/>
      <c r="H25" s="5"/>
      <c r="I25" s="6"/>
      <c r="J25" s="6"/>
      <c r="K25" s="6"/>
      <c r="L25" s="6"/>
      <c r="M25" s="6"/>
      <c r="N25" s="6"/>
      <c r="O25" s="6"/>
      <c r="P25" s="6"/>
      <c r="Q25" s="6"/>
      <c r="R25" s="6"/>
      <c r="S25" s="5"/>
      <c r="T25" s="5"/>
      <c r="U25" s="5"/>
      <c r="V25" s="5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</row>
    <row r="26" spans="1:50" ht="15" customHeight="1">
      <c r="A26" s="5"/>
      <c r="B26" s="126" t="s">
        <v>210</v>
      </c>
      <c r="C26" s="58"/>
      <c r="D26" s="58"/>
      <c r="E26" s="58"/>
      <c r="F26" s="58"/>
      <c r="G26" s="58"/>
      <c r="H26" s="58"/>
      <c r="I26" s="87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</row>
    <row r="27" spans="1:50" ht="15" customHeight="1">
      <c r="A27" s="5"/>
      <c r="B27" s="5"/>
      <c r="C27" s="5"/>
      <c r="D27" s="5"/>
      <c r="E27" s="5"/>
      <c r="F27" s="5"/>
      <c r="G27" s="5"/>
      <c r="H27" s="5"/>
      <c r="I27" s="26"/>
      <c r="J27" s="6"/>
      <c r="K27" s="6"/>
      <c r="L27" s="6"/>
      <c r="M27" s="6"/>
      <c r="N27" s="6"/>
      <c r="O27" s="6"/>
      <c r="P27" s="6"/>
      <c r="Q27" s="6"/>
      <c r="R27" s="6"/>
      <c r="S27" s="5"/>
      <c r="T27" s="5"/>
      <c r="U27" s="5"/>
      <c r="V27" s="5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</row>
    <row r="28" spans="1:50" ht="15" customHeight="1">
      <c r="A28" s="5"/>
      <c r="B28" s="5"/>
      <c r="C28" s="12" t="s">
        <v>211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</row>
    <row r="29" spans="1:50" ht="15" customHeight="1">
      <c r="A29" s="19"/>
      <c r="B29" s="19"/>
      <c r="C29" s="19"/>
      <c r="D29" s="19"/>
      <c r="E29" s="18"/>
      <c r="F29" s="19"/>
      <c r="G29" s="18"/>
      <c r="H29" s="19"/>
      <c r="I29" s="18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</row>
    <row r="30" spans="1:50" ht="15" customHeight="1">
      <c r="A30" s="19"/>
      <c r="B30" s="19"/>
      <c r="C30" s="19"/>
      <c r="D30" s="19"/>
      <c r="E30" s="18" t="s">
        <v>155</v>
      </c>
      <c r="F30" s="19"/>
      <c r="G30" s="18" t="str">
        <f>Inputs!G73</f>
        <v>%</v>
      </c>
      <c r="H30" s="19"/>
      <c r="I30" s="18">
        <f>Inputs!I73</f>
        <v>0.40610000000000002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</row>
    <row r="31" spans="1:50" ht="15" customHeight="1">
      <c r="A31" s="19"/>
      <c r="B31" s="19"/>
      <c r="C31" s="19"/>
      <c r="D31" s="19"/>
      <c r="E31" s="18" t="s">
        <v>156</v>
      </c>
      <c r="F31" s="19"/>
      <c r="G31" s="18" t="str">
        <f>Inputs!G74</f>
        <v>%</v>
      </c>
      <c r="H31" s="19"/>
      <c r="I31" s="18">
        <f>Inputs!I74</f>
        <v>0.5</v>
      </c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</row>
    <row r="32" spans="1:50" ht="15" customHeight="1">
      <c r="A32" s="19"/>
      <c r="B32" s="19"/>
      <c r="C32" s="19"/>
      <c r="D32" s="19"/>
      <c r="E32" s="59"/>
      <c r="F32" s="19"/>
      <c r="G32" s="5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</row>
    <row r="33" spans="1:50" ht="15" customHeight="1">
      <c r="A33" s="19"/>
      <c r="B33" s="19"/>
      <c r="C33" s="19"/>
      <c r="D33" s="19"/>
      <c r="E33" s="18" t="s">
        <v>158</v>
      </c>
      <c r="F33" s="19"/>
      <c r="G33" s="18" t="str">
        <f>Inputs!G77</f>
        <v>%</v>
      </c>
      <c r="H33" s="19"/>
      <c r="I33" s="18">
        <f>Inputs!I77</f>
        <v>2.5000000000000001E-2</v>
      </c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</row>
    <row r="34" spans="1:50" ht="15" customHeight="1">
      <c r="A34" s="19"/>
      <c r="B34" s="19"/>
      <c r="C34" s="19"/>
      <c r="D34" s="19"/>
      <c r="E34" s="18" t="s">
        <v>157</v>
      </c>
      <c r="F34" s="19"/>
      <c r="G34" s="18" t="str">
        <f>Inputs!G76</f>
        <v>%</v>
      </c>
      <c r="H34" s="19"/>
      <c r="I34" s="18">
        <f>Inputs!I76</f>
        <v>0.05</v>
      </c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</row>
    <row r="35" spans="1:50" ht="15" customHeight="1">
      <c r="A35" s="19"/>
      <c r="B35" s="19"/>
      <c r="C35" s="19"/>
      <c r="D35" s="19"/>
      <c r="E35" s="18"/>
      <c r="F35" s="19"/>
      <c r="G35" s="18"/>
      <c r="H35" s="19"/>
      <c r="I35" s="18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</row>
    <row r="36" spans="1:50" ht="15" customHeight="1">
      <c r="A36" s="5"/>
      <c r="B36" s="5"/>
      <c r="C36" s="12" t="s">
        <v>212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</row>
    <row r="37" spans="1:50" ht="1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</row>
    <row r="38" spans="1:50" ht="15" customHeight="1">
      <c r="B38" s="5"/>
      <c r="C38" s="5"/>
      <c r="D38" s="5"/>
      <c r="E38" s="5" t="s">
        <v>213</v>
      </c>
      <c r="F38" s="5"/>
      <c r="G38" s="5" t="str">
        <f>Inputs!$I$11</f>
        <v>£m 2024 CPIH prices</v>
      </c>
      <c r="H38" s="5"/>
      <c r="I38" s="26"/>
      <c r="J38" s="6"/>
      <c r="K38" s="99">
        <f t="shared" ref="K38:AX38" si="3">J46</f>
        <v>0</v>
      </c>
      <c r="L38" s="99">
        <f t="shared" si="3"/>
        <v>0</v>
      </c>
      <c r="M38" s="99">
        <f t="shared" si="3"/>
        <v>0</v>
      </c>
      <c r="N38" s="99">
        <f t="shared" si="3"/>
        <v>0</v>
      </c>
      <c r="O38" s="99">
        <f t="shared" si="3"/>
        <v>0</v>
      </c>
      <c r="P38" s="99">
        <f t="shared" si="3"/>
        <v>0</v>
      </c>
      <c r="Q38" s="99">
        <f t="shared" si="3"/>
        <v>0</v>
      </c>
      <c r="R38" s="99">
        <f t="shared" si="3"/>
        <v>18.375726243097883</v>
      </c>
      <c r="S38" s="99">
        <f t="shared" si="3"/>
        <v>19.364340314976552</v>
      </c>
      <c r="T38" s="99">
        <f t="shared" si="3"/>
        <v>20.40614182392229</v>
      </c>
      <c r="U38" s="99">
        <f t="shared" si="3"/>
        <v>21.503992254049312</v>
      </c>
      <c r="V38" s="99">
        <f t="shared" si="3"/>
        <v>22.660907037317166</v>
      </c>
      <c r="W38" s="99">
        <f t="shared" si="3"/>
        <v>23.644669582220576</v>
      </c>
      <c r="X38" s="99">
        <f t="shared" si="3"/>
        <v>0</v>
      </c>
      <c r="Y38" s="99">
        <f t="shared" si="3"/>
        <v>0</v>
      </c>
      <c r="Z38" s="99">
        <f t="shared" si="3"/>
        <v>0</v>
      </c>
      <c r="AA38" s="99">
        <f t="shared" si="3"/>
        <v>0</v>
      </c>
      <c r="AB38" s="99">
        <f t="shared" si="3"/>
        <v>0</v>
      </c>
      <c r="AC38" s="99">
        <f t="shared" si="3"/>
        <v>0</v>
      </c>
      <c r="AD38" s="99">
        <f t="shared" si="3"/>
        <v>0</v>
      </c>
      <c r="AE38" s="99">
        <f t="shared" si="3"/>
        <v>0</v>
      </c>
      <c r="AF38" s="99">
        <f t="shared" si="3"/>
        <v>0</v>
      </c>
      <c r="AG38" s="99">
        <f t="shared" si="3"/>
        <v>0</v>
      </c>
      <c r="AH38" s="99">
        <f t="shared" si="3"/>
        <v>0</v>
      </c>
      <c r="AI38" s="99">
        <f t="shared" si="3"/>
        <v>0</v>
      </c>
      <c r="AJ38" s="99">
        <f t="shared" si="3"/>
        <v>0</v>
      </c>
      <c r="AK38" s="99">
        <f t="shared" si="3"/>
        <v>0</v>
      </c>
      <c r="AL38" s="99">
        <f t="shared" si="3"/>
        <v>0</v>
      </c>
      <c r="AM38" s="99">
        <f t="shared" si="3"/>
        <v>0</v>
      </c>
      <c r="AN38" s="99">
        <f t="shared" si="3"/>
        <v>0</v>
      </c>
      <c r="AO38" s="99">
        <f t="shared" si="3"/>
        <v>0</v>
      </c>
      <c r="AP38" s="99">
        <f t="shared" si="3"/>
        <v>0</v>
      </c>
      <c r="AQ38" s="99">
        <f t="shared" si="3"/>
        <v>0</v>
      </c>
      <c r="AR38" s="99">
        <f t="shared" si="3"/>
        <v>0</v>
      </c>
      <c r="AS38" s="99">
        <f t="shared" si="3"/>
        <v>0</v>
      </c>
      <c r="AT38" s="99">
        <f t="shared" si="3"/>
        <v>0</v>
      </c>
      <c r="AU38" s="99">
        <f t="shared" si="3"/>
        <v>0</v>
      </c>
      <c r="AV38" s="99">
        <f t="shared" si="3"/>
        <v>0</v>
      </c>
      <c r="AW38" s="99">
        <f t="shared" si="3"/>
        <v>0</v>
      </c>
      <c r="AX38" s="99">
        <f t="shared" si="3"/>
        <v>0</v>
      </c>
    </row>
    <row r="39" spans="1:50" ht="15" customHeight="1">
      <c r="B39" s="5"/>
      <c r="C39" s="5"/>
      <c r="D39" s="5"/>
      <c r="E39" s="5" t="s">
        <v>214</v>
      </c>
      <c r="F39" s="5"/>
      <c r="G39" s="5" t="str">
        <f>Inputs!$I$11</f>
        <v>£m 2024 CPIH prices</v>
      </c>
      <c r="H39" s="5"/>
      <c r="I39" s="26"/>
      <c r="J39" s="6"/>
      <c r="K39" s="45">
        <f>$I30*K$12*$I33*'Op Rav'!$K$11</f>
        <v>0</v>
      </c>
      <c r="L39" s="45">
        <f>$I30*L$12*$I33*'Op Rav'!$K$11</f>
        <v>0</v>
      </c>
      <c r="M39" s="45">
        <f>$I30*M$12*$I33*'Op Rav'!$K$11</f>
        <v>0</v>
      </c>
      <c r="N39" s="45">
        <f>$I30*N$12*$I33*'Op Rav'!$K$11</f>
        <v>0</v>
      </c>
      <c r="O39" s="45">
        <f>$I30*O$12*$I33*'Op Rav'!$K$11</f>
        <v>0</v>
      </c>
      <c r="P39" s="45">
        <f>$I30*P$12*$I33*'Op Rav'!$K$11</f>
        <v>0</v>
      </c>
      <c r="Q39" s="45">
        <f>$I30*Q$12*$I33*'Op Rav'!$K$11</f>
        <v>4.5623268009300961</v>
      </c>
      <c r="R39" s="45">
        <f>$I30*R$12*$I33*'Op Rav'!$K$11</f>
        <v>0</v>
      </c>
      <c r="S39" s="45">
        <f>$I30*S$12*$I33*'Op Rav'!$K$11</f>
        <v>0</v>
      </c>
      <c r="T39" s="45">
        <f>$I30*T$12*$I33*'Op Rav'!$K$11</f>
        <v>0</v>
      </c>
      <c r="U39" s="45">
        <f>$I30*U$12*$I33*'Op Rav'!$K$11</f>
        <v>0</v>
      </c>
      <c r="V39" s="45">
        <f>$I30*V$12*$I33*'Op Rav'!$K$11</f>
        <v>0</v>
      </c>
      <c r="W39" s="45">
        <f>$I30*W$12*$I33*'Op Rav'!$K$11</f>
        <v>0</v>
      </c>
      <c r="X39" s="45">
        <f>$I30*X$12*$I33*'Op Rav'!$K$11</f>
        <v>0</v>
      </c>
      <c r="Y39" s="45">
        <f>$I30*Y$12*$I33*'Op Rav'!$K$11</f>
        <v>0</v>
      </c>
      <c r="Z39" s="45">
        <f>$I30*Z$12*$I33*'Op Rav'!$K$11</f>
        <v>0</v>
      </c>
      <c r="AA39" s="45">
        <f>$I30*AA$12*$I33*'Op Rav'!$K$11</f>
        <v>0</v>
      </c>
      <c r="AB39" s="45">
        <f>$I30*AB$12*$I33*'Op Rav'!$K$11</f>
        <v>0</v>
      </c>
      <c r="AC39" s="45">
        <f>$I30*AC$12*$I33*'Op Rav'!$K$11</f>
        <v>0</v>
      </c>
      <c r="AD39" s="45">
        <f>$I30*AD$12*$I33*'Op Rav'!$K$11</f>
        <v>0</v>
      </c>
      <c r="AE39" s="45">
        <f>$I30*AE$12*$I33*'Op Rav'!$K$11</f>
        <v>0</v>
      </c>
      <c r="AF39" s="45">
        <f>$I30*AF$12*$I33*'Op Rav'!$K$11</f>
        <v>0</v>
      </c>
      <c r="AG39" s="45">
        <f>$I30*AG$12*$I33*'Op Rav'!$K$11</f>
        <v>0</v>
      </c>
      <c r="AH39" s="45">
        <f>$I30*AH$12*$I33*'Op Rav'!$K$11</f>
        <v>0</v>
      </c>
      <c r="AI39" s="45">
        <f>$I30*AI$12*$I33*'Op Rav'!$K$11</f>
        <v>0</v>
      </c>
      <c r="AJ39" s="45">
        <f>$I30*AJ$12*$I33*'Op Rav'!$K$11</f>
        <v>0</v>
      </c>
      <c r="AK39" s="45">
        <f>$I30*AK$12*$I33*'Op Rav'!$K$11</f>
        <v>0</v>
      </c>
      <c r="AL39" s="45">
        <f>$I30*AL$12*$I33*'Op Rav'!$K$11</f>
        <v>0</v>
      </c>
      <c r="AM39" s="45">
        <f>$I30*AM$12*$I33*'Op Rav'!$K$11</f>
        <v>0</v>
      </c>
      <c r="AN39" s="45">
        <f>$I30*AN$12*$I33*'Op Rav'!$K$11</f>
        <v>0</v>
      </c>
      <c r="AO39" s="45">
        <f>$I30*AO$12*$I33*'Op Rav'!$K$11</f>
        <v>0</v>
      </c>
      <c r="AP39" s="45">
        <f>$I30*AP$12*$I33*'Op Rav'!$K$11</f>
        <v>0</v>
      </c>
      <c r="AQ39" s="45">
        <f>$I30*AQ$12*$I33*'Op Rav'!$K$11</f>
        <v>0</v>
      </c>
      <c r="AR39" s="45">
        <f>$I30*AR$12*$I33*'Op Rav'!$K$11</f>
        <v>0</v>
      </c>
      <c r="AS39" s="45">
        <f>$I30*AS$12*$I33*'Op Rav'!$K$11</f>
        <v>0</v>
      </c>
      <c r="AT39" s="45">
        <f>$I30*AT$12*$I33*'Op Rav'!$K$11</f>
        <v>0</v>
      </c>
      <c r="AU39" s="45">
        <f>$I30*AU$12*$I33*'Op Rav'!$K$11</f>
        <v>0</v>
      </c>
      <c r="AV39" s="45">
        <f>$I30*AV$12*$I33*'Op Rav'!$K$11</f>
        <v>0</v>
      </c>
      <c r="AW39" s="45">
        <f>$I30*AW$12*$I33*'Op Rav'!$K$11</f>
        <v>0</v>
      </c>
      <c r="AX39" s="45">
        <f>$I30*AX$12*$I33*'Op Rav'!$K$11</f>
        <v>0</v>
      </c>
    </row>
    <row r="40" spans="1:50" ht="15" customHeight="1">
      <c r="B40" s="5"/>
      <c r="C40" s="5"/>
      <c r="D40" s="5"/>
      <c r="E40" s="5" t="s">
        <v>215</v>
      </c>
      <c r="F40" s="5"/>
      <c r="G40" s="5" t="str">
        <f>Inputs!$I$11</f>
        <v>£m 2024 CPIH prices</v>
      </c>
      <c r="H40" s="5"/>
      <c r="I40" s="26"/>
      <c r="J40" s="6"/>
      <c r="K40" s="45">
        <f>(1-$I30)*K$12*$I34*'Op Rav'!$K$11</f>
        <v>0</v>
      </c>
      <c r="L40" s="45">
        <f>(1-$I30)*L$12*$I34*'Op Rav'!$K$11</f>
        <v>0</v>
      </c>
      <c r="M40" s="45">
        <f>(1-$I30)*M$12*$I34*'Op Rav'!$K$11</f>
        <v>0</v>
      </c>
      <c r="N40" s="45">
        <f>(1-$I30)*N$12*$I34*'Op Rav'!$K$11</f>
        <v>0</v>
      </c>
      <c r="O40" s="45">
        <f>(1-$I30)*O$12*$I34*'Op Rav'!$K$11</f>
        <v>0</v>
      </c>
      <c r="P40" s="45">
        <f>(1-$I30)*P$12*$I34*'Op Rav'!$K$11</f>
        <v>0</v>
      </c>
      <c r="Q40" s="45">
        <f>(1-$I30)*Q$12*$I34*'Op Rav'!$K$11</f>
        <v>13.344328426852417</v>
      </c>
      <c r="R40" s="45">
        <f>(1-$I30)*R$12*$I34*'Op Rav'!$K$11</f>
        <v>0</v>
      </c>
      <c r="S40" s="45">
        <f>(1-$I30)*S$12*$I34*'Op Rav'!$K$11</f>
        <v>0</v>
      </c>
      <c r="T40" s="45">
        <f>(1-$I30)*T$12*$I34*'Op Rav'!$K$11</f>
        <v>0</v>
      </c>
      <c r="U40" s="45">
        <f>(1-$I30)*U$12*$I34*'Op Rav'!$K$11</f>
        <v>0</v>
      </c>
      <c r="V40" s="45">
        <f>(1-$I30)*V$12*$I34*'Op Rav'!$K$11</f>
        <v>0</v>
      </c>
      <c r="W40" s="45">
        <f>(1-$I30)*W$12*$I34*'Op Rav'!$K$11</f>
        <v>0</v>
      </c>
      <c r="X40" s="45">
        <f>(1-$I30)*X$12*$I34*'Op Rav'!$K$11</f>
        <v>0</v>
      </c>
      <c r="Y40" s="45">
        <f>(1-$I30)*Y$12*$I34*'Op Rav'!$K$11</f>
        <v>0</v>
      </c>
      <c r="Z40" s="45">
        <f>(1-$I30)*Z$12*$I34*'Op Rav'!$K$11</f>
        <v>0</v>
      </c>
      <c r="AA40" s="45">
        <f>(1-$I30)*AA$12*$I34*'Op Rav'!$K$11</f>
        <v>0</v>
      </c>
      <c r="AB40" s="45">
        <f>(1-$I30)*AB$12*$I34*'Op Rav'!$K$11</f>
        <v>0</v>
      </c>
      <c r="AC40" s="45">
        <f>(1-$I30)*AC$12*$I34*'Op Rav'!$K$11</f>
        <v>0</v>
      </c>
      <c r="AD40" s="45">
        <f>(1-$I30)*AD$12*$I34*'Op Rav'!$K$11</f>
        <v>0</v>
      </c>
      <c r="AE40" s="45">
        <f>(1-$I30)*AE$12*$I34*'Op Rav'!$K$11</f>
        <v>0</v>
      </c>
      <c r="AF40" s="45">
        <f>(1-$I30)*AF$12*$I34*'Op Rav'!$K$11</f>
        <v>0</v>
      </c>
      <c r="AG40" s="45">
        <f>(1-$I30)*AG$12*$I34*'Op Rav'!$K$11</f>
        <v>0</v>
      </c>
      <c r="AH40" s="45">
        <f>(1-$I30)*AH$12*$I34*'Op Rav'!$K$11</f>
        <v>0</v>
      </c>
      <c r="AI40" s="45">
        <f>(1-$I30)*AI$12*$I34*'Op Rav'!$K$11</f>
        <v>0</v>
      </c>
      <c r="AJ40" s="45">
        <f>(1-$I30)*AJ$12*$I34*'Op Rav'!$K$11</f>
        <v>0</v>
      </c>
      <c r="AK40" s="45">
        <f>(1-$I30)*AK$12*$I34*'Op Rav'!$K$11</f>
        <v>0</v>
      </c>
      <c r="AL40" s="45">
        <f>(1-$I30)*AL$12*$I34*'Op Rav'!$K$11</f>
        <v>0</v>
      </c>
      <c r="AM40" s="45">
        <f>(1-$I30)*AM$12*$I34*'Op Rav'!$K$11</f>
        <v>0</v>
      </c>
      <c r="AN40" s="45">
        <f>(1-$I30)*AN$12*$I34*'Op Rav'!$K$11</f>
        <v>0</v>
      </c>
      <c r="AO40" s="45">
        <f>(1-$I30)*AO$12*$I34*'Op Rav'!$K$11</f>
        <v>0</v>
      </c>
      <c r="AP40" s="45">
        <f>(1-$I30)*AP$12*$I34*'Op Rav'!$K$11</f>
        <v>0</v>
      </c>
      <c r="AQ40" s="45">
        <f>(1-$I30)*AQ$12*$I34*'Op Rav'!$K$11</f>
        <v>0</v>
      </c>
      <c r="AR40" s="45">
        <f>(1-$I30)*AR$12*$I34*'Op Rav'!$K$11</f>
        <v>0</v>
      </c>
      <c r="AS40" s="45">
        <f>(1-$I30)*AS$12*$I34*'Op Rav'!$K$11</f>
        <v>0</v>
      </c>
      <c r="AT40" s="45">
        <f>(1-$I30)*AT$12*$I34*'Op Rav'!$K$11</f>
        <v>0</v>
      </c>
      <c r="AU40" s="45">
        <f>(1-$I30)*AU$12*$I34*'Op Rav'!$K$11</f>
        <v>0</v>
      </c>
      <c r="AV40" s="45">
        <f>(1-$I30)*AV$12*$I34*'Op Rav'!$K$11</f>
        <v>0</v>
      </c>
      <c r="AW40" s="45">
        <f>(1-$I30)*AW$12*$I34*'Op Rav'!$K$11</f>
        <v>0</v>
      </c>
      <c r="AX40" s="45">
        <f>(1-$I30)*AX$12*$I34*'Op Rav'!$K$11</f>
        <v>0</v>
      </c>
    </row>
    <row r="41" spans="1:50" ht="15" customHeight="1">
      <c r="B41" s="5"/>
      <c r="C41" s="5"/>
      <c r="D41" s="5"/>
      <c r="E41" s="5" t="s">
        <v>216</v>
      </c>
      <c r="F41" s="5"/>
      <c r="G41" s="5" t="str">
        <f>Inputs!$I$11</f>
        <v>£m 2024 CPIH prices</v>
      </c>
      <c r="H41" s="5"/>
      <c r="I41" s="26"/>
      <c r="J41" s="6"/>
      <c r="K41" s="45">
        <f>($I31-$I30)*'Op Rav'!$K$11*$I33*K$11</f>
        <v>0</v>
      </c>
      <c r="L41" s="45">
        <f>($I31-$I30)*'Op Rav'!$K$11*$I33*L$11</f>
        <v>0</v>
      </c>
      <c r="M41" s="45">
        <f>($I31-$I30)*'Op Rav'!$K$11*$I33*M$11</f>
        <v>0</v>
      </c>
      <c r="N41" s="45">
        <f>($I31-$I30)*'Op Rav'!$K$11*$I33*N$11</f>
        <v>0</v>
      </c>
      <c r="O41" s="45">
        <f>($I31-$I30)*'Op Rav'!$K$11*$I33*O$11</f>
        <v>0</v>
      </c>
      <c r="P41" s="45">
        <f>($I31-$I30)*'Op Rav'!$K$11*$I33*P$11</f>
        <v>0</v>
      </c>
      <c r="Q41" s="45">
        <f>($I31-$I30)*'Op Rav'!$K$11*$I33*Q$11</f>
        <v>0</v>
      </c>
      <c r="R41" s="45">
        <f>($I31-$I30)*'Op Rav'!$K$11*$I33*R$11</f>
        <v>0</v>
      </c>
      <c r="S41" s="45">
        <f>($I31-$I30)*'Op Rav'!$K$11*$I33*S$11</f>
        <v>0</v>
      </c>
      <c r="T41" s="45">
        <f>($I31-$I30)*'Op Rav'!$K$11*$I33*T$11</f>
        <v>0</v>
      </c>
      <c r="U41" s="45">
        <f>($I31-$I30)*'Op Rav'!$K$11*$I33*U$11</f>
        <v>0</v>
      </c>
      <c r="V41" s="45">
        <f>($I31-$I30)*'Op Rav'!$K$11*$I33*V$11</f>
        <v>0</v>
      </c>
      <c r="W41" s="45">
        <f>($I31-$I30)*'Op Rav'!$K$11*$I33*W$11</f>
        <v>1.0549187062480569</v>
      </c>
      <c r="X41" s="45">
        <f>($I31-$I30)*'Op Rav'!$K$11*$I33*X$11</f>
        <v>0</v>
      </c>
      <c r="Y41" s="45">
        <f>($I31-$I30)*'Op Rav'!$K$11*$I33*Y$11</f>
        <v>0</v>
      </c>
      <c r="Z41" s="45">
        <f>($I31-$I30)*'Op Rav'!$K$11*$I33*Z$11</f>
        <v>0</v>
      </c>
      <c r="AA41" s="45">
        <f>($I31-$I30)*'Op Rav'!$K$11*$I33*AA$11</f>
        <v>0</v>
      </c>
      <c r="AB41" s="45">
        <f>($I31-$I30)*'Op Rav'!$K$11*$I33*AB$11</f>
        <v>0</v>
      </c>
      <c r="AC41" s="45">
        <f>($I31-$I30)*'Op Rav'!$K$11*$I33*AC$11</f>
        <v>0</v>
      </c>
      <c r="AD41" s="45">
        <f>($I31-$I30)*'Op Rav'!$K$11*$I33*AD$11</f>
        <v>0</v>
      </c>
      <c r="AE41" s="45">
        <f>($I31-$I30)*'Op Rav'!$K$11*$I33*AE$11</f>
        <v>0</v>
      </c>
      <c r="AF41" s="45">
        <f>($I31-$I30)*'Op Rav'!$K$11*$I33*AF$11</f>
        <v>0</v>
      </c>
      <c r="AG41" s="45">
        <f>($I31-$I30)*'Op Rav'!$K$11*$I33*AG$11</f>
        <v>0</v>
      </c>
      <c r="AH41" s="45">
        <f>($I31-$I30)*'Op Rav'!$K$11*$I33*AH$11</f>
        <v>0</v>
      </c>
      <c r="AI41" s="45">
        <f>($I31-$I30)*'Op Rav'!$K$11*$I33*AI$11</f>
        <v>0</v>
      </c>
      <c r="AJ41" s="45">
        <f>($I31-$I30)*'Op Rav'!$K$11*$I33*AJ$11</f>
        <v>0</v>
      </c>
      <c r="AK41" s="45">
        <f>($I31-$I30)*'Op Rav'!$K$11*$I33*AK$11</f>
        <v>0</v>
      </c>
      <c r="AL41" s="45">
        <f>($I31-$I30)*'Op Rav'!$K$11*$I33*AL$11</f>
        <v>0</v>
      </c>
      <c r="AM41" s="45">
        <f>($I31-$I30)*'Op Rav'!$K$11*$I33*AM$11</f>
        <v>0</v>
      </c>
      <c r="AN41" s="45">
        <f>($I31-$I30)*'Op Rav'!$K$11*$I33*AN$11</f>
        <v>0</v>
      </c>
      <c r="AO41" s="45">
        <f>($I31-$I30)*'Op Rav'!$K$11*$I33*AO$11</f>
        <v>0</v>
      </c>
      <c r="AP41" s="45">
        <f>($I31-$I30)*'Op Rav'!$K$11*$I33*AP$11</f>
        <v>0</v>
      </c>
      <c r="AQ41" s="45">
        <f>($I31-$I30)*'Op Rav'!$K$11*$I33*AQ$11</f>
        <v>0</v>
      </c>
      <c r="AR41" s="45">
        <f>($I31-$I30)*'Op Rav'!$K$11*$I33*AR$11</f>
        <v>0</v>
      </c>
      <c r="AS41" s="45">
        <f>($I31-$I30)*'Op Rav'!$K$11*$I33*AS$11</f>
        <v>0</v>
      </c>
      <c r="AT41" s="45">
        <f>($I31-$I30)*'Op Rav'!$K$11*$I33*AT$11</f>
        <v>0</v>
      </c>
      <c r="AU41" s="45">
        <f>($I31-$I30)*'Op Rav'!$K$11*$I33*AU$11</f>
        <v>0</v>
      </c>
      <c r="AV41" s="45">
        <f>($I31-$I30)*'Op Rav'!$K$11*$I33*AV$11</f>
        <v>0</v>
      </c>
      <c r="AW41" s="45">
        <f>($I31-$I30)*'Op Rav'!$K$11*$I33*AW$11</f>
        <v>0</v>
      </c>
      <c r="AX41" s="45">
        <f>($I31-$I30)*'Op Rav'!$K$11*$I33*AX$11</f>
        <v>0</v>
      </c>
    </row>
    <row r="42" spans="1:50" ht="15" customHeight="1">
      <c r="B42" s="5"/>
      <c r="C42" s="5"/>
      <c r="D42" s="5"/>
      <c r="E42" s="5" t="s">
        <v>217</v>
      </c>
      <c r="F42" s="5"/>
      <c r="G42" s="5" t="str">
        <f>Inputs!$I$11</f>
        <v>£m 2024 CPIH prices</v>
      </c>
      <c r="H42" s="5"/>
      <c r="I42" s="26"/>
      <c r="J42" s="6"/>
      <c r="K42" s="45">
        <f>($I30-$I31)*'Op Rav'!$K$11*$I34*K$11</f>
        <v>0</v>
      </c>
      <c r="L42" s="45">
        <f>($I30-$I31)*'Op Rav'!$K$11*$I34*L$11</f>
        <v>0</v>
      </c>
      <c r="M42" s="45">
        <f>($I30-$I31)*'Op Rav'!$K$11*$I34*M$11</f>
        <v>0</v>
      </c>
      <c r="N42" s="45">
        <f>($I30-$I31)*'Op Rav'!$K$11*$I34*N$11</f>
        <v>0</v>
      </c>
      <c r="O42" s="45">
        <f>($I30-$I31)*'Op Rav'!$K$11*$I34*O$11</f>
        <v>0</v>
      </c>
      <c r="P42" s="45">
        <f>($I30-$I31)*'Op Rav'!$K$11*$I34*P$11</f>
        <v>0</v>
      </c>
      <c r="Q42" s="45">
        <f>($I30-$I31)*'Op Rav'!$K$11*$I34*Q$11</f>
        <v>0</v>
      </c>
      <c r="R42" s="45">
        <f>($I30-$I31)*'Op Rav'!$K$11*$I34*R$11</f>
        <v>0</v>
      </c>
      <c r="S42" s="45">
        <f>($I30-$I31)*'Op Rav'!$K$11*$I34*S$11</f>
        <v>0</v>
      </c>
      <c r="T42" s="45">
        <f>($I30-$I31)*'Op Rav'!$K$11*$I34*T$11</f>
        <v>0</v>
      </c>
      <c r="U42" s="45">
        <f>($I30-$I31)*'Op Rav'!$K$11*$I34*U$11</f>
        <v>0</v>
      </c>
      <c r="V42" s="45">
        <f>($I30-$I31)*'Op Rav'!$K$11*$I34*V$11</f>
        <v>0</v>
      </c>
      <c r="W42" s="45">
        <f>($I30-$I31)*'Op Rav'!$K$11*$I34*W$11</f>
        <v>-2.1098374124961139</v>
      </c>
      <c r="X42" s="45">
        <f>($I30-$I31)*'Op Rav'!$K$11*$I34*X$11</f>
        <v>0</v>
      </c>
      <c r="Y42" s="45">
        <f>($I30-$I31)*'Op Rav'!$K$11*$I34*Y$11</f>
        <v>0</v>
      </c>
      <c r="Z42" s="45">
        <f>($I30-$I31)*'Op Rav'!$K$11*$I34*Z$11</f>
        <v>0</v>
      </c>
      <c r="AA42" s="45">
        <f>($I30-$I31)*'Op Rav'!$K$11*$I34*AA$11</f>
        <v>0</v>
      </c>
      <c r="AB42" s="45">
        <f>($I30-$I31)*'Op Rav'!$K$11*$I34*AB$11</f>
        <v>0</v>
      </c>
      <c r="AC42" s="45">
        <f>($I30-$I31)*'Op Rav'!$K$11*$I34*AC$11</f>
        <v>0</v>
      </c>
      <c r="AD42" s="45">
        <f>($I30-$I31)*'Op Rav'!$K$11*$I34*AD$11</f>
        <v>0</v>
      </c>
      <c r="AE42" s="45">
        <f>($I30-$I31)*'Op Rav'!$K$11*$I34*AE$11</f>
        <v>0</v>
      </c>
      <c r="AF42" s="45">
        <f>($I30-$I31)*'Op Rav'!$K$11*$I34*AF$11</f>
        <v>0</v>
      </c>
      <c r="AG42" s="45">
        <f>($I30-$I31)*'Op Rav'!$K$11*$I34*AG$11</f>
        <v>0</v>
      </c>
      <c r="AH42" s="45">
        <f>($I30-$I31)*'Op Rav'!$K$11*$I34*AH$11</f>
        <v>0</v>
      </c>
      <c r="AI42" s="45">
        <f>($I30-$I31)*'Op Rav'!$K$11*$I34*AI$11</f>
        <v>0</v>
      </c>
      <c r="AJ42" s="45">
        <f>($I30-$I31)*'Op Rav'!$K$11*$I34*AJ$11</f>
        <v>0</v>
      </c>
      <c r="AK42" s="45">
        <f>($I30-$I31)*'Op Rav'!$K$11*$I34*AK$11</f>
        <v>0</v>
      </c>
      <c r="AL42" s="45">
        <f>($I30-$I31)*'Op Rav'!$K$11*$I34*AL$11</f>
        <v>0</v>
      </c>
      <c r="AM42" s="45">
        <f>($I30-$I31)*'Op Rav'!$K$11*$I34*AM$11</f>
        <v>0</v>
      </c>
      <c r="AN42" s="45">
        <f>($I30-$I31)*'Op Rav'!$K$11*$I34*AN$11</f>
        <v>0</v>
      </c>
      <c r="AO42" s="45">
        <f>($I30-$I31)*'Op Rav'!$K$11*$I34*AO$11</f>
        <v>0</v>
      </c>
      <c r="AP42" s="45">
        <f>($I30-$I31)*'Op Rav'!$K$11*$I34*AP$11</f>
        <v>0</v>
      </c>
      <c r="AQ42" s="45">
        <f>($I30-$I31)*'Op Rav'!$K$11*$I34*AQ$11</f>
        <v>0</v>
      </c>
      <c r="AR42" s="45">
        <f>($I30-$I31)*'Op Rav'!$K$11*$I34*AR$11</f>
        <v>0</v>
      </c>
      <c r="AS42" s="45">
        <f>($I30-$I31)*'Op Rav'!$K$11*$I34*AS$11</f>
        <v>0</v>
      </c>
      <c r="AT42" s="45">
        <f>($I30-$I31)*'Op Rav'!$K$11*$I34*AT$11</f>
        <v>0</v>
      </c>
      <c r="AU42" s="45">
        <f>($I30-$I31)*'Op Rav'!$K$11*$I34*AU$11</f>
        <v>0</v>
      </c>
      <c r="AV42" s="45">
        <f>($I30-$I31)*'Op Rav'!$K$11*$I34*AV$11</f>
        <v>0</v>
      </c>
      <c r="AW42" s="45">
        <f>($I30-$I31)*'Op Rav'!$K$11*$I34*AW$11</f>
        <v>0</v>
      </c>
      <c r="AX42" s="45">
        <f>($I30-$I31)*'Op Rav'!$K$11*$I34*AX$11</f>
        <v>0</v>
      </c>
    </row>
    <row r="43" spans="1:50" ht="15" customHeight="1">
      <c r="B43" s="5"/>
      <c r="C43" s="5"/>
      <c r="D43" s="5"/>
      <c r="E43" s="5" t="s">
        <v>218</v>
      </c>
      <c r="F43" s="5"/>
      <c r="G43" s="5" t="str">
        <f>Inputs!$I$11</f>
        <v>£m 2024 CPIH prices</v>
      </c>
      <c r="H43" s="5"/>
      <c r="I43" s="26"/>
      <c r="J43" s="6"/>
      <c r="K43" s="9">
        <f t="shared" ref="K43:AX43" si="4">SUM(K39:K42)</f>
        <v>0</v>
      </c>
      <c r="L43" s="9">
        <f t="shared" si="4"/>
        <v>0</v>
      </c>
      <c r="M43" s="9">
        <f t="shared" si="4"/>
        <v>0</v>
      </c>
      <c r="N43" s="9">
        <f t="shared" si="4"/>
        <v>0</v>
      </c>
      <c r="O43" s="9">
        <f t="shared" si="4"/>
        <v>0</v>
      </c>
      <c r="P43" s="9">
        <f t="shared" si="4"/>
        <v>0</v>
      </c>
      <c r="Q43" s="9">
        <f t="shared" si="4"/>
        <v>17.906655227782515</v>
      </c>
      <c r="R43" s="9">
        <f t="shared" si="4"/>
        <v>0</v>
      </c>
      <c r="S43" s="9">
        <f t="shared" si="4"/>
        <v>0</v>
      </c>
      <c r="T43" s="9">
        <f t="shared" si="4"/>
        <v>0</v>
      </c>
      <c r="U43" s="9">
        <f t="shared" si="4"/>
        <v>0</v>
      </c>
      <c r="V43" s="9">
        <f t="shared" si="4"/>
        <v>0</v>
      </c>
      <c r="W43" s="9">
        <f t="shared" si="4"/>
        <v>-1.0549187062480569</v>
      </c>
      <c r="X43" s="9">
        <f t="shared" si="4"/>
        <v>0</v>
      </c>
      <c r="Y43" s="9">
        <f t="shared" si="4"/>
        <v>0</v>
      </c>
      <c r="Z43" s="9">
        <f t="shared" si="4"/>
        <v>0</v>
      </c>
      <c r="AA43" s="9">
        <f t="shared" si="4"/>
        <v>0</v>
      </c>
      <c r="AB43" s="9">
        <f t="shared" si="4"/>
        <v>0</v>
      </c>
      <c r="AC43" s="9">
        <f t="shared" si="4"/>
        <v>0</v>
      </c>
      <c r="AD43" s="9">
        <f t="shared" si="4"/>
        <v>0</v>
      </c>
      <c r="AE43" s="9">
        <f t="shared" si="4"/>
        <v>0</v>
      </c>
      <c r="AF43" s="9">
        <f t="shared" si="4"/>
        <v>0</v>
      </c>
      <c r="AG43" s="9">
        <f t="shared" si="4"/>
        <v>0</v>
      </c>
      <c r="AH43" s="9">
        <f t="shared" si="4"/>
        <v>0</v>
      </c>
      <c r="AI43" s="9">
        <f t="shared" si="4"/>
        <v>0</v>
      </c>
      <c r="AJ43" s="9">
        <f t="shared" si="4"/>
        <v>0</v>
      </c>
      <c r="AK43" s="9">
        <f t="shared" si="4"/>
        <v>0</v>
      </c>
      <c r="AL43" s="9">
        <f t="shared" si="4"/>
        <v>0</v>
      </c>
      <c r="AM43" s="9">
        <f t="shared" si="4"/>
        <v>0</v>
      </c>
      <c r="AN43" s="9">
        <f t="shared" si="4"/>
        <v>0</v>
      </c>
      <c r="AO43" s="9">
        <f t="shared" si="4"/>
        <v>0</v>
      </c>
      <c r="AP43" s="9">
        <f t="shared" si="4"/>
        <v>0</v>
      </c>
      <c r="AQ43" s="9">
        <f t="shared" si="4"/>
        <v>0</v>
      </c>
      <c r="AR43" s="9">
        <f t="shared" si="4"/>
        <v>0</v>
      </c>
      <c r="AS43" s="9">
        <f t="shared" si="4"/>
        <v>0</v>
      </c>
      <c r="AT43" s="9">
        <f t="shared" si="4"/>
        <v>0</v>
      </c>
      <c r="AU43" s="9">
        <f t="shared" si="4"/>
        <v>0</v>
      </c>
      <c r="AV43" s="9">
        <f t="shared" si="4"/>
        <v>0</v>
      </c>
      <c r="AW43" s="9">
        <f t="shared" si="4"/>
        <v>0</v>
      </c>
      <c r="AX43" s="9">
        <f t="shared" si="4"/>
        <v>0</v>
      </c>
    </row>
    <row r="44" spans="1:50" ht="15" customHeight="1">
      <c r="B44" s="5"/>
      <c r="C44" s="5"/>
      <c r="D44" s="5"/>
      <c r="E44" s="18" t="s">
        <v>219</v>
      </c>
      <c r="F44" s="5"/>
      <c r="G44" s="5" t="str">
        <f>Inputs!$I$11</f>
        <v>£m 2024 CPIH prices</v>
      </c>
      <c r="H44" s="5"/>
      <c r="I44" s="26"/>
      <c r="J44" s="6"/>
      <c r="K44" s="204">
        <f t="shared" ref="K44:AX44" si="5">((1+$I18)^K8-1)*(K38+(K39+K40+K41+K42)/(2+$I18))</f>
        <v>0</v>
      </c>
      <c r="L44" s="204">
        <f t="shared" si="5"/>
        <v>0</v>
      </c>
      <c r="M44" s="204">
        <f t="shared" si="5"/>
        <v>0</v>
      </c>
      <c r="N44" s="204">
        <f t="shared" si="5"/>
        <v>0</v>
      </c>
      <c r="O44" s="204">
        <f t="shared" si="5"/>
        <v>0</v>
      </c>
      <c r="P44" s="204">
        <f t="shared" si="5"/>
        <v>0</v>
      </c>
      <c r="Q44" s="204">
        <f t="shared" si="5"/>
        <v>0.46907101531536699</v>
      </c>
      <c r="R44" s="204">
        <f t="shared" si="5"/>
        <v>0.98861407187866746</v>
      </c>
      <c r="S44" s="204">
        <f t="shared" si="5"/>
        <v>1.0418015089457398</v>
      </c>
      <c r="T44" s="204">
        <f t="shared" si="5"/>
        <v>1.0978504301270207</v>
      </c>
      <c r="U44" s="204">
        <f t="shared" si="5"/>
        <v>1.1569147832678546</v>
      </c>
      <c r="V44" s="204">
        <f t="shared" si="5"/>
        <v>0.9837625449034102</v>
      </c>
      <c r="W44" s="204">
        <f t="shared" si="5"/>
        <v>0</v>
      </c>
      <c r="X44" s="204">
        <f t="shared" si="5"/>
        <v>0</v>
      </c>
      <c r="Y44" s="204">
        <f t="shared" si="5"/>
        <v>0</v>
      </c>
      <c r="Z44" s="204">
        <f t="shared" si="5"/>
        <v>0</v>
      </c>
      <c r="AA44" s="204">
        <f t="shared" si="5"/>
        <v>0</v>
      </c>
      <c r="AB44" s="204">
        <f t="shared" si="5"/>
        <v>0</v>
      </c>
      <c r="AC44" s="204">
        <f t="shared" si="5"/>
        <v>0</v>
      </c>
      <c r="AD44" s="204">
        <f t="shared" si="5"/>
        <v>0</v>
      </c>
      <c r="AE44" s="204">
        <f t="shared" si="5"/>
        <v>0</v>
      </c>
      <c r="AF44" s="204">
        <f t="shared" si="5"/>
        <v>0</v>
      </c>
      <c r="AG44" s="204">
        <f t="shared" si="5"/>
        <v>0</v>
      </c>
      <c r="AH44" s="204">
        <f t="shared" si="5"/>
        <v>0</v>
      </c>
      <c r="AI44" s="204">
        <f t="shared" si="5"/>
        <v>0</v>
      </c>
      <c r="AJ44" s="204">
        <f t="shared" si="5"/>
        <v>0</v>
      </c>
      <c r="AK44" s="204">
        <f t="shared" si="5"/>
        <v>0</v>
      </c>
      <c r="AL44" s="204">
        <f t="shared" si="5"/>
        <v>0</v>
      </c>
      <c r="AM44" s="204">
        <f t="shared" si="5"/>
        <v>0</v>
      </c>
      <c r="AN44" s="204">
        <f t="shared" si="5"/>
        <v>0</v>
      </c>
      <c r="AO44" s="204">
        <f t="shared" si="5"/>
        <v>0</v>
      </c>
      <c r="AP44" s="204">
        <f t="shared" si="5"/>
        <v>0</v>
      </c>
      <c r="AQ44" s="204">
        <f t="shared" si="5"/>
        <v>0</v>
      </c>
      <c r="AR44" s="204">
        <f t="shared" si="5"/>
        <v>0</v>
      </c>
      <c r="AS44" s="204">
        <f t="shared" si="5"/>
        <v>0</v>
      </c>
      <c r="AT44" s="204">
        <f t="shared" si="5"/>
        <v>0</v>
      </c>
      <c r="AU44" s="204">
        <f t="shared" si="5"/>
        <v>0</v>
      </c>
      <c r="AV44" s="204">
        <f t="shared" si="5"/>
        <v>0</v>
      </c>
      <c r="AW44" s="204">
        <f t="shared" si="5"/>
        <v>0</v>
      </c>
      <c r="AX44" s="204">
        <f t="shared" si="5"/>
        <v>0</v>
      </c>
    </row>
    <row r="45" spans="1:50" ht="15" customHeight="1">
      <c r="B45" s="5"/>
      <c r="C45" s="5"/>
      <c r="D45" s="5"/>
      <c r="E45" s="18" t="s">
        <v>220</v>
      </c>
      <c r="F45" s="5"/>
      <c r="G45" s="5" t="str">
        <f>Inputs!$I$11</f>
        <v>£m 2024 CPIH prices</v>
      </c>
      <c r="H45" s="5"/>
      <c r="I45" s="26"/>
      <c r="J45" s="6"/>
      <c r="K45" s="45">
        <f t="shared" ref="K45:AX45" si="6">-SUM(K38,K43,K44)*K$11</f>
        <v>0</v>
      </c>
      <c r="L45" s="45">
        <f t="shared" si="6"/>
        <v>0</v>
      </c>
      <c r="M45" s="45">
        <f t="shared" si="6"/>
        <v>0</v>
      </c>
      <c r="N45" s="45">
        <f t="shared" si="6"/>
        <v>0</v>
      </c>
      <c r="O45" s="45">
        <f t="shared" si="6"/>
        <v>0</v>
      </c>
      <c r="P45" s="45">
        <f t="shared" si="6"/>
        <v>0</v>
      </c>
      <c r="Q45" s="45">
        <f t="shared" si="6"/>
        <v>0</v>
      </c>
      <c r="R45" s="45">
        <f t="shared" si="6"/>
        <v>0</v>
      </c>
      <c r="S45" s="45">
        <f t="shared" si="6"/>
        <v>0</v>
      </c>
      <c r="T45" s="45">
        <f t="shared" si="6"/>
        <v>0</v>
      </c>
      <c r="U45" s="45">
        <f t="shared" si="6"/>
        <v>0</v>
      </c>
      <c r="V45" s="45">
        <f t="shared" si="6"/>
        <v>0</v>
      </c>
      <c r="W45" s="45">
        <f t="shared" si="6"/>
        <v>-22.58975087597252</v>
      </c>
      <c r="X45" s="45">
        <f t="shared" si="6"/>
        <v>0</v>
      </c>
      <c r="Y45" s="45">
        <f t="shared" si="6"/>
        <v>0</v>
      </c>
      <c r="Z45" s="45">
        <f t="shared" si="6"/>
        <v>0</v>
      </c>
      <c r="AA45" s="45">
        <f t="shared" si="6"/>
        <v>0</v>
      </c>
      <c r="AB45" s="45">
        <f t="shared" si="6"/>
        <v>0</v>
      </c>
      <c r="AC45" s="45">
        <f t="shared" si="6"/>
        <v>0</v>
      </c>
      <c r="AD45" s="45">
        <f t="shared" si="6"/>
        <v>0</v>
      </c>
      <c r="AE45" s="45">
        <f t="shared" si="6"/>
        <v>0</v>
      </c>
      <c r="AF45" s="45">
        <f t="shared" si="6"/>
        <v>0</v>
      </c>
      <c r="AG45" s="45">
        <f t="shared" si="6"/>
        <v>0</v>
      </c>
      <c r="AH45" s="45">
        <f t="shared" si="6"/>
        <v>0</v>
      </c>
      <c r="AI45" s="45">
        <f t="shared" si="6"/>
        <v>0</v>
      </c>
      <c r="AJ45" s="45">
        <f t="shared" si="6"/>
        <v>0</v>
      </c>
      <c r="AK45" s="45">
        <f t="shared" si="6"/>
        <v>0</v>
      </c>
      <c r="AL45" s="45">
        <f t="shared" si="6"/>
        <v>0</v>
      </c>
      <c r="AM45" s="45">
        <f t="shared" si="6"/>
        <v>0</v>
      </c>
      <c r="AN45" s="45">
        <f t="shared" si="6"/>
        <v>0</v>
      </c>
      <c r="AO45" s="45">
        <f t="shared" si="6"/>
        <v>0</v>
      </c>
      <c r="AP45" s="45">
        <f t="shared" si="6"/>
        <v>0</v>
      </c>
      <c r="AQ45" s="45">
        <f t="shared" si="6"/>
        <v>0</v>
      </c>
      <c r="AR45" s="45">
        <f t="shared" si="6"/>
        <v>0</v>
      </c>
      <c r="AS45" s="45">
        <f t="shared" si="6"/>
        <v>0</v>
      </c>
      <c r="AT45" s="45">
        <f t="shared" si="6"/>
        <v>0</v>
      </c>
      <c r="AU45" s="45">
        <f t="shared" si="6"/>
        <v>0</v>
      </c>
      <c r="AV45" s="45">
        <f t="shared" si="6"/>
        <v>0</v>
      </c>
      <c r="AW45" s="45">
        <f t="shared" si="6"/>
        <v>0</v>
      </c>
      <c r="AX45" s="45">
        <f t="shared" si="6"/>
        <v>0</v>
      </c>
    </row>
    <row r="46" spans="1:50" ht="15" customHeight="1">
      <c r="B46" s="5"/>
      <c r="C46" s="5"/>
      <c r="D46" s="5"/>
      <c r="E46" s="5" t="s">
        <v>221</v>
      </c>
      <c r="F46" s="5"/>
      <c r="G46" s="5" t="str">
        <f>Inputs!$I$11</f>
        <v>£m 2024 CPIH prices</v>
      </c>
      <c r="H46" s="5"/>
      <c r="I46" s="26"/>
      <c r="J46" s="6"/>
      <c r="K46" s="115">
        <f t="shared" ref="K46:AX46" si="7">SUM(K45,K44,K43,K38)</f>
        <v>0</v>
      </c>
      <c r="L46" s="115">
        <f t="shared" si="7"/>
        <v>0</v>
      </c>
      <c r="M46" s="115">
        <f t="shared" si="7"/>
        <v>0</v>
      </c>
      <c r="N46" s="115">
        <f t="shared" si="7"/>
        <v>0</v>
      </c>
      <c r="O46" s="115">
        <f t="shared" si="7"/>
        <v>0</v>
      </c>
      <c r="P46" s="115">
        <f t="shared" si="7"/>
        <v>0</v>
      </c>
      <c r="Q46" s="115">
        <f t="shared" si="7"/>
        <v>18.375726243097883</v>
      </c>
      <c r="R46" s="115">
        <f t="shared" si="7"/>
        <v>19.364340314976552</v>
      </c>
      <c r="S46" s="115">
        <f t="shared" si="7"/>
        <v>20.40614182392229</v>
      </c>
      <c r="T46" s="115">
        <f t="shared" si="7"/>
        <v>21.503992254049312</v>
      </c>
      <c r="U46" s="115">
        <f t="shared" si="7"/>
        <v>22.660907037317166</v>
      </c>
      <c r="V46" s="115">
        <f t="shared" si="7"/>
        <v>23.644669582220576</v>
      </c>
      <c r="W46" s="115">
        <f t="shared" si="7"/>
        <v>0</v>
      </c>
      <c r="X46" s="115">
        <f t="shared" si="7"/>
        <v>0</v>
      </c>
      <c r="Y46" s="115">
        <f t="shared" si="7"/>
        <v>0</v>
      </c>
      <c r="Z46" s="115">
        <f t="shared" si="7"/>
        <v>0</v>
      </c>
      <c r="AA46" s="115">
        <f t="shared" si="7"/>
        <v>0</v>
      </c>
      <c r="AB46" s="115">
        <f t="shared" si="7"/>
        <v>0</v>
      </c>
      <c r="AC46" s="115">
        <f t="shared" si="7"/>
        <v>0</v>
      </c>
      <c r="AD46" s="115">
        <f t="shared" si="7"/>
        <v>0</v>
      </c>
      <c r="AE46" s="115">
        <f t="shared" si="7"/>
        <v>0</v>
      </c>
      <c r="AF46" s="115">
        <f t="shared" si="7"/>
        <v>0</v>
      </c>
      <c r="AG46" s="115">
        <f t="shared" si="7"/>
        <v>0</v>
      </c>
      <c r="AH46" s="115">
        <f t="shared" si="7"/>
        <v>0</v>
      </c>
      <c r="AI46" s="115">
        <f t="shared" si="7"/>
        <v>0</v>
      </c>
      <c r="AJ46" s="115">
        <f t="shared" si="7"/>
        <v>0</v>
      </c>
      <c r="AK46" s="115">
        <f t="shared" si="7"/>
        <v>0</v>
      </c>
      <c r="AL46" s="115">
        <f t="shared" si="7"/>
        <v>0</v>
      </c>
      <c r="AM46" s="115">
        <f t="shared" si="7"/>
        <v>0</v>
      </c>
      <c r="AN46" s="115">
        <f t="shared" si="7"/>
        <v>0</v>
      </c>
      <c r="AO46" s="115">
        <f t="shared" si="7"/>
        <v>0</v>
      </c>
      <c r="AP46" s="115">
        <f t="shared" si="7"/>
        <v>0</v>
      </c>
      <c r="AQ46" s="115">
        <f t="shared" si="7"/>
        <v>0</v>
      </c>
      <c r="AR46" s="115">
        <f t="shared" si="7"/>
        <v>0</v>
      </c>
      <c r="AS46" s="115">
        <f t="shared" si="7"/>
        <v>0</v>
      </c>
      <c r="AT46" s="115">
        <f t="shared" si="7"/>
        <v>0</v>
      </c>
      <c r="AU46" s="115">
        <f t="shared" si="7"/>
        <v>0</v>
      </c>
      <c r="AV46" s="115">
        <f t="shared" si="7"/>
        <v>0</v>
      </c>
      <c r="AW46" s="115">
        <f t="shared" si="7"/>
        <v>0</v>
      </c>
      <c r="AX46" s="115">
        <f t="shared" si="7"/>
        <v>0</v>
      </c>
    </row>
    <row r="47" spans="1:50" ht="15" customHeight="1">
      <c r="B47" s="5"/>
      <c r="C47" s="5"/>
      <c r="D47" s="5"/>
      <c r="E47" s="5"/>
      <c r="F47" s="5"/>
      <c r="G47" s="5"/>
      <c r="H47" s="5"/>
      <c r="I47" s="26"/>
      <c r="J47" s="6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</row>
    <row r="48" spans="1:50" ht="15" customHeight="1">
      <c r="A48" s="5"/>
      <c r="B48" s="126" t="s">
        <v>45</v>
      </c>
      <c r="C48" s="58"/>
      <c r="D48" s="58"/>
      <c r="E48" s="58"/>
      <c r="F48" s="58"/>
      <c r="G48" s="58"/>
      <c r="H48" s="58"/>
      <c r="I48" s="87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</row>
    <row r="49" ht="15" customHeight="1"/>
  </sheetData>
  <pageMargins left="0.23622047244094491" right="0.23622047244094491" top="0.74803149606299213" bottom="0.74803149606299213" header="0.31496062992125978" footer="0.31496062992125978"/>
  <pageSetup paperSize="8" scale="43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>
    <tabColor theme="7" tint="0.59999389629810485"/>
    <pageSetUpPr fitToPage="1"/>
  </sheetPr>
  <dimension ref="A1:AY44"/>
  <sheetViews>
    <sheetView zoomScaleNormal="100" workbookViewId="0">
      <pane xSplit="10" ySplit="3" topLeftCell="K4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baseColWidth="10" defaultColWidth="0" defaultRowHeight="15" customHeight="1" zeroHeight="1"/>
  <cols>
    <col min="1" max="4" width="2.59765625" style="4" customWidth="1"/>
    <col min="5" max="5" width="50.59765625" style="4" customWidth="1"/>
    <col min="6" max="6" width="1.59765625" style="4" customWidth="1"/>
    <col min="7" max="7" width="15.59765625" style="4" customWidth="1"/>
    <col min="8" max="8" width="10.796875" style="4" bestFit="1" customWidth="1"/>
    <col min="9" max="9" width="10.59765625" style="35" customWidth="1"/>
    <col min="10" max="10" width="1.59765625" style="4" customWidth="1"/>
    <col min="11" max="35" width="10.59765625" style="4" customWidth="1"/>
    <col min="36" max="36" width="3" customWidth="1"/>
    <col min="37" max="50" width="10.59765625" hidden="1" customWidth="1"/>
    <col min="51" max="51" width="2.59765625" hidden="1" customWidth="1"/>
    <col min="52" max="54" width="9" hidden="1" customWidth="1"/>
    <col min="55" max="16384" width="9" hidden="1"/>
  </cols>
  <sheetData>
    <row r="1" spans="1:35" ht="14.5" customHeight="1">
      <c r="A1" s="172" t="s">
        <v>29</v>
      </c>
      <c r="B1" s="14"/>
      <c r="C1" s="14"/>
      <c r="D1" s="14"/>
      <c r="E1" s="14"/>
      <c r="F1" s="14"/>
      <c r="G1" s="14"/>
      <c r="H1" s="14" t="s">
        <v>84</v>
      </c>
      <c r="I1" s="2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4"/>
      <c r="AH1" s="14"/>
      <c r="AI1" s="14"/>
    </row>
    <row r="2" spans="1:35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24" t="s">
        <v>88</v>
      </c>
      <c r="J2" s="17"/>
      <c r="K2" s="16" t="s">
        <v>89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</row>
    <row r="3" spans="1:35" ht="15" customHeight="1">
      <c r="A3" s="14"/>
      <c r="B3" s="14"/>
      <c r="C3" s="14"/>
      <c r="D3" s="14"/>
      <c r="E3" s="17" t="s">
        <v>222</v>
      </c>
      <c r="F3" s="16"/>
      <c r="G3" s="16"/>
      <c r="H3" s="16"/>
      <c r="I3" s="24"/>
      <c r="J3" s="17"/>
      <c r="K3" s="125" t="s">
        <v>116</v>
      </c>
      <c r="L3" s="125" t="s">
        <v>117</v>
      </c>
      <c r="M3" s="125" t="s">
        <v>118</v>
      </c>
      <c r="N3" s="125" t="s">
        <v>119</v>
      </c>
      <c r="O3" s="125" t="s">
        <v>120</v>
      </c>
      <c r="P3" s="125" t="s">
        <v>121</v>
      </c>
      <c r="Q3" s="125" t="s">
        <v>122</v>
      </c>
      <c r="R3" s="125" t="s">
        <v>123</v>
      </c>
      <c r="S3" s="125" t="s">
        <v>124</v>
      </c>
      <c r="T3" s="125" t="s">
        <v>125</v>
      </c>
      <c r="U3" s="125" t="s">
        <v>126</v>
      </c>
      <c r="V3" s="125" t="s">
        <v>127</v>
      </c>
      <c r="W3" s="125" t="s">
        <v>128</v>
      </c>
      <c r="X3" s="125" t="s">
        <v>129</v>
      </c>
      <c r="Y3" s="125" t="s">
        <v>130</v>
      </c>
      <c r="Z3" s="125" t="s">
        <v>131</v>
      </c>
      <c r="AA3" s="125" t="s">
        <v>132</v>
      </c>
      <c r="AB3" s="125" t="s">
        <v>133</v>
      </c>
      <c r="AC3" s="125" t="s">
        <v>134</v>
      </c>
      <c r="AD3" s="125" t="s">
        <v>135</v>
      </c>
      <c r="AE3" s="125" t="s">
        <v>136</v>
      </c>
      <c r="AF3" s="125" t="s">
        <v>137</v>
      </c>
      <c r="AG3" s="125" t="s">
        <v>138</v>
      </c>
      <c r="AH3" s="125" t="s">
        <v>139</v>
      </c>
      <c r="AI3" s="125" t="s">
        <v>140</v>
      </c>
    </row>
    <row r="4" spans="1:35" ht="15" customHeight="1">
      <c r="A4" s="5"/>
      <c r="B4" s="5"/>
      <c r="C4" s="5"/>
      <c r="D4" s="5"/>
      <c r="E4" s="5"/>
      <c r="F4" s="5"/>
      <c r="G4" s="5"/>
      <c r="H4" s="5"/>
      <c r="I4" s="26"/>
      <c r="J4" s="6"/>
      <c r="K4" s="6"/>
      <c r="L4" s="6"/>
      <c r="M4" s="6"/>
      <c r="N4" s="6"/>
      <c r="O4" s="6"/>
      <c r="P4" s="6"/>
      <c r="Q4" s="6"/>
      <c r="R4" s="6"/>
      <c r="S4" s="5"/>
      <c r="T4" s="5"/>
      <c r="U4" s="5"/>
      <c r="V4" s="5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5" ht="15" customHeight="1">
      <c r="A5" s="5"/>
      <c r="B5" s="126" t="s">
        <v>201</v>
      </c>
      <c r="C5" s="13"/>
      <c r="D5" s="13"/>
      <c r="E5" s="13"/>
      <c r="F5" s="13"/>
      <c r="G5" s="13"/>
      <c r="H5" s="13"/>
      <c r="I5" s="27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</row>
    <row r="6" spans="1:35" ht="15" customHeight="1">
      <c r="A6" s="5"/>
      <c r="B6" s="5"/>
      <c r="C6" s="5"/>
      <c r="D6" s="5"/>
      <c r="E6" s="5"/>
      <c r="F6" s="5"/>
      <c r="G6" s="5"/>
      <c r="H6" s="5"/>
      <c r="I6" s="26"/>
      <c r="J6" s="6"/>
      <c r="K6" s="6"/>
      <c r="L6" s="6"/>
      <c r="M6" s="6"/>
      <c r="N6" s="6"/>
      <c r="O6" s="6"/>
      <c r="P6" s="6"/>
      <c r="Q6" s="6"/>
      <c r="R6" s="6"/>
      <c r="S6" s="5"/>
      <c r="T6" s="5"/>
      <c r="U6" s="5"/>
      <c r="V6" s="5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</row>
    <row r="7" spans="1:35" ht="15" customHeight="1">
      <c r="A7" s="5"/>
      <c r="B7" s="5"/>
      <c r="C7" s="12" t="s">
        <v>223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1:35" ht="15" customHeight="1">
      <c r="A8" s="5"/>
      <c r="B8" s="5"/>
      <c r="C8" s="5"/>
      <c r="D8" s="5"/>
      <c r="E8" s="5"/>
      <c r="F8" s="5"/>
      <c r="G8" s="5"/>
      <c r="H8" s="5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</row>
    <row r="9" spans="1:35" ht="15" customHeight="1">
      <c r="B9" s="5"/>
      <c r="C9" s="5"/>
      <c r="D9" s="5"/>
      <c r="E9" s="6" t="s">
        <v>224</v>
      </c>
      <c r="F9" s="5"/>
      <c r="G9" s="5" t="str">
        <f>Inputs!$I$11</f>
        <v>£m 2024 CPIH prices</v>
      </c>
      <c r="H9" s="5"/>
      <c r="I9" s="26"/>
      <c r="J9" s="26"/>
      <c r="K9" s="5">
        <f t="shared" ref="K9:AI9" si="0">J15</f>
        <v>0</v>
      </c>
      <c r="L9" s="5">
        <f t="shared" si="0"/>
        <v>453.09061579221571</v>
      </c>
      <c r="M9" s="5">
        <f t="shared" si="0"/>
        <v>434.21184013420674</v>
      </c>
      <c r="N9" s="5">
        <f t="shared" si="0"/>
        <v>415.33306447619776</v>
      </c>
      <c r="O9" s="5">
        <f t="shared" si="0"/>
        <v>396.45428881818879</v>
      </c>
      <c r="P9" s="5">
        <f t="shared" si="0"/>
        <v>377.57551316017981</v>
      </c>
      <c r="Q9" s="5">
        <f t="shared" si="0"/>
        <v>358.69673750217083</v>
      </c>
      <c r="R9" s="5">
        <f t="shared" si="0"/>
        <v>342.79094334867239</v>
      </c>
      <c r="S9" s="5">
        <f t="shared" si="0"/>
        <v>327.88338956183912</v>
      </c>
      <c r="T9" s="5">
        <f t="shared" si="0"/>
        <v>308.59613135231916</v>
      </c>
      <c r="U9" s="5">
        <f t="shared" si="0"/>
        <v>290.67801296498118</v>
      </c>
      <c r="V9" s="5">
        <f t="shared" si="0"/>
        <v>271.29947876731575</v>
      </c>
      <c r="W9" s="5">
        <f t="shared" si="0"/>
        <v>252.75671334546436</v>
      </c>
      <c r="X9" s="5">
        <f t="shared" si="0"/>
        <v>234.7213245128726</v>
      </c>
      <c r="Y9" s="5">
        <f t="shared" si="0"/>
        <v>219.90917980141165</v>
      </c>
      <c r="Z9" s="5">
        <f t="shared" si="0"/>
        <v>199.9174361831015</v>
      </c>
      <c r="AA9" s="5">
        <f t="shared" si="0"/>
        <v>179.92569256479135</v>
      </c>
      <c r="AB9" s="5">
        <f t="shared" si="0"/>
        <v>188.3924906916406</v>
      </c>
      <c r="AC9" s="5">
        <f t="shared" si="0"/>
        <v>164.84342935518552</v>
      </c>
      <c r="AD9" s="5">
        <f t="shared" si="0"/>
        <v>141.29436801873044</v>
      </c>
      <c r="AE9" s="5">
        <f t="shared" si="0"/>
        <v>119.11444650445738</v>
      </c>
      <c r="AF9" s="5">
        <f t="shared" si="0"/>
        <v>98.264538708076401</v>
      </c>
      <c r="AG9" s="5">
        <f t="shared" si="0"/>
        <v>73.698404031057294</v>
      </c>
      <c r="AH9" s="5">
        <f t="shared" si="0"/>
        <v>49.132269354038201</v>
      </c>
      <c r="AI9" s="5">
        <f t="shared" si="0"/>
        <v>24.5661346770191</v>
      </c>
    </row>
    <row r="10" spans="1:35" ht="15" customHeight="1">
      <c r="B10" s="5"/>
      <c r="C10" s="5"/>
      <c r="D10" s="5"/>
      <c r="E10" s="6" t="s">
        <v>225</v>
      </c>
      <c r="F10" s="5"/>
      <c r="G10" s="5" t="str">
        <f>Inputs!$I$11</f>
        <v>£m 2024 CPIH prices</v>
      </c>
      <c r="H10" s="5"/>
      <c r="I10" s="26"/>
      <c r="J10" s="26"/>
      <c r="K10" s="116">
        <f>-SUM(Finance!K45:AX45)</f>
        <v>22.58975087597252</v>
      </c>
      <c r="L10" s="73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</row>
    <row r="11" spans="1:35" ht="15" customHeight="1">
      <c r="B11" s="5"/>
      <c r="C11" s="5"/>
      <c r="D11" s="5"/>
      <c r="E11" s="6" t="s">
        <v>226</v>
      </c>
      <c r="F11" s="5"/>
      <c r="G11" s="5" t="str">
        <f>Inputs!$I$11</f>
        <v>£m 2024 CPIH prices</v>
      </c>
      <c r="H11" s="5"/>
      <c r="I11" s="26"/>
      <c r="J11" s="26"/>
      <c r="K11" s="116">
        <f>-SUM('Pre Op RAV'!K23:AX23)</f>
        <v>449.37964057425216</v>
      </c>
      <c r="L11" s="74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</row>
    <row r="12" spans="1:35" ht="15" customHeight="1">
      <c r="B12" s="5"/>
      <c r="C12" s="5"/>
      <c r="D12" s="5"/>
      <c r="E12" s="6" t="s">
        <v>227</v>
      </c>
      <c r="F12" s="5"/>
      <c r="G12" s="5" t="str">
        <f>Inputs!$I$11</f>
        <v>£m 2024 CPIH prices</v>
      </c>
      <c r="H12" s="5"/>
      <c r="I12" s="26"/>
      <c r="J12" s="26"/>
      <c r="K12" s="65">
        <f t="shared" ref="K12:AI12" si="1">SUM(K9:K11)</f>
        <v>471.96939145022469</v>
      </c>
      <c r="L12" s="65">
        <f t="shared" si="1"/>
        <v>453.09061579221571</v>
      </c>
      <c r="M12" s="65">
        <f t="shared" si="1"/>
        <v>434.21184013420674</v>
      </c>
      <c r="N12" s="65">
        <f t="shared" si="1"/>
        <v>415.33306447619776</v>
      </c>
      <c r="O12" s="65">
        <f t="shared" si="1"/>
        <v>396.45428881818879</v>
      </c>
      <c r="P12" s="65">
        <f t="shared" si="1"/>
        <v>377.57551316017981</v>
      </c>
      <c r="Q12" s="65">
        <f t="shared" si="1"/>
        <v>358.69673750217083</v>
      </c>
      <c r="R12" s="65">
        <f t="shared" si="1"/>
        <v>342.79094334867239</v>
      </c>
      <c r="S12" s="65">
        <f t="shared" si="1"/>
        <v>327.88338956183912</v>
      </c>
      <c r="T12" s="65">
        <f t="shared" si="1"/>
        <v>308.59613135231916</v>
      </c>
      <c r="U12" s="65">
        <f t="shared" si="1"/>
        <v>290.67801296498118</v>
      </c>
      <c r="V12" s="65">
        <f t="shared" si="1"/>
        <v>271.29947876731575</v>
      </c>
      <c r="W12" s="65">
        <f t="shared" si="1"/>
        <v>252.75671334546436</v>
      </c>
      <c r="X12" s="65">
        <f t="shared" si="1"/>
        <v>234.7213245128726</v>
      </c>
      <c r="Y12" s="65">
        <f t="shared" si="1"/>
        <v>219.90917980141165</v>
      </c>
      <c r="Z12" s="65">
        <f t="shared" si="1"/>
        <v>199.9174361831015</v>
      </c>
      <c r="AA12" s="65">
        <f t="shared" si="1"/>
        <v>179.92569256479135</v>
      </c>
      <c r="AB12" s="65">
        <f t="shared" si="1"/>
        <v>188.3924906916406</v>
      </c>
      <c r="AC12" s="65">
        <f t="shared" si="1"/>
        <v>164.84342935518552</v>
      </c>
      <c r="AD12" s="65">
        <f t="shared" si="1"/>
        <v>141.29436801873044</v>
      </c>
      <c r="AE12" s="65">
        <f t="shared" si="1"/>
        <v>119.11444650445738</v>
      </c>
      <c r="AF12" s="65">
        <f t="shared" si="1"/>
        <v>98.264538708076401</v>
      </c>
      <c r="AG12" s="65">
        <f t="shared" si="1"/>
        <v>73.698404031057294</v>
      </c>
      <c r="AH12" s="65">
        <f t="shared" si="1"/>
        <v>49.132269354038201</v>
      </c>
      <c r="AI12" s="65">
        <f t="shared" si="1"/>
        <v>24.5661346770191</v>
      </c>
    </row>
    <row r="13" spans="1:35" ht="15" customHeight="1">
      <c r="B13" s="5"/>
      <c r="C13" s="5"/>
      <c r="D13" s="5"/>
      <c r="E13" s="6" t="s">
        <v>141</v>
      </c>
      <c r="F13" s="5"/>
      <c r="G13" s="5" t="str">
        <f>Inputs!$I$11</f>
        <v>£m 2024 CPIH prices</v>
      </c>
      <c r="H13" s="5"/>
      <c r="I13" s="26"/>
      <c r="J13" s="26"/>
      <c r="K13" s="185">
        <f>Inputs!K59</f>
        <v>0</v>
      </c>
      <c r="L13" s="185">
        <f>Inputs!L59</f>
        <v>0</v>
      </c>
      <c r="M13" s="185">
        <f>Inputs!M59</f>
        <v>0</v>
      </c>
      <c r="N13" s="185">
        <f>Inputs!N59</f>
        <v>0</v>
      </c>
      <c r="O13" s="185">
        <f>Inputs!O59</f>
        <v>0</v>
      </c>
      <c r="P13" s="185">
        <f>Inputs!P59</f>
        <v>0</v>
      </c>
      <c r="Q13" s="185">
        <f>Inputs!Q59</f>
        <v>2.9729815045105061</v>
      </c>
      <c r="R13" s="185">
        <f>Inputs!R59</f>
        <v>4.1363875103152434</v>
      </c>
      <c r="S13" s="185">
        <f>Inputs!S59</f>
        <v>0</v>
      </c>
      <c r="T13" s="185">
        <f>Inputs!T59</f>
        <v>1.3691398221820026</v>
      </c>
      <c r="U13" s="185">
        <f>Inputs!U59</f>
        <v>0</v>
      </c>
      <c r="V13" s="185">
        <f>Inputs!V59</f>
        <v>0.83576877581404474</v>
      </c>
      <c r="W13" s="185">
        <f>Inputs!W59</f>
        <v>1.4074352709054931</v>
      </c>
      <c r="X13" s="185">
        <f>Inputs!X59</f>
        <v>4.7479656646117609</v>
      </c>
      <c r="Y13" s="185">
        <f>Inputs!Y59</f>
        <v>0</v>
      </c>
      <c r="Z13" s="185">
        <f>Inputs!Z59</f>
        <v>0</v>
      </c>
      <c r="AA13" s="185">
        <f>Inputs!AA59</f>
        <v>28.458541745159415</v>
      </c>
      <c r="AB13" s="185">
        <f>Inputs!AB59</f>
        <v>0</v>
      </c>
      <c r="AC13" s="185">
        <f>Inputs!AC59</f>
        <v>0</v>
      </c>
      <c r="AD13" s="185">
        <f>Inputs!AD59</f>
        <v>1.3691398221820026</v>
      </c>
      <c r="AE13" s="185">
        <f>Inputs!AE59</f>
        <v>2.9729815045105061</v>
      </c>
      <c r="AF13" s="185">
        <f>Inputs!AF59</f>
        <v>0</v>
      </c>
      <c r="AG13" s="185">
        <f>Inputs!AG59</f>
        <v>0</v>
      </c>
      <c r="AH13" s="185">
        <f>Inputs!AH59</f>
        <v>0</v>
      </c>
      <c r="AI13" s="185">
        <f>Inputs!AI59</f>
        <v>0</v>
      </c>
    </row>
    <row r="14" spans="1:35" ht="15" customHeight="1">
      <c r="B14" s="5"/>
      <c r="C14" s="5"/>
      <c r="D14" s="5"/>
      <c r="E14" s="6" t="s">
        <v>228</v>
      </c>
      <c r="F14" s="5"/>
      <c r="G14" s="5" t="str">
        <f>Inputs!$I$11</f>
        <v>£m 2024 CPIH prices</v>
      </c>
      <c r="H14" s="5"/>
      <c r="I14" s="26"/>
      <c r="J14" s="26"/>
      <c r="K14" s="5">
        <f t="shared" ref="K14:AI14" si="2">- K25</f>
        <v>-18.878775658008987</v>
      </c>
      <c r="L14" s="5">
        <f t="shared" si="2"/>
        <v>-18.878775658008987</v>
      </c>
      <c r="M14" s="5">
        <f t="shared" si="2"/>
        <v>-18.878775658008987</v>
      </c>
      <c r="N14" s="5">
        <f t="shared" si="2"/>
        <v>-18.87877565800899</v>
      </c>
      <c r="O14" s="5">
        <f t="shared" si="2"/>
        <v>-18.87877565800899</v>
      </c>
      <c r="P14" s="5">
        <f t="shared" si="2"/>
        <v>-18.87877565800899</v>
      </c>
      <c r="Q14" s="5">
        <f t="shared" si="2"/>
        <v>-18.87877565800899</v>
      </c>
      <c r="R14" s="5">
        <f t="shared" si="2"/>
        <v>-19.043941297148464</v>
      </c>
      <c r="S14" s="5">
        <f t="shared" si="2"/>
        <v>-19.287258209519948</v>
      </c>
      <c r="T14" s="5">
        <f t="shared" si="2"/>
        <v>-19.287258209519948</v>
      </c>
      <c r="U14" s="5">
        <f t="shared" si="2"/>
        <v>-19.378534197665413</v>
      </c>
      <c r="V14" s="5">
        <f t="shared" si="2"/>
        <v>-19.37853419766541</v>
      </c>
      <c r="W14" s="5">
        <f t="shared" si="2"/>
        <v>-19.442824103497259</v>
      </c>
      <c r="X14" s="5">
        <f t="shared" si="2"/>
        <v>-19.560110376072718</v>
      </c>
      <c r="Y14" s="5">
        <f t="shared" si="2"/>
        <v>-19.991743618310149</v>
      </c>
      <c r="Z14" s="5">
        <f t="shared" si="2"/>
        <v>-19.991743618310149</v>
      </c>
      <c r="AA14" s="5">
        <f t="shared" si="2"/>
        <v>-19.991743618310149</v>
      </c>
      <c r="AB14" s="5">
        <f t="shared" si="2"/>
        <v>-23.549061336455075</v>
      </c>
      <c r="AC14" s="5">
        <f t="shared" si="2"/>
        <v>-23.549061336455075</v>
      </c>
      <c r="AD14" s="5">
        <f t="shared" si="2"/>
        <v>-23.549061336455072</v>
      </c>
      <c r="AE14" s="5">
        <f t="shared" si="2"/>
        <v>-23.822889300891475</v>
      </c>
      <c r="AF14" s="5">
        <f t="shared" si="2"/>
        <v>-24.5661346770191</v>
      </c>
      <c r="AG14" s="5">
        <f t="shared" si="2"/>
        <v>-24.566134677019097</v>
      </c>
      <c r="AH14" s="5">
        <f t="shared" si="2"/>
        <v>-24.5661346770191</v>
      </c>
      <c r="AI14" s="5">
        <f t="shared" si="2"/>
        <v>-24.5661346770191</v>
      </c>
    </row>
    <row r="15" spans="1:35" ht="15" customHeight="1">
      <c r="B15" s="5"/>
      <c r="C15" s="5"/>
      <c r="D15" s="5"/>
      <c r="E15" s="6" t="s">
        <v>229</v>
      </c>
      <c r="F15" s="5"/>
      <c r="G15" s="5" t="str">
        <f>Inputs!$I$11</f>
        <v>£m 2024 CPIH prices</v>
      </c>
      <c r="H15" s="5"/>
      <c r="I15" s="26"/>
      <c r="J15" s="26"/>
      <c r="K15" s="8">
        <f t="shared" ref="K15:AI15" si="3">SUM(K12:K14)</f>
        <v>453.09061579221571</v>
      </c>
      <c r="L15" s="8">
        <f t="shared" si="3"/>
        <v>434.21184013420674</v>
      </c>
      <c r="M15" s="8">
        <f t="shared" si="3"/>
        <v>415.33306447619776</v>
      </c>
      <c r="N15" s="8">
        <f t="shared" si="3"/>
        <v>396.45428881818879</v>
      </c>
      <c r="O15" s="8">
        <f t="shared" si="3"/>
        <v>377.57551316017981</v>
      </c>
      <c r="P15" s="8">
        <f t="shared" si="3"/>
        <v>358.69673750217083</v>
      </c>
      <c r="Q15" s="8">
        <f t="shared" si="3"/>
        <v>342.79094334867239</v>
      </c>
      <c r="R15" s="8">
        <f t="shared" si="3"/>
        <v>327.88338956183912</v>
      </c>
      <c r="S15" s="8">
        <f t="shared" si="3"/>
        <v>308.59613135231916</v>
      </c>
      <c r="T15" s="8">
        <f t="shared" si="3"/>
        <v>290.67801296498118</v>
      </c>
      <c r="U15" s="8">
        <f t="shared" si="3"/>
        <v>271.29947876731575</v>
      </c>
      <c r="V15" s="8">
        <f t="shared" si="3"/>
        <v>252.75671334546436</v>
      </c>
      <c r="W15" s="8">
        <f t="shared" si="3"/>
        <v>234.7213245128726</v>
      </c>
      <c r="X15" s="8">
        <f t="shared" si="3"/>
        <v>219.90917980141165</v>
      </c>
      <c r="Y15" s="8">
        <f t="shared" si="3"/>
        <v>199.9174361831015</v>
      </c>
      <c r="Z15" s="8">
        <f t="shared" si="3"/>
        <v>179.92569256479135</v>
      </c>
      <c r="AA15" s="8">
        <f t="shared" si="3"/>
        <v>188.3924906916406</v>
      </c>
      <c r="AB15" s="8">
        <f t="shared" si="3"/>
        <v>164.84342935518552</v>
      </c>
      <c r="AC15" s="8">
        <f t="shared" si="3"/>
        <v>141.29436801873044</v>
      </c>
      <c r="AD15" s="8">
        <f t="shared" si="3"/>
        <v>119.11444650445738</v>
      </c>
      <c r="AE15" s="8">
        <f t="shared" si="3"/>
        <v>98.264538708076401</v>
      </c>
      <c r="AF15" s="8">
        <f t="shared" si="3"/>
        <v>73.698404031057294</v>
      </c>
      <c r="AG15" s="8">
        <f t="shared" si="3"/>
        <v>49.132269354038201</v>
      </c>
      <c r="AH15" s="8">
        <f t="shared" si="3"/>
        <v>24.5661346770191</v>
      </c>
      <c r="AI15" s="8">
        <f t="shared" si="3"/>
        <v>0</v>
      </c>
    </row>
    <row r="16" spans="1:35" ht="15" customHeight="1">
      <c r="B16" s="5"/>
      <c r="C16" s="5"/>
      <c r="D16" s="5"/>
      <c r="E16" s="5"/>
      <c r="F16" s="5"/>
      <c r="G16" s="5"/>
      <c r="H16" s="5"/>
      <c r="I16" s="26"/>
      <c r="J16" s="26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</row>
    <row r="17" spans="2:35" ht="15" customHeight="1">
      <c r="B17" s="5"/>
      <c r="C17" s="5"/>
      <c r="D17" s="5"/>
      <c r="E17" s="5" t="s">
        <v>230</v>
      </c>
      <c r="F17" s="5"/>
      <c r="G17" s="5" t="str">
        <f>Inputs!$I$11</f>
        <v>£m 2024 CPIH prices</v>
      </c>
      <c r="H17" s="5"/>
      <c r="I17" s="26"/>
      <c r="J17" s="26"/>
      <c r="K17" s="72">
        <f t="shared" ref="K17:AI17" si="4">AVERAGE(K12, K15)</f>
        <v>462.5300036212202</v>
      </c>
      <c r="L17" s="72">
        <f t="shared" si="4"/>
        <v>443.65122796321123</v>
      </c>
      <c r="M17" s="72">
        <f t="shared" si="4"/>
        <v>424.77245230520225</v>
      </c>
      <c r="N17" s="72">
        <f t="shared" si="4"/>
        <v>405.89367664719327</v>
      </c>
      <c r="O17" s="72">
        <f t="shared" si="4"/>
        <v>387.0149009891843</v>
      </c>
      <c r="P17" s="72">
        <f t="shared" si="4"/>
        <v>368.13612533117532</v>
      </c>
      <c r="Q17" s="72">
        <f t="shared" si="4"/>
        <v>350.74384042542158</v>
      </c>
      <c r="R17" s="72">
        <f t="shared" si="4"/>
        <v>335.33716645525578</v>
      </c>
      <c r="S17" s="72">
        <f t="shared" si="4"/>
        <v>318.23976045707911</v>
      </c>
      <c r="T17" s="72">
        <f t="shared" si="4"/>
        <v>299.6370721586502</v>
      </c>
      <c r="U17" s="72">
        <f t="shared" si="4"/>
        <v>280.98874586614846</v>
      </c>
      <c r="V17" s="72">
        <f t="shared" si="4"/>
        <v>262.02809605639004</v>
      </c>
      <c r="W17" s="72">
        <f t="shared" si="4"/>
        <v>243.73901892916848</v>
      </c>
      <c r="X17" s="72">
        <f t="shared" si="4"/>
        <v>227.31525215714214</v>
      </c>
      <c r="Y17" s="72">
        <f t="shared" si="4"/>
        <v>209.91330799225659</v>
      </c>
      <c r="Z17" s="72">
        <f t="shared" si="4"/>
        <v>189.92156437394641</v>
      </c>
      <c r="AA17" s="72">
        <f t="shared" si="4"/>
        <v>184.15909162821598</v>
      </c>
      <c r="AB17" s="72">
        <f t="shared" si="4"/>
        <v>176.61796002341305</v>
      </c>
      <c r="AC17" s="72">
        <f t="shared" si="4"/>
        <v>153.06889868695799</v>
      </c>
      <c r="AD17" s="72">
        <f t="shared" si="4"/>
        <v>130.2044072615939</v>
      </c>
      <c r="AE17" s="72">
        <f t="shared" si="4"/>
        <v>108.6894926062669</v>
      </c>
      <c r="AF17" s="72">
        <f t="shared" si="4"/>
        <v>85.981471369566847</v>
      </c>
      <c r="AG17" s="72">
        <f t="shared" si="4"/>
        <v>61.415336692547747</v>
      </c>
      <c r="AH17" s="72">
        <f t="shared" si="4"/>
        <v>36.849202015528647</v>
      </c>
      <c r="AI17" s="72">
        <f t="shared" si="4"/>
        <v>12.28306733850955</v>
      </c>
    </row>
    <row r="18" spans="2:35" ht="15" customHeight="1">
      <c r="B18" s="5"/>
      <c r="C18" s="5"/>
      <c r="D18" s="5"/>
      <c r="E18" s="5"/>
      <c r="F18" s="5"/>
      <c r="G18" s="5"/>
      <c r="H18" s="5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</row>
    <row r="19" spans="2:35" ht="15" customHeight="1">
      <c r="B19" s="126" t="s">
        <v>231</v>
      </c>
      <c r="C19" s="58"/>
      <c r="D19" s="58"/>
      <c r="E19" s="58"/>
      <c r="F19" s="58"/>
      <c r="G19" s="58"/>
      <c r="H19" s="58"/>
      <c r="I19" s="87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</row>
    <row r="20" spans="2:35" ht="15" customHeight="1">
      <c r="B20" s="5"/>
      <c r="C20" s="5"/>
      <c r="D20" s="5"/>
      <c r="E20" s="5"/>
      <c r="F20" s="5"/>
      <c r="G20" s="5"/>
      <c r="H20" s="5"/>
      <c r="I20" s="26"/>
      <c r="J20" s="6"/>
      <c r="K20" s="6"/>
      <c r="L20" s="6"/>
      <c r="M20" s="6"/>
      <c r="N20" s="6"/>
      <c r="O20" s="6"/>
      <c r="P20" s="6"/>
      <c r="Q20" s="6"/>
      <c r="R20" s="6"/>
      <c r="S20" s="5"/>
      <c r="T20" s="5"/>
      <c r="U20" s="5"/>
      <c r="V20" s="5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</row>
    <row r="21" spans="2:35" ht="15" customHeight="1">
      <c r="B21" s="5"/>
      <c r="C21" s="5"/>
      <c r="D21" s="5"/>
      <c r="E21" s="6" t="s">
        <v>167</v>
      </c>
      <c r="F21" s="5"/>
      <c r="G21" s="6" t="s">
        <v>168</v>
      </c>
      <c r="H21" s="5"/>
      <c r="I21" s="117">
        <f>Inputs!I89</f>
        <v>25</v>
      </c>
      <c r="J21" s="6"/>
      <c r="K21" s="6"/>
      <c r="L21" s="6"/>
      <c r="M21" s="6"/>
      <c r="N21" s="6"/>
      <c r="O21" s="6"/>
      <c r="P21" s="6"/>
      <c r="Q21" s="6"/>
      <c r="R21" s="6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</row>
    <row r="22" spans="2:35" ht="15" customHeight="1">
      <c r="B22" s="5"/>
      <c r="C22" s="5"/>
      <c r="D22" s="5"/>
      <c r="E22" s="5" t="s">
        <v>232</v>
      </c>
      <c r="F22" s="5"/>
      <c r="G22" s="6" t="s">
        <v>168</v>
      </c>
      <c r="H22" s="5"/>
      <c r="I22" s="26"/>
      <c r="J22" s="6"/>
      <c r="K22" s="22">
        <f>I21</f>
        <v>25</v>
      </c>
      <c r="L22" s="22">
        <f t="shared" ref="L22:AI22" si="5">+K22-1</f>
        <v>24</v>
      </c>
      <c r="M22" s="22">
        <f t="shared" si="5"/>
        <v>23</v>
      </c>
      <c r="N22" s="22">
        <f t="shared" si="5"/>
        <v>22</v>
      </c>
      <c r="O22" s="22">
        <f t="shared" si="5"/>
        <v>21</v>
      </c>
      <c r="P22" s="22">
        <f t="shared" si="5"/>
        <v>20</v>
      </c>
      <c r="Q22" s="22">
        <f t="shared" si="5"/>
        <v>19</v>
      </c>
      <c r="R22" s="22">
        <f t="shared" si="5"/>
        <v>18</v>
      </c>
      <c r="S22" s="22">
        <f t="shared" si="5"/>
        <v>17</v>
      </c>
      <c r="T22" s="22">
        <f t="shared" si="5"/>
        <v>16</v>
      </c>
      <c r="U22" s="22">
        <f t="shared" si="5"/>
        <v>15</v>
      </c>
      <c r="V22" s="22">
        <f t="shared" si="5"/>
        <v>14</v>
      </c>
      <c r="W22" s="22">
        <f t="shared" si="5"/>
        <v>13</v>
      </c>
      <c r="X22" s="22">
        <f t="shared" si="5"/>
        <v>12</v>
      </c>
      <c r="Y22" s="22">
        <f t="shared" si="5"/>
        <v>11</v>
      </c>
      <c r="Z22" s="22">
        <f t="shared" si="5"/>
        <v>10</v>
      </c>
      <c r="AA22" s="22">
        <f t="shared" si="5"/>
        <v>9</v>
      </c>
      <c r="AB22" s="22">
        <f t="shared" si="5"/>
        <v>8</v>
      </c>
      <c r="AC22" s="22">
        <f t="shared" si="5"/>
        <v>7</v>
      </c>
      <c r="AD22" s="22">
        <f t="shared" si="5"/>
        <v>6</v>
      </c>
      <c r="AE22" s="22">
        <f t="shared" si="5"/>
        <v>5</v>
      </c>
      <c r="AF22" s="22">
        <f t="shared" si="5"/>
        <v>4</v>
      </c>
      <c r="AG22" s="22">
        <f t="shared" si="5"/>
        <v>3</v>
      </c>
      <c r="AH22" s="22">
        <f t="shared" si="5"/>
        <v>2</v>
      </c>
      <c r="AI22" s="22">
        <f t="shared" si="5"/>
        <v>1</v>
      </c>
    </row>
    <row r="23" spans="2:35" ht="15" customHeight="1">
      <c r="B23" s="5"/>
      <c r="C23" s="5"/>
      <c r="D23" s="5"/>
      <c r="E23" s="5" t="s">
        <v>233</v>
      </c>
      <c r="F23" s="5"/>
      <c r="G23" s="5" t="s">
        <v>172</v>
      </c>
      <c r="H23" s="5"/>
      <c r="I23" s="28"/>
      <c r="J23" s="6"/>
      <c r="K23" s="22" t="b">
        <f t="shared" ref="K23:AI23" si="6">K22 &gt; 0</f>
        <v>1</v>
      </c>
      <c r="L23" s="22" t="b">
        <f t="shared" si="6"/>
        <v>1</v>
      </c>
      <c r="M23" s="22" t="b">
        <f t="shared" si="6"/>
        <v>1</v>
      </c>
      <c r="N23" s="22" t="b">
        <f t="shared" si="6"/>
        <v>1</v>
      </c>
      <c r="O23" s="22" t="b">
        <f t="shared" si="6"/>
        <v>1</v>
      </c>
      <c r="P23" s="22" t="b">
        <f t="shared" si="6"/>
        <v>1</v>
      </c>
      <c r="Q23" s="22" t="b">
        <f t="shared" si="6"/>
        <v>1</v>
      </c>
      <c r="R23" s="22" t="b">
        <f t="shared" si="6"/>
        <v>1</v>
      </c>
      <c r="S23" s="22" t="b">
        <f t="shared" si="6"/>
        <v>1</v>
      </c>
      <c r="T23" s="22" t="b">
        <f t="shared" si="6"/>
        <v>1</v>
      </c>
      <c r="U23" s="22" t="b">
        <f t="shared" si="6"/>
        <v>1</v>
      </c>
      <c r="V23" s="22" t="b">
        <f t="shared" si="6"/>
        <v>1</v>
      </c>
      <c r="W23" s="22" t="b">
        <f t="shared" si="6"/>
        <v>1</v>
      </c>
      <c r="X23" s="22" t="b">
        <f t="shared" si="6"/>
        <v>1</v>
      </c>
      <c r="Y23" s="22" t="b">
        <f t="shared" si="6"/>
        <v>1</v>
      </c>
      <c r="Z23" s="22" t="b">
        <f t="shared" si="6"/>
        <v>1</v>
      </c>
      <c r="AA23" s="22" t="b">
        <f t="shared" si="6"/>
        <v>1</v>
      </c>
      <c r="AB23" s="22" t="b">
        <f t="shared" si="6"/>
        <v>1</v>
      </c>
      <c r="AC23" s="22" t="b">
        <f t="shared" si="6"/>
        <v>1</v>
      </c>
      <c r="AD23" s="22" t="b">
        <f t="shared" si="6"/>
        <v>1</v>
      </c>
      <c r="AE23" s="22" t="b">
        <f t="shared" si="6"/>
        <v>1</v>
      </c>
      <c r="AF23" s="22" t="b">
        <f t="shared" si="6"/>
        <v>1</v>
      </c>
      <c r="AG23" s="22" t="b">
        <f t="shared" si="6"/>
        <v>1</v>
      </c>
      <c r="AH23" s="22" t="b">
        <f t="shared" si="6"/>
        <v>1</v>
      </c>
      <c r="AI23" s="22" t="b">
        <f t="shared" si="6"/>
        <v>1</v>
      </c>
    </row>
    <row r="24" spans="2:35" ht="15" customHeight="1">
      <c r="B24" s="5"/>
      <c r="C24" s="5"/>
      <c r="D24" s="5"/>
      <c r="E24" s="5"/>
      <c r="F24" s="5"/>
      <c r="G24" s="6"/>
      <c r="H24" s="5"/>
      <c r="I24" s="26"/>
      <c r="J24" s="6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</row>
    <row r="25" spans="2:35" ht="15" customHeight="1">
      <c r="B25" s="5"/>
      <c r="C25" s="5"/>
      <c r="D25" s="5"/>
      <c r="E25" s="5" t="s">
        <v>234</v>
      </c>
      <c r="F25" s="5"/>
      <c r="G25" s="5" t="str">
        <f>Inputs!$I$11</f>
        <v>£m 2024 CPIH prices</v>
      </c>
      <c r="H25" s="5"/>
      <c r="I25" s="26"/>
      <c r="J25" s="6"/>
      <c r="K25" s="186">
        <f t="shared" ref="K25:AI25" si="7">IF(K23, IF(K22=1,SUM(K12:K13),K12 / K22), 0)</f>
        <v>18.878775658008987</v>
      </c>
      <c r="L25" s="186">
        <f t="shared" si="7"/>
        <v>18.878775658008987</v>
      </c>
      <c r="M25" s="186">
        <f t="shared" si="7"/>
        <v>18.878775658008987</v>
      </c>
      <c r="N25" s="186">
        <f t="shared" si="7"/>
        <v>18.87877565800899</v>
      </c>
      <c r="O25" s="186">
        <f t="shared" si="7"/>
        <v>18.87877565800899</v>
      </c>
      <c r="P25" s="186">
        <f t="shared" si="7"/>
        <v>18.87877565800899</v>
      </c>
      <c r="Q25" s="186">
        <f t="shared" si="7"/>
        <v>18.87877565800899</v>
      </c>
      <c r="R25" s="186">
        <f t="shared" si="7"/>
        <v>19.043941297148464</v>
      </c>
      <c r="S25" s="186">
        <f t="shared" si="7"/>
        <v>19.287258209519948</v>
      </c>
      <c r="T25" s="186">
        <f t="shared" si="7"/>
        <v>19.287258209519948</v>
      </c>
      <c r="U25" s="186">
        <f t="shared" si="7"/>
        <v>19.378534197665413</v>
      </c>
      <c r="V25" s="186">
        <f t="shared" si="7"/>
        <v>19.37853419766541</v>
      </c>
      <c r="W25" s="186">
        <f t="shared" si="7"/>
        <v>19.442824103497259</v>
      </c>
      <c r="X25" s="186">
        <f t="shared" si="7"/>
        <v>19.560110376072718</v>
      </c>
      <c r="Y25" s="186">
        <f t="shared" si="7"/>
        <v>19.991743618310149</v>
      </c>
      <c r="Z25" s="186">
        <f t="shared" si="7"/>
        <v>19.991743618310149</v>
      </c>
      <c r="AA25" s="186">
        <f t="shared" si="7"/>
        <v>19.991743618310149</v>
      </c>
      <c r="AB25" s="186">
        <f t="shared" si="7"/>
        <v>23.549061336455075</v>
      </c>
      <c r="AC25" s="186">
        <f t="shared" si="7"/>
        <v>23.549061336455075</v>
      </c>
      <c r="AD25" s="186">
        <f t="shared" si="7"/>
        <v>23.549061336455072</v>
      </c>
      <c r="AE25" s="186">
        <f t="shared" si="7"/>
        <v>23.822889300891475</v>
      </c>
      <c r="AF25" s="186">
        <f t="shared" si="7"/>
        <v>24.5661346770191</v>
      </c>
      <c r="AG25" s="186">
        <f t="shared" si="7"/>
        <v>24.566134677019097</v>
      </c>
      <c r="AH25" s="186">
        <f t="shared" si="7"/>
        <v>24.5661346770191</v>
      </c>
      <c r="AI25" s="186">
        <f t="shared" si="7"/>
        <v>24.5661346770191</v>
      </c>
    </row>
    <row r="26" spans="2:35" ht="15" customHeight="1">
      <c r="B26" s="5"/>
      <c r="C26" s="5"/>
      <c r="D26" s="5"/>
      <c r="E26" s="5"/>
      <c r="F26" s="5"/>
      <c r="G26" s="5"/>
      <c r="H26" s="5"/>
      <c r="I26" s="26"/>
      <c r="J26" s="6"/>
      <c r="K26" s="6"/>
      <c r="L26" s="6"/>
      <c r="M26" s="6"/>
      <c r="N26" s="6"/>
      <c r="O26" s="6"/>
      <c r="P26" s="6"/>
      <c r="Q26" s="6"/>
      <c r="R26" s="6"/>
      <c r="S26" s="5"/>
      <c r="T26" s="5"/>
      <c r="U26" s="5"/>
      <c r="V26" s="5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</row>
    <row r="27" spans="2:35" ht="15" customHeight="1">
      <c r="B27" s="5"/>
      <c r="C27" s="5"/>
      <c r="D27" s="5"/>
      <c r="E27" s="5" t="s">
        <v>235</v>
      </c>
      <c r="F27" s="5"/>
      <c r="G27" s="5" t="s">
        <v>236</v>
      </c>
      <c r="H27" s="5"/>
      <c r="I27" s="196" t="str">
        <f>IF(ABS(SUM('Pre Op RAV'!K18:AX21,Finance!K39:AX42,Finance!K44:AX44,K13:AI13)-SUM(K25:AI25))&lt;0.00000001,"TRUE","FALSE")</f>
        <v>TRUE</v>
      </c>
      <c r="J27" s="6"/>
      <c r="K27" s="5"/>
      <c r="L27" s="6"/>
      <c r="M27" s="6"/>
      <c r="N27" s="6"/>
      <c r="O27" s="6"/>
      <c r="P27" s="6"/>
      <c r="Q27" s="6"/>
      <c r="R27" s="6"/>
      <c r="S27" s="5"/>
      <c r="T27" s="7"/>
      <c r="U27" s="7"/>
      <c r="V27" s="7"/>
      <c r="W27" s="7"/>
      <c r="X27" s="7"/>
      <c r="Y27" s="7"/>
      <c r="Z27" s="7"/>
      <c r="AA27" s="177"/>
      <c r="AB27" s="7"/>
      <c r="AC27" s="7"/>
      <c r="AD27" s="7"/>
      <c r="AE27" s="7"/>
      <c r="AF27" s="7"/>
      <c r="AG27" s="7"/>
      <c r="AH27" s="7"/>
      <c r="AI27" s="7"/>
    </row>
    <row r="28" spans="2:35" ht="15" customHeight="1">
      <c r="B28" s="5"/>
      <c r="C28" s="5"/>
      <c r="D28" s="5"/>
      <c r="E28" s="5"/>
      <c r="F28" s="5"/>
      <c r="G28" s="5"/>
      <c r="H28" s="5"/>
      <c r="I28" s="5"/>
      <c r="J28" s="6"/>
      <c r="K28" s="5"/>
      <c r="L28" s="6"/>
      <c r="M28" s="6"/>
      <c r="N28" s="6"/>
      <c r="O28" s="6"/>
      <c r="P28" s="6"/>
      <c r="Q28" s="6"/>
      <c r="R28" s="6"/>
      <c r="S28" s="5"/>
      <c r="T28" s="7"/>
      <c r="U28" s="7"/>
      <c r="V28" s="7"/>
      <c r="W28" s="7"/>
      <c r="X28" s="7"/>
      <c r="Y28" s="7"/>
      <c r="Z28" s="7"/>
      <c r="AA28" s="177"/>
      <c r="AB28" s="7"/>
      <c r="AC28" s="7"/>
      <c r="AD28" s="7"/>
      <c r="AE28" s="7"/>
      <c r="AF28" s="7"/>
      <c r="AG28" s="7"/>
      <c r="AH28" s="7"/>
      <c r="AI28" s="7"/>
    </row>
    <row r="29" spans="2:35" ht="15" customHeight="1">
      <c r="B29" s="126" t="s">
        <v>237</v>
      </c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</row>
    <row r="30" spans="2:35" ht="15" customHeight="1">
      <c r="B30" s="29"/>
      <c r="C30" s="19"/>
      <c r="D30" s="19"/>
      <c r="E30" s="56"/>
      <c r="F30" s="19"/>
      <c r="G30" s="19"/>
      <c r="H30" s="52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</row>
    <row r="31" spans="2:35" ht="15" customHeight="1">
      <c r="B31" s="5"/>
      <c r="C31" s="5"/>
      <c r="D31" s="5"/>
      <c r="E31" s="18" t="s">
        <v>150</v>
      </c>
      <c r="F31" s="5"/>
      <c r="G31" s="18" t="str">
        <f>Inputs!G68</f>
        <v>real annual %</v>
      </c>
      <c r="H31" s="19"/>
      <c r="I31" s="88">
        <f>Inputs!I68</f>
        <v>7.4200000000000002E-2</v>
      </c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</row>
    <row r="32" spans="2:35" ht="15" customHeight="1">
      <c r="B32" s="5"/>
      <c r="C32" s="5"/>
      <c r="D32" s="5"/>
      <c r="E32" s="18" t="s">
        <v>152</v>
      </c>
      <c r="F32" s="5"/>
      <c r="G32" s="18" t="str">
        <f>Inputs!G69</f>
        <v>real annual %</v>
      </c>
      <c r="H32" s="19"/>
      <c r="I32" s="88">
        <f>Inputs!I69</f>
        <v>-2.1247686210128631E-3</v>
      </c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</row>
    <row r="33" spans="2:35" ht="15" customHeight="1">
      <c r="B33" s="5"/>
      <c r="C33" s="5"/>
      <c r="D33" s="5"/>
      <c r="E33" s="5"/>
      <c r="F33" s="5"/>
      <c r="G33" s="5"/>
      <c r="H33" s="5"/>
      <c r="I33" s="6"/>
      <c r="J33" s="6"/>
      <c r="K33" s="6"/>
      <c r="L33" s="6"/>
      <c r="M33" s="6"/>
      <c r="N33" s="6"/>
      <c r="O33" s="6"/>
      <c r="P33" s="6"/>
      <c r="Q33" s="6"/>
      <c r="R33" s="6"/>
      <c r="S33" s="5"/>
      <c r="T33" s="5"/>
      <c r="U33" s="5"/>
      <c r="V33" s="5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</row>
    <row r="34" spans="2:35" ht="15" customHeight="1">
      <c r="B34" s="29"/>
      <c r="C34" s="19"/>
      <c r="D34" s="19"/>
      <c r="E34" s="56" t="s">
        <v>227</v>
      </c>
      <c r="F34" s="19"/>
      <c r="G34" s="5" t="str">
        <f>Inputs!$I$11</f>
        <v>£m 2024 CPIH prices</v>
      </c>
      <c r="H34" s="52"/>
      <c r="I34" s="19"/>
      <c r="J34" s="19"/>
      <c r="K34" s="5">
        <f t="shared" ref="K34:AI34" si="8">K12</f>
        <v>471.96939145022469</v>
      </c>
      <c r="L34" s="5">
        <f t="shared" si="8"/>
        <v>453.09061579221571</v>
      </c>
      <c r="M34" s="5">
        <f t="shared" si="8"/>
        <v>434.21184013420674</v>
      </c>
      <c r="N34" s="5">
        <f t="shared" si="8"/>
        <v>415.33306447619776</v>
      </c>
      <c r="O34" s="5">
        <f t="shared" si="8"/>
        <v>396.45428881818879</v>
      </c>
      <c r="P34" s="5">
        <f t="shared" si="8"/>
        <v>377.57551316017981</v>
      </c>
      <c r="Q34" s="5">
        <f t="shared" si="8"/>
        <v>358.69673750217083</v>
      </c>
      <c r="R34" s="5">
        <f t="shared" si="8"/>
        <v>342.79094334867239</v>
      </c>
      <c r="S34" s="5">
        <f t="shared" si="8"/>
        <v>327.88338956183912</v>
      </c>
      <c r="T34" s="5">
        <f t="shared" si="8"/>
        <v>308.59613135231916</v>
      </c>
      <c r="U34" s="5">
        <f t="shared" si="8"/>
        <v>290.67801296498118</v>
      </c>
      <c r="V34" s="5">
        <f t="shared" si="8"/>
        <v>271.29947876731575</v>
      </c>
      <c r="W34" s="5">
        <f t="shared" si="8"/>
        <v>252.75671334546436</v>
      </c>
      <c r="X34" s="5">
        <f t="shared" si="8"/>
        <v>234.7213245128726</v>
      </c>
      <c r="Y34" s="5">
        <f t="shared" si="8"/>
        <v>219.90917980141165</v>
      </c>
      <c r="Z34" s="5">
        <f t="shared" si="8"/>
        <v>199.9174361831015</v>
      </c>
      <c r="AA34" s="5">
        <f t="shared" si="8"/>
        <v>179.92569256479135</v>
      </c>
      <c r="AB34" s="5">
        <f t="shared" si="8"/>
        <v>188.3924906916406</v>
      </c>
      <c r="AC34" s="5">
        <f t="shared" si="8"/>
        <v>164.84342935518552</v>
      </c>
      <c r="AD34" s="5">
        <f t="shared" si="8"/>
        <v>141.29436801873044</v>
      </c>
      <c r="AE34" s="5">
        <f t="shared" si="8"/>
        <v>119.11444650445738</v>
      </c>
      <c r="AF34" s="5">
        <f t="shared" si="8"/>
        <v>98.264538708076401</v>
      </c>
      <c r="AG34" s="5">
        <f t="shared" si="8"/>
        <v>73.698404031057294</v>
      </c>
      <c r="AH34" s="5">
        <f t="shared" si="8"/>
        <v>49.132269354038201</v>
      </c>
      <c r="AI34" s="5">
        <f t="shared" si="8"/>
        <v>24.5661346770191</v>
      </c>
    </row>
    <row r="35" spans="2:35" ht="15" customHeight="1">
      <c r="B35" s="29"/>
      <c r="C35" s="19"/>
      <c r="D35" s="19"/>
      <c r="E35" s="56" t="s">
        <v>229</v>
      </c>
      <c r="F35" s="19"/>
      <c r="G35" s="5" t="str">
        <f>Inputs!$I$11</f>
        <v>£m 2024 CPIH prices</v>
      </c>
      <c r="H35" s="52"/>
      <c r="I35" s="19"/>
      <c r="J35" s="19"/>
      <c r="K35" s="5">
        <f t="shared" ref="K35:AI35" si="9">K15</f>
        <v>453.09061579221571</v>
      </c>
      <c r="L35" s="5">
        <f t="shared" si="9"/>
        <v>434.21184013420674</v>
      </c>
      <c r="M35" s="5">
        <f t="shared" si="9"/>
        <v>415.33306447619776</v>
      </c>
      <c r="N35" s="5">
        <f t="shared" si="9"/>
        <v>396.45428881818879</v>
      </c>
      <c r="O35" s="5">
        <f t="shared" si="9"/>
        <v>377.57551316017981</v>
      </c>
      <c r="P35" s="5">
        <f t="shared" si="9"/>
        <v>358.69673750217083</v>
      </c>
      <c r="Q35" s="5">
        <f t="shared" si="9"/>
        <v>342.79094334867239</v>
      </c>
      <c r="R35" s="5">
        <f t="shared" si="9"/>
        <v>327.88338956183912</v>
      </c>
      <c r="S35" s="5">
        <f t="shared" si="9"/>
        <v>308.59613135231916</v>
      </c>
      <c r="T35" s="5">
        <f t="shared" si="9"/>
        <v>290.67801296498118</v>
      </c>
      <c r="U35" s="5">
        <f t="shared" si="9"/>
        <v>271.29947876731575</v>
      </c>
      <c r="V35" s="5">
        <f t="shared" si="9"/>
        <v>252.75671334546436</v>
      </c>
      <c r="W35" s="5">
        <f t="shared" si="9"/>
        <v>234.7213245128726</v>
      </c>
      <c r="X35" s="5">
        <f t="shared" si="9"/>
        <v>219.90917980141165</v>
      </c>
      <c r="Y35" s="5">
        <f t="shared" si="9"/>
        <v>199.9174361831015</v>
      </c>
      <c r="Z35" s="5">
        <f t="shared" si="9"/>
        <v>179.92569256479135</v>
      </c>
      <c r="AA35" s="5">
        <f t="shared" si="9"/>
        <v>188.3924906916406</v>
      </c>
      <c r="AB35" s="5">
        <f t="shared" si="9"/>
        <v>164.84342935518552</v>
      </c>
      <c r="AC35" s="5">
        <f t="shared" si="9"/>
        <v>141.29436801873044</v>
      </c>
      <c r="AD35" s="5">
        <f t="shared" si="9"/>
        <v>119.11444650445738</v>
      </c>
      <c r="AE35" s="5">
        <f t="shared" si="9"/>
        <v>98.264538708076401</v>
      </c>
      <c r="AF35" s="5">
        <f t="shared" si="9"/>
        <v>73.698404031057294</v>
      </c>
      <c r="AG35" s="5">
        <f t="shared" si="9"/>
        <v>49.132269354038201</v>
      </c>
      <c r="AH35" s="5">
        <f t="shared" si="9"/>
        <v>24.5661346770191</v>
      </c>
      <c r="AI35" s="5">
        <f t="shared" si="9"/>
        <v>0</v>
      </c>
    </row>
    <row r="36" spans="2:35" ht="15" customHeight="1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</row>
    <row r="37" spans="2:35" ht="15" customHeight="1">
      <c r="B37" s="5"/>
      <c r="C37" s="5"/>
      <c r="D37" s="5"/>
      <c r="E37" s="56" t="s">
        <v>238</v>
      </c>
      <c r="F37" s="19"/>
      <c r="G37" s="5" t="str">
        <f>Inputs!$I$11</f>
        <v>£m 2024 CPIH prices</v>
      </c>
      <c r="H37" s="52"/>
      <c r="I37" s="18"/>
      <c r="J37" s="19"/>
      <c r="K37" s="5">
        <f t="shared" ref="K37:AI37" si="10">0.5 * K$34 + 0.5 * K$35 / (1 + $I31)</f>
        <v>446.88146345561677</v>
      </c>
      <c r="L37" s="5">
        <f t="shared" si="10"/>
        <v>428.65471030450794</v>
      </c>
      <c r="M37" s="5">
        <f t="shared" si="10"/>
        <v>410.42795715339912</v>
      </c>
      <c r="N37" s="5">
        <f t="shared" si="10"/>
        <v>392.2012040022903</v>
      </c>
      <c r="O37" s="5">
        <f t="shared" si="10"/>
        <v>373.97445085118147</v>
      </c>
      <c r="P37" s="5">
        <f t="shared" si="10"/>
        <v>355.74769770007259</v>
      </c>
      <c r="Q37" s="5">
        <f t="shared" si="10"/>
        <v>338.90475645759835</v>
      </c>
      <c r="R37" s="5">
        <f t="shared" si="10"/>
        <v>324.01294959364316</v>
      </c>
      <c r="S37" s="5">
        <f t="shared" si="10"/>
        <v>307.58167399909087</v>
      </c>
      <c r="T37" s="5">
        <f t="shared" si="10"/>
        <v>289.59782967028599</v>
      </c>
      <c r="U37" s="5">
        <f t="shared" si="10"/>
        <v>271.61878621034191</v>
      </c>
      <c r="V37" s="5">
        <f t="shared" si="10"/>
        <v>253.29855401103842</v>
      </c>
      <c r="W37" s="5">
        <f t="shared" si="10"/>
        <v>235.63237106152039</v>
      </c>
      <c r="X37" s="5">
        <f t="shared" si="10"/>
        <v>219.72017622097349</v>
      </c>
      <c r="Y37" s="5">
        <f t="shared" si="10"/>
        <v>203.00869350483052</v>
      </c>
      <c r="Z37" s="5">
        <f t="shared" si="10"/>
        <v>183.70741133526298</v>
      </c>
      <c r="AA37" s="5">
        <f t="shared" si="10"/>
        <v>177.65251798768361</v>
      </c>
      <c r="AB37" s="5">
        <f t="shared" si="10"/>
        <v>170.92470808794724</v>
      </c>
      <c r="AC37" s="5">
        <f t="shared" si="10"/>
        <v>148.18896845655871</v>
      </c>
      <c r="AD37" s="5">
        <f t="shared" si="10"/>
        <v>126.09051230226103</v>
      </c>
      <c r="AE37" s="5">
        <f t="shared" si="10"/>
        <v>105.2956977951799</v>
      </c>
      <c r="AF37" s="5">
        <f t="shared" si="10"/>
        <v>83.436125261251618</v>
      </c>
      <c r="AG37" s="5">
        <f t="shared" si="10"/>
        <v>59.718439287004259</v>
      </c>
      <c r="AH37" s="5">
        <f t="shared" si="10"/>
        <v>36.000753312756906</v>
      </c>
      <c r="AI37" s="5">
        <f t="shared" si="10"/>
        <v>12.28306733850955</v>
      </c>
    </row>
    <row r="38" spans="2:35" ht="15" customHeight="1">
      <c r="B38" s="5"/>
      <c r="C38" s="5"/>
      <c r="D38" s="5"/>
      <c r="E38" s="56" t="s">
        <v>239</v>
      </c>
      <c r="F38" s="19"/>
      <c r="G38" s="5" t="str">
        <f>Inputs!$I$11</f>
        <v>£m 2024 CPIH prices</v>
      </c>
      <c r="H38" s="52"/>
      <c r="I38" s="18"/>
      <c r="J38" s="19"/>
      <c r="K38" s="5">
        <f t="shared" ref="K38:AI38" si="11">0.5 * K$34 + 0.5 * K$35 / (1 + $I32)</f>
        <v>463.01238493134667</v>
      </c>
      <c r="L38" s="5">
        <f t="shared" si="11"/>
        <v>444.11351005208246</v>
      </c>
      <c r="M38" s="5">
        <f t="shared" si="11"/>
        <v>425.21463517281813</v>
      </c>
      <c r="N38" s="5">
        <f t="shared" si="11"/>
        <v>406.31576029355392</v>
      </c>
      <c r="O38" s="5">
        <f t="shared" si="11"/>
        <v>387.41688541428971</v>
      </c>
      <c r="P38" s="5">
        <f t="shared" si="11"/>
        <v>368.51801053502544</v>
      </c>
      <c r="Q38" s="5">
        <f t="shared" si="11"/>
        <v>351.10879158218506</v>
      </c>
      <c r="R38" s="5">
        <f t="shared" si="11"/>
        <v>335.68624633798299</v>
      </c>
      <c r="S38" s="5">
        <f t="shared" si="11"/>
        <v>318.56830622905773</v>
      </c>
      <c r="T38" s="5">
        <f t="shared" si="11"/>
        <v>299.9465414697147</v>
      </c>
      <c r="U38" s="5">
        <f t="shared" si="11"/>
        <v>281.27758388980862</v>
      </c>
      <c r="V38" s="5">
        <f t="shared" si="11"/>
        <v>262.29719259089597</v>
      </c>
      <c r="W38" s="5">
        <f t="shared" si="11"/>
        <v>243.98891415119857</v>
      </c>
      <c r="X38" s="5">
        <f t="shared" si="11"/>
        <v>227.54937768206821</v>
      </c>
      <c r="Y38" s="5">
        <f t="shared" si="11"/>
        <v>210.12614937855301</v>
      </c>
      <c r="Z38" s="5">
        <f t="shared" si="11"/>
        <v>190.11312162161323</v>
      </c>
      <c r="AA38" s="5">
        <f t="shared" si="11"/>
        <v>184.35966302234851</v>
      </c>
      <c r="AB38" s="5">
        <f t="shared" si="11"/>
        <v>176.79345999327904</v>
      </c>
      <c r="AC38" s="5">
        <f t="shared" si="11"/>
        <v>153.21932723255739</v>
      </c>
      <c r="AD38" s="5">
        <f t="shared" si="11"/>
        <v>130.33122203276136</v>
      </c>
      <c r="AE38" s="5">
        <f t="shared" si="11"/>
        <v>108.79410959736941</v>
      </c>
      <c r="AF38" s="5">
        <f t="shared" si="11"/>
        <v>86.059934112893743</v>
      </c>
      <c r="AG38" s="5">
        <f t="shared" si="11"/>
        <v>61.467645188099013</v>
      </c>
      <c r="AH38" s="5">
        <f t="shared" si="11"/>
        <v>36.875356263304283</v>
      </c>
      <c r="AI38" s="5">
        <f t="shared" si="11"/>
        <v>12.28306733850955</v>
      </c>
    </row>
    <row r="39" spans="2:35" ht="15" customHeight="1">
      <c r="B39" s="5"/>
      <c r="C39" s="5"/>
      <c r="D39" s="5"/>
      <c r="E39" s="56"/>
      <c r="F39" s="19"/>
      <c r="G39" s="19"/>
      <c r="H39" s="52"/>
      <c r="I39" s="18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</row>
    <row r="40" spans="2:35" ht="15" customHeight="1">
      <c r="B40" s="5"/>
      <c r="C40" s="5"/>
      <c r="D40" s="5"/>
      <c r="E40" s="18" t="s">
        <v>240</v>
      </c>
      <c r="F40" s="5"/>
      <c r="G40" s="5" t="str">
        <f>Inputs!$I$11</f>
        <v>£m 2024 CPIH prices</v>
      </c>
      <c r="H40" s="5"/>
      <c r="I40" s="6"/>
      <c r="J40" s="6"/>
      <c r="K40" s="45">
        <f t="shared" ref="K40:AI40" si="12">K37 * $I31</f>
        <v>33.158604588406767</v>
      </c>
      <c r="L40" s="45">
        <f t="shared" si="12"/>
        <v>31.806179504594489</v>
      </c>
      <c r="M40" s="45">
        <f t="shared" si="12"/>
        <v>30.453754420782214</v>
      </c>
      <c r="N40" s="45">
        <f t="shared" si="12"/>
        <v>29.10132933696994</v>
      </c>
      <c r="O40" s="45">
        <f t="shared" si="12"/>
        <v>27.748904253157665</v>
      </c>
      <c r="P40" s="45">
        <f t="shared" si="12"/>
        <v>26.396479169345387</v>
      </c>
      <c r="Q40" s="45">
        <f t="shared" si="12"/>
        <v>25.146732929153799</v>
      </c>
      <c r="R40" s="45">
        <f t="shared" si="12"/>
        <v>24.041760859848324</v>
      </c>
      <c r="S40" s="45">
        <f t="shared" si="12"/>
        <v>22.822560210732544</v>
      </c>
      <c r="T40" s="45">
        <f t="shared" si="12"/>
        <v>21.48815896153522</v>
      </c>
      <c r="U40" s="45">
        <f t="shared" si="12"/>
        <v>20.15411393680737</v>
      </c>
      <c r="V40" s="45">
        <f t="shared" si="12"/>
        <v>18.79475270761905</v>
      </c>
      <c r="W40" s="45">
        <f t="shared" si="12"/>
        <v>17.483921932764812</v>
      </c>
      <c r="X40" s="45">
        <f t="shared" si="12"/>
        <v>16.303237075596233</v>
      </c>
      <c r="Y40" s="45">
        <f t="shared" si="12"/>
        <v>15.063245058058424</v>
      </c>
      <c r="Z40" s="45">
        <f t="shared" si="12"/>
        <v>13.631089921076514</v>
      </c>
      <c r="AA40" s="45">
        <f t="shared" si="12"/>
        <v>13.181816834686124</v>
      </c>
      <c r="AB40" s="45">
        <f t="shared" si="12"/>
        <v>12.682613340125686</v>
      </c>
      <c r="AC40" s="45">
        <f t="shared" si="12"/>
        <v>10.995621459476657</v>
      </c>
      <c r="AD40" s="45">
        <f t="shared" si="12"/>
        <v>9.3559160128277696</v>
      </c>
      <c r="AE40" s="45">
        <f t="shared" si="12"/>
        <v>7.8129407764023489</v>
      </c>
      <c r="AF40" s="45">
        <f t="shared" si="12"/>
        <v>6.1909604943848704</v>
      </c>
      <c r="AG40" s="45">
        <f t="shared" si="12"/>
        <v>4.4311081950957165</v>
      </c>
      <c r="AH40" s="45">
        <f t="shared" si="12"/>
        <v>2.6712558958065626</v>
      </c>
      <c r="AI40" s="45">
        <f t="shared" si="12"/>
        <v>0.91140359651740865</v>
      </c>
    </row>
    <row r="41" spans="2:35" ht="15" customHeight="1">
      <c r="B41" s="5"/>
      <c r="C41" s="5"/>
      <c r="D41" s="5"/>
      <c r="E41" s="18" t="s">
        <v>241</v>
      </c>
      <c r="F41" s="5"/>
      <c r="G41" s="5" t="str">
        <f>Inputs!$I$11</f>
        <v>£m 2024 CPIH prices</v>
      </c>
      <c r="H41" s="5"/>
      <c r="I41" s="6"/>
      <c r="J41" s="6"/>
      <c r="K41" s="45">
        <f t="shared" ref="K41:AI41" si="13">K38 * $I32</f>
        <v>-0.98379418664245444</v>
      </c>
      <c r="L41" s="45">
        <f t="shared" si="13"/>
        <v>-0.94363845032654559</v>
      </c>
      <c r="M41" s="45">
        <f t="shared" si="13"/>
        <v>-0.9034827140106364</v>
      </c>
      <c r="N41" s="45">
        <f t="shared" si="13"/>
        <v>-0.86332697769472755</v>
      </c>
      <c r="O41" s="45">
        <f t="shared" si="13"/>
        <v>-0.8231712413788187</v>
      </c>
      <c r="P41" s="45">
        <f t="shared" si="13"/>
        <v>-0.78301550506290973</v>
      </c>
      <c r="Q41" s="45">
        <f t="shared" si="13"/>
        <v>-0.74602494291557209</v>
      </c>
      <c r="R41" s="45">
        <f t="shared" si="13"/>
        <v>-0.71325560272454036</v>
      </c>
      <c r="S41" s="45">
        <f t="shared" si="13"/>
        <v>-0.67688394072471847</v>
      </c>
      <c r="T41" s="45">
        <f t="shared" si="13"/>
        <v>-0.63731699929618324</v>
      </c>
      <c r="U41" s="45">
        <f t="shared" si="13"/>
        <v>-0.59764978404337854</v>
      </c>
      <c r="V41" s="45">
        <f t="shared" si="13"/>
        <v>-0.55732084419690342</v>
      </c>
      <c r="W41" s="45">
        <f t="shared" si="13"/>
        <v>-0.51841998866346806</v>
      </c>
      <c r="X41" s="45">
        <f t="shared" si="13"/>
        <v>-0.48348977742986321</v>
      </c>
      <c r="Y41" s="45">
        <f t="shared" si="13"/>
        <v>-0.44646944865381094</v>
      </c>
      <c r="Z41" s="45">
        <f t="shared" si="13"/>
        <v>-0.40394639526440584</v>
      </c>
      <c r="AA41" s="45">
        <f t="shared" si="13"/>
        <v>-0.39172162697039159</v>
      </c>
      <c r="AB41" s="45">
        <f t="shared" si="13"/>
        <v>-0.37564519619401227</v>
      </c>
      <c r="AC41" s="45">
        <f t="shared" si="13"/>
        <v>-0.32555561863643956</v>
      </c>
      <c r="AD41" s="45">
        <f t="shared" si="13"/>
        <v>-0.27692369091347163</v>
      </c>
      <c r="AE41" s="45">
        <f t="shared" si="13"/>
        <v>-0.2311623102235249</v>
      </c>
      <c r="AF41" s="45">
        <f t="shared" si="13"/>
        <v>-0.18285744752951108</v>
      </c>
      <c r="AG41" s="45">
        <f t="shared" si="13"/>
        <v>-0.13060452370322509</v>
      </c>
      <c r="AH41" s="45">
        <f t="shared" si="13"/>
        <v>-7.8351599876939085E-2</v>
      </c>
      <c r="AI41" s="45">
        <f t="shared" si="13"/>
        <v>-2.6098676050653073E-2</v>
      </c>
    </row>
    <row r="42" spans="2:35" ht="15" customHeight="1">
      <c r="B42" s="5"/>
      <c r="C42" s="5"/>
      <c r="D42" s="5"/>
      <c r="E42" s="5"/>
      <c r="F42" s="5"/>
      <c r="G42" s="5"/>
      <c r="H42" s="5"/>
      <c r="I42" s="26"/>
      <c r="J42" s="6"/>
      <c r="K42" s="6"/>
      <c r="L42" s="6"/>
      <c r="M42" s="6"/>
      <c r="N42" s="6"/>
      <c r="O42" s="6"/>
      <c r="P42" s="6"/>
      <c r="Q42" s="6"/>
      <c r="R42" s="6"/>
      <c r="S42" s="5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</row>
    <row r="43" spans="2:35" ht="15" customHeight="1">
      <c r="B43" s="126" t="s">
        <v>45</v>
      </c>
      <c r="C43" s="58"/>
      <c r="D43" s="58"/>
      <c r="E43" s="58"/>
      <c r="F43" s="58"/>
      <c r="G43" s="58"/>
      <c r="H43" s="58"/>
      <c r="I43" s="87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</row>
    <row r="44" spans="2:35" ht="15" customHeight="1"/>
  </sheetData>
  <conditionalFormatting sqref="S21:AI21">
    <cfRule type="cellIs" dxfId="3" priority="2" operator="equal">
      <formula>FALSE()</formula>
    </cfRule>
  </conditionalFormatting>
  <conditionalFormatting sqref="K23:AI23">
    <cfRule type="cellIs" dxfId="2" priority="1" operator="equal">
      <formula>FALSE()</formula>
    </cfRule>
  </conditionalFormatting>
  <pageMargins left="0.23622047244094491" right="0.23622047244094491" top="0.74803149606299213" bottom="0.74803149606299213" header="0.31496062992125978" footer="0.31496062992125978"/>
  <pageSetup paperSize="8" scale="43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59999389629810485"/>
    <pageSetUpPr fitToPage="1"/>
  </sheetPr>
  <dimension ref="A1:AY37"/>
  <sheetViews>
    <sheetView zoomScaleNormal="100" workbookViewId="0">
      <pane xSplit="10" ySplit="4" topLeftCell="K5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baseColWidth="10" defaultColWidth="0" defaultRowHeight="15" customHeight="1" zeroHeight="1"/>
  <cols>
    <col min="1" max="3" width="2.59765625" style="29" customWidth="1"/>
    <col min="4" max="4" width="2.59765625" style="19" customWidth="1"/>
    <col min="5" max="5" width="50.59765625" style="19" customWidth="1"/>
    <col min="6" max="6" width="1.59765625" style="19" customWidth="1"/>
    <col min="7" max="7" width="15.59765625" style="19" customWidth="1"/>
    <col min="8" max="8" width="10.796875" style="19" bestFit="1" customWidth="1"/>
    <col min="9" max="9" width="10.59765625" style="19" customWidth="1"/>
    <col min="10" max="10" width="1.59765625" style="19" customWidth="1"/>
    <col min="11" max="35" width="10.59765625" style="19" customWidth="1"/>
    <col min="36" max="36" width="3" customWidth="1"/>
    <col min="37" max="50" width="10.59765625" hidden="1" customWidth="1"/>
    <col min="51" max="51" width="2.59765625" hidden="1" customWidth="1"/>
    <col min="52" max="54" width="9" hidden="1" customWidth="1"/>
    <col min="55" max="16384" width="9" hidden="1"/>
  </cols>
  <sheetData>
    <row r="1" spans="1:35" ht="15" customHeight="1">
      <c r="A1" s="171" t="s">
        <v>31</v>
      </c>
      <c r="B1" s="14"/>
      <c r="C1" s="14"/>
      <c r="D1" s="14"/>
      <c r="E1" s="14"/>
      <c r="F1" s="14"/>
      <c r="G1" s="14"/>
      <c r="H1" s="14" t="s">
        <v>84</v>
      </c>
      <c r="I1" s="14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4"/>
      <c r="AH1" s="14"/>
      <c r="AI1" s="14"/>
    </row>
    <row r="2" spans="1:35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24" t="s">
        <v>88</v>
      </c>
      <c r="J2" s="17"/>
      <c r="K2" s="16" t="s">
        <v>89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</row>
    <row r="3" spans="1:35" ht="15" customHeight="1">
      <c r="A3" s="14"/>
      <c r="B3" s="14"/>
      <c r="C3" s="14"/>
      <c r="D3" s="14"/>
      <c r="E3" s="17" t="s">
        <v>222</v>
      </c>
      <c r="F3" s="16"/>
      <c r="G3" s="16"/>
      <c r="H3" s="16"/>
      <c r="I3" s="24"/>
      <c r="J3" s="17"/>
      <c r="K3" s="125" t="s">
        <v>116</v>
      </c>
      <c r="L3" s="125" t="s">
        <v>117</v>
      </c>
      <c r="M3" s="125" t="s">
        <v>118</v>
      </c>
      <c r="N3" s="125" t="s">
        <v>119</v>
      </c>
      <c r="O3" s="125" t="s">
        <v>120</v>
      </c>
      <c r="P3" s="125" t="s">
        <v>121</v>
      </c>
      <c r="Q3" s="125" t="s">
        <v>122</v>
      </c>
      <c r="R3" s="125" t="s">
        <v>123</v>
      </c>
      <c r="S3" s="125" t="s">
        <v>124</v>
      </c>
      <c r="T3" s="125" t="s">
        <v>125</v>
      </c>
      <c r="U3" s="125" t="s">
        <v>126</v>
      </c>
      <c r="V3" s="125" t="s">
        <v>127</v>
      </c>
      <c r="W3" s="125" t="s">
        <v>128</v>
      </c>
      <c r="X3" s="125" t="s">
        <v>129</v>
      </c>
      <c r="Y3" s="125" t="s">
        <v>130</v>
      </c>
      <c r="Z3" s="125" t="s">
        <v>131</v>
      </c>
      <c r="AA3" s="125" t="s">
        <v>132</v>
      </c>
      <c r="AB3" s="125" t="s">
        <v>133</v>
      </c>
      <c r="AC3" s="125" t="s">
        <v>134</v>
      </c>
      <c r="AD3" s="125" t="s">
        <v>135</v>
      </c>
      <c r="AE3" s="125" t="s">
        <v>136</v>
      </c>
      <c r="AF3" s="125" t="s">
        <v>137</v>
      </c>
      <c r="AG3" s="125" t="s">
        <v>138</v>
      </c>
      <c r="AH3" s="125" t="s">
        <v>139</v>
      </c>
      <c r="AI3" s="125" t="s">
        <v>140</v>
      </c>
    </row>
    <row r="4" spans="1:35" ht="15" customHeight="1">
      <c r="A4" s="14"/>
      <c r="B4" s="14"/>
      <c r="C4" s="14"/>
      <c r="D4" s="14"/>
      <c r="E4" s="10" t="s">
        <v>242</v>
      </c>
      <c r="F4" s="16"/>
      <c r="G4" s="16"/>
      <c r="H4" s="16"/>
      <c r="I4" s="16"/>
      <c r="J4" s="17"/>
      <c r="K4" s="127">
        <v>1</v>
      </c>
      <c r="L4" s="127">
        <f t="shared" ref="L4:AI4" si="0">+K4+1</f>
        <v>2</v>
      </c>
      <c r="M4" s="127">
        <f t="shared" si="0"/>
        <v>3</v>
      </c>
      <c r="N4" s="127">
        <f t="shared" si="0"/>
        <v>4</v>
      </c>
      <c r="O4" s="127">
        <f t="shared" si="0"/>
        <v>5</v>
      </c>
      <c r="P4" s="127">
        <f t="shared" si="0"/>
        <v>6</v>
      </c>
      <c r="Q4" s="127">
        <f t="shared" si="0"/>
        <v>7</v>
      </c>
      <c r="R4" s="127">
        <f t="shared" si="0"/>
        <v>8</v>
      </c>
      <c r="S4" s="127">
        <f t="shared" si="0"/>
        <v>9</v>
      </c>
      <c r="T4" s="127">
        <f t="shared" si="0"/>
        <v>10</v>
      </c>
      <c r="U4" s="127">
        <f t="shared" si="0"/>
        <v>11</v>
      </c>
      <c r="V4" s="127">
        <f t="shared" si="0"/>
        <v>12</v>
      </c>
      <c r="W4" s="127">
        <f t="shared" si="0"/>
        <v>13</v>
      </c>
      <c r="X4" s="127">
        <f t="shared" si="0"/>
        <v>14</v>
      </c>
      <c r="Y4" s="127">
        <f t="shared" si="0"/>
        <v>15</v>
      </c>
      <c r="Z4" s="127">
        <f t="shared" si="0"/>
        <v>16</v>
      </c>
      <c r="AA4" s="127">
        <f t="shared" si="0"/>
        <v>17</v>
      </c>
      <c r="AB4" s="127">
        <f t="shared" si="0"/>
        <v>18</v>
      </c>
      <c r="AC4" s="127">
        <f t="shared" si="0"/>
        <v>19</v>
      </c>
      <c r="AD4" s="127">
        <f t="shared" si="0"/>
        <v>20</v>
      </c>
      <c r="AE4" s="127">
        <f t="shared" si="0"/>
        <v>21</v>
      </c>
      <c r="AF4" s="127">
        <f t="shared" si="0"/>
        <v>22</v>
      </c>
      <c r="AG4" s="127">
        <f t="shared" si="0"/>
        <v>23</v>
      </c>
      <c r="AH4" s="127">
        <f t="shared" si="0"/>
        <v>24</v>
      </c>
      <c r="AI4" s="127">
        <f t="shared" si="0"/>
        <v>25</v>
      </c>
    </row>
    <row r="5" spans="1:35" ht="15" customHeight="1"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</row>
    <row r="6" spans="1:35" ht="15" customHeight="1">
      <c r="A6"/>
      <c r="B6" s="126" t="s">
        <v>243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</row>
    <row r="7" spans="1:35" ht="15" customHeight="1"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</row>
    <row r="8" spans="1:35" ht="15" customHeight="1">
      <c r="E8" s="5" t="s">
        <v>144</v>
      </c>
      <c r="F8" s="31"/>
      <c r="G8" s="5" t="str">
        <f>Inputs!$I$11</f>
        <v>£m 2024 CPIH prices</v>
      </c>
      <c r="I8" s="30"/>
      <c r="J8" s="30"/>
      <c r="K8" s="44">
        <f>Inputs!K61</f>
        <v>17.488733201264555</v>
      </c>
      <c r="L8" s="44">
        <f>Inputs!L61</f>
        <v>13.142124136845304</v>
      </c>
      <c r="M8" s="44">
        <f>Inputs!M61</f>
        <v>17.966473341577135</v>
      </c>
      <c r="N8" s="44">
        <f>Inputs!N61</f>
        <v>17.622780889155319</v>
      </c>
      <c r="O8" s="44">
        <f>Inputs!O61</f>
        <v>18.80025030566383</v>
      </c>
      <c r="P8" s="44">
        <f>Inputs!P61</f>
        <v>18.751885431219836</v>
      </c>
      <c r="Q8" s="44">
        <f>Inputs!Q61</f>
        <v>18.538975015950513</v>
      </c>
      <c r="R8" s="44">
        <f>Inputs!R61</f>
        <v>19.984935368679579</v>
      </c>
      <c r="S8" s="44">
        <f>Inputs!S61</f>
        <v>20.397650064444058</v>
      </c>
      <c r="T8" s="44">
        <f>Inputs!T61</f>
        <v>21.526603346551802</v>
      </c>
      <c r="U8" s="44">
        <f>Inputs!U61</f>
        <v>21.139212228078957</v>
      </c>
      <c r="V8" s="44">
        <f>Inputs!V61</f>
        <v>21.175949701159904</v>
      </c>
      <c r="W8" s="44">
        <f>Inputs!W61</f>
        <v>21.213414399250897</v>
      </c>
      <c r="X8" s="44">
        <f>Inputs!X61</f>
        <v>21.251626091290706</v>
      </c>
      <c r="Y8" s="44">
        <f>Inputs!Y61</f>
        <v>22.205425144069942</v>
      </c>
      <c r="Z8" s="44">
        <f>Inputs!Z61</f>
        <v>21.635676362770358</v>
      </c>
      <c r="AA8" s="44">
        <f>Inputs!AA61</f>
        <v>21.678520170579041</v>
      </c>
      <c r="AB8" s="44">
        <f>Inputs!AB61</f>
        <v>21.722241778062315</v>
      </c>
      <c r="AC8" s="44">
        <f>Inputs!AC61</f>
        <v>21.766865168350112</v>
      </c>
      <c r="AD8" s="44">
        <f>Inputs!AD61</f>
        <v>22.741193031849473</v>
      </c>
      <c r="AE8" s="44">
        <f>Inputs!AE61</f>
        <v>22.233388294009256</v>
      </c>
      <c r="AF8" s="44">
        <f>Inputs!AF61</f>
        <v>22.283140411735392</v>
      </c>
      <c r="AG8" s="44">
        <f>Inputs!AG61</f>
        <v>22.333943374134996</v>
      </c>
      <c r="AH8" s="44">
        <f>Inputs!AH61</f>
        <v>22.385826043241973</v>
      </c>
      <c r="AI8" s="44">
        <f>Inputs!AI61</f>
        <v>22.633250597899114</v>
      </c>
    </row>
    <row r="9" spans="1:35" ht="15" customHeight="1">
      <c r="E9" s="5" t="s">
        <v>244</v>
      </c>
      <c r="F9" s="31"/>
      <c r="G9" s="5" t="str">
        <f>Inputs!$I$11</f>
        <v>£m 2024 CPIH prices</v>
      </c>
      <c r="I9" s="30"/>
      <c r="J9" s="30"/>
      <c r="K9" s="44">
        <f>Inputs!K62</f>
        <v>1.2854418278958706</v>
      </c>
      <c r="L9" s="44">
        <f>Inputs!L62</f>
        <v>1.2691570747029965</v>
      </c>
      <c r="M9" s="44">
        <f>Inputs!M62</f>
        <v>1.2572372958601512</v>
      </c>
      <c r="N9" s="44">
        <f>Inputs!N62</f>
        <v>1.245429681688502</v>
      </c>
      <c r="O9" s="44">
        <f>Inputs!O62</f>
        <v>1.2337331747501585</v>
      </c>
      <c r="P9" s="44">
        <f>Inputs!P62</f>
        <v>1.2221467275943025</v>
      </c>
      <c r="Q9" s="44">
        <f>Inputs!Q62</f>
        <v>1.210669302662696</v>
      </c>
      <c r="R9" s="44">
        <f>Inputs!R62</f>
        <v>1.1992998721960912</v>
      </c>
      <c r="S9" s="44">
        <f>Inputs!S62</f>
        <v>1.1880374181415265</v>
      </c>
      <c r="T9" s="44">
        <f>Inputs!T62</f>
        <v>1.1768809320604949</v>
      </c>
      <c r="U9" s="44">
        <f>Inputs!U62</f>
        <v>1.1658294150379915</v>
      </c>
      <c r="V9" s="44">
        <f>Inputs!V62</f>
        <v>1.1548818775924121</v>
      </c>
      <c r="W9" s="44">
        <f>Inputs!W62</f>
        <v>1.1440373395863201</v>
      </c>
      <c r="X9" s="44">
        <f>Inputs!X62</f>
        <v>1.1332948301380434</v>
      </c>
      <c r="Y9" s="44">
        <f>Inputs!Y62</f>
        <v>1.1226533875341216</v>
      </c>
      <c r="Z9" s="44">
        <f>Inputs!Z62</f>
        <v>1.1121120591425733</v>
      </c>
      <c r="AA9" s="44">
        <f>Inputs!AA62</f>
        <v>1.1016699013269924</v>
      </c>
      <c r="AB9" s="44">
        <f>Inputs!AB62</f>
        <v>1.0913259793614554</v>
      </c>
      <c r="AC9" s="44">
        <f>Inputs!AC62</f>
        <v>1.0810793673462333</v>
      </c>
      <c r="AD9" s="44">
        <f>Inputs!AD62</f>
        <v>1.0709291481243053</v>
      </c>
      <c r="AE9" s="44">
        <f>Inputs!AE62</f>
        <v>1.0608744131986616</v>
      </c>
      <c r="AF9" s="44">
        <f>Inputs!AF62</f>
        <v>1.0509142626503907</v>
      </c>
      <c r="AG9" s="44">
        <f>Inputs!AG62</f>
        <v>1.0410478050575411</v>
      </c>
      <c r="AH9" s="44">
        <f>Inputs!AH62</f>
        <v>1.0312741574147559</v>
      </c>
      <c r="AI9" s="44">
        <f>Inputs!AI62</f>
        <v>1.0215924450536624</v>
      </c>
    </row>
    <row r="10" spans="1:35" ht="15" customHeight="1">
      <c r="E10" s="5" t="s">
        <v>143</v>
      </c>
      <c r="F10" s="31"/>
      <c r="G10" s="5" t="str">
        <f>Inputs!$I$11</f>
        <v>£m 2024 CPIH prices</v>
      </c>
      <c r="I10" s="30"/>
      <c r="J10" s="30"/>
      <c r="K10" s="44">
        <f>Inputs!K60</f>
        <v>0</v>
      </c>
      <c r="L10" s="44">
        <f>Inputs!L60</f>
        <v>0</v>
      </c>
      <c r="M10" s="44">
        <f>Inputs!M60</f>
        <v>0</v>
      </c>
      <c r="N10" s="44">
        <f>Inputs!N60</f>
        <v>0</v>
      </c>
      <c r="O10" s="44">
        <f>Inputs!O60</f>
        <v>0</v>
      </c>
      <c r="P10" s="44">
        <f>Inputs!P60</f>
        <v>0</v>
      </c>
      <c r="Q10" s="44">
        <f>Inputs!Q60</f>
        <v>0</v>
      </c>
      <c r="R10" s="44">
        <f>Inputs!R60</f>
        <v>0</v>
      </c>
      <c r="S10" s="44">
        <f>Inputs!S60</f>
        <v>0</v>
      </c>
      <c r="T10" s="44">
        <f>Inputs!T60</f>
        <v>0</v>
      </c>
      <c r="U10" s="44">
        <f>Inputs!U60</f>
        <v>0</v>
      </c>
      <c r="V10" s="44">
        <f>Inputs!V60</f>
        <v>0</v>
      </c>
      <c r="W10" s="44">
        <f>Inputs!W60</f>
        <v>0</v>
      </c>
      <c r="X10" s="44">
        <f>Inputs!X60</f>
        <v>0</v>
      </c>
      <c r="Y10" s="44">
        <f>Inputs!Y60</f>
        <v>0</v>
      </c>
      <c r="Z10" s="44">
        <f>Inputs!Z60</f>
        <v>0</v>
      </c>
      <c r="AA10" s="44">
        <f>Inputs!AA60</f>
        <v>0</v>
      </c>
      <c r="AB10" s="44">
        <f>Inputs!AB60</f>
        <v>0</v>
      </c>
      <c r="AC10" s="44">
        <f>Inputs!AC60</f>
        <v>0</v>
      </c>
      <c r="AD10" s="44">
        <f>Inputs!AD60</f>
        <v>0</v>
      </c>
      <c r="AE10" s="44">
        <f>Inputs!AE60</f>
        <v>0</v>
      </c>
      <c r="AF10" s="44">
        <f>Inputs!AF60</f>
        <v>0</v>
      </c>
      <c r="AG10" s="44">
        <f>Inputs!AG60</f>
        <v>0</v>
      </c>
      <c r="AH10" s="44">
        <f>Inputs!AH60</f>
        <v>0</v>
      </c>
      <c r="AI10" s="44">
        <f>Inputs!AI60</f>
        <v>31.739482892968308</v>
      </c>
    </row>
    <row r="11" spans="1:35" ht="15" customHeight="1">
      <c r="E11" s="5" t="s">
        <v>234</v>
      </c>
      <c r="F11" s="31"/>
      <c r="G11" s="5" t="str">
        <f>Inputs!$I$11</f>
        <v>£m 2024 CPIH prices</v>
      </c>
      <c r="I11" s="30"/>
      <c r="J11" s="30"/>
      <c r="K11" s="44">
        <f>'Op Rav'!K25</f>
        <v>18.878775658008987</v>
      </c>
      <c r="L11" s="44">
        <f>'Op Rav'!L25</f>
        <v>18.878775658008987</v>
      </c>
      <c r="M11" s="44">
        <f>'Op Rav'!M25</f>
        <v>18.878775658008987</v>
      </c>
      <c r="N11" s="44">
        <f>'Op Rav'!N25</f>
        <v>18.87877565800899</v>
      </c>
      <c r="O11" s="44">
        <f>'Op Rav'!O25</f>
        <v>18.87877565800899</v>
      </c>
      <c r="P11" s="44">
        <f>'Op Rav'!P25</f>
        <v>18.87877565800899</v>
      </c>
      <c r="Q11" s="44">
        <f>'Op Rav'!Q25</f>
        <v>18.87877565800899</v>
      </c>
      <c r="R11" s="44">
        <f>'Op Rav'!R25</f>
        <v>19.043941297148464</v>
      </c>
      <c r="S11" s="44">
        <f>'Op Rav'!S25</f>
        <v>19.287258209519948</v>
      </c>
      <c r="T11" s="44">
        <f>'Op Rav'!T25</f>
        <v>19.287258209519948</v>
      </c>
      <c r="U11" s="44">
        <f>'Op Rav'!U25</f>
        <v>19.378534197665413</v>
      </c>
      <c r="V11" s="44">
        <f>'Op Rav'!V25</f>
        <v>19.37853419766541</v>
      </c>
      <c r="W11" s="44">
        <f>'Op Rav'!W25</f>
        <v>19.442824103497259</v>
      </c>
      <c r="X11" s="44">
        <f>'Op Rav'!X25</f>
        <v>19.560110376072718</v>
      </c>
      <c r="Y11" s="44">
        <f>'Op Rav'!Y25</f>
        <v>19.991743618310149</v>
      </c>
      <c r="Z11" s="44">
        <f>'Op Rav'!Z25</f>
        <v>19.991743618310149</v>
      </c>
      <c r="AA11" s="44">
        <f>'Op Rav'!AA25</f>
        <v>19.991743618310149</v>
      </c>
      <c r="AB11" s="44">
        <f>'Op Rav'!AB25</f>
        <v>23.549061336455075</v>
      </c>
      <c r="AC11" s="44">
        <f>'Op Rav'!AC25</f>
        <v>23.549061336455075</v>
      </c>
      <c r="AD11" s="44">
        <f>'Op Rav'!AD25</f>
        <v>23.549061336455072</v>
      </c>
      <c r="AE11" s="44">
        <f>'Op Rav'!AE25</f>
        <v>23.822889300891475</v>
      </c>
      <c r="AF11" s="44">
        <f>'Op Rav'!AF25</f>
        <v>24.5661346770191</v>
      </c>
      <c r="AG11" s="44">
        <f>'Op Rav'!AG25</f>
        <v>24.566134677019097</v>
      </c>
      <c r="AH11" s="44">
        <f>'Op Rav'!AH25</f>
        <v>24.5661346770191</v>
      </c>
      <c r="AI11" s="44">
        <f>'Op Rav'!AI25</f>
        <v>24.5661346770191</v>
      </c>
    </row>
    <row r="12" spans="1:35" ht="15" customHeight="1">
      <c r="E12" s="5" t="s">
        <v>240</v>
      </c>
      <c r="G12" s="5" t="str">
        <f>Inputs!$I$11</f>
        <v>£m 2024 CPIH prices</v>
      </c>
      <c r="I12" s="5"/>
      <c r="K12" s="44">
        <f>'Op Rav'!K40</f>
        <v>33.158604588406767</v>
      </c>
      <c r="L12" s="44">
        <f>'Op Rav'!L40</f>
        <v>31.806179504594489</v>
      </c>
      <c r="M12" s="44">
        <f>'Op Rav'!M40</f>
        <v>30.453754420782214</v>
      </c>
      <c r="N12" s="44">
        <f>'Op Rav'!N40</f>
        <v>29.10132933696994</v>
      </c>
      <c r="O12" s="44">
        <f>'Op Rav'!O40</f>
        <v>27.748904253157665</v>
      </c>
      <c r="P12" s="44">
        <f>'Op Rav'!P40</f>
        <v>26.396479169345387</v>
      </c>
      <c r="Q12" s="44">
        <f>'Op Rav'!Q40</f>
        <v>25.146732929153799</v>
      </c>
      <c r="R12" s="44">
        <f>'Op Rav'!R40</f>
        <v>24.041760859848324</v>
      </c>
      <c r="S12" s="44">
        <f>'Op Rav'!S40</f>
        <v>22.822560210732544</v>
      </c>
      <c r="T12" s="44">
        <f>'Op Rav'!T40</f>
        <v>21.48815896153522</v>
      </c>
      <c r="U12" s="44">
        <f>'Op Rav'!U40</f>
        <v>20.15411393680737</v>
      </c>
      <c r="V12" s="44">
        <f>'Op Rav'!V40</f>
        <v>18.79475270761905</v>
      </c>
      <c r="W12" s="44">
        <f>'Op Rav'!W40</f>
        <v>17.483921932764812</v>
      </c>
      <c r="X12" s="44">
        <f>'Op Rav'!X40</f>
        <v>16.303237075596233</v>
      </c>
      <c r="Y12" s="44">
        <f>'Op Rav'!Y40</f>
        <v>15.063245058058424</v>
      </c>
      <c r="Z12" s="44">
        <f>'Op Rav'!Z40</f>
        <v>13.631089921076514</v>
      </c>
      <c r="AA12" s="44">
        <f>'Op Rav'!AA40</f>
        <v>13.181816834686124</v>
      </c>
      <c r="AB12" s="44">
        <f>'Op Rav'!AB40</f>
        <v>12.682613340125686</v>
      </c>
      <c r="AC12" s="44">
        <f>'Op Rav'!AC40</f>
        <v>10.995621459476657</v>
      </c>
      <c r="AD12" s="44">
        <f>'Op Rav'!AD40</f>
        <v>9.3559160128277696</v>
      </c>
      <c r="AE12" s="44">
        <f>'Op Rav'!AE40</f>
        <v>7.8129407764023489</v>
      </c>
      <c r="AF12" s="44">
        <f>'Op Rav'!AF40</f>
        <v>6.1909604943848704</v>
      </c>
      <c r="AG12" s="44">
        <f>'Op Rav'!AG40</f>
        <v>4.4311081950957165</v>
      </c>
      <c r="AH12" s="44">
        <f>'Op Rav'!AH40</f>
        <v>2.6712558958065626</v>
      </c>
      <c r="AI12" s="44">
        <f>'Op Rav'!AI40</f>
        <v>0.91140359651740865</v>
      </c>
    </row>
    <row r="13" spans="1:35" ht="15" customHeight="1">
      <c r="C13" s="19"/>
      <c r="E13" s="19" t="s">
        <v>243</v>
      </c>
      <c r="G13" s="5" t="str">
        <f>Inputs!$I$11</f>
        <v>£m 2024 CPIH prices</v>
      </c>
      <c r="I13" s="5"/>
      <c r="K13" s="8">
        <f t="shared" ref="K13:AI13" si="1">SUM(K8:K12)</f>
        <v>70.811555275576183</v>
      </c>
      <c r="L13" s="8">
        <f t="shared" si="1"/>
        <v>65.096236374151772</v>
      </c>
      <c r="M13" s="8">
        <f t="shared" si="1"/>
        <v>68.556240716228487</v>
      </c>
      <c r="N13" s="8">
        <f t="shared" si="1"/>
        <v>66.848315565822759</v>
      </c>
      <c r="O13" s="8">
        <f t="shared" si="1"/>
        <v>66.661663391580646</v>
      </c>
      <c r="P13" s="8">
        <f t="shared" si="1"/>
        <v>65.249286986168514</v>
      </c>
      <c r="Q13" s="8">
        <f t="shared" si="1"/>
        <v>63.775152905775997</v>
      </c>
      <c r="R13" s="8">
        <f t="shared" si="1"/>
        <v>64.269937397872468</v>
      </c>
      <c r="S13" s="8">
        <f t="shared" si="1"/>
        <v>63.695505902838079</v>
      </c>
      <c r="T13" s="8">
        <f t="shared" si="1"/>
        <v>63.478901449667461</v>
      </c>
      <c r="U13" s="8">
        <f t="shared" si="1"/>
        <v>61.837689777589731</v>
      </c>
      <c r="V13" s="8">
        <f t="shared" si="1"/>
        <v>60.504118484036781</v>
      </c>
      <c r="W13" s="8">
        <f t="shared" si="1"/>
        <v>59.284197775099287</v>
      </c>
      <c r="X13" s="8">
        <f t="shared" si="1"/>
        <v>58.248268373097702</v>
      </c>
      <c r="Y13" s="8">
        <f t="shared" si="1"/>
        <v>58.383067207972644</v>
      </c>
      <c r="Z13" s="8">
        <f t="shared" si="1"/>
        <v>56.370621961299598</v>
      </c>
      <c r="AA13" s="8">
        <f t="shared" si="1"/>
        <v>55.953750524902311</v>
      </c>
      <c r="AB13" s="8">
        <f t="shared" si="1"/>
        <v>59.045242434004528</v>
      </c>
      <c r="AC13" s="8">
        <f t="shared" si="1"/>
        <v>57.392627331628084</v>
      </c>
      <c r="AD13" s="8">
        <f t="shared" si="1"/>
        <v>56.717099529256622</v>
      </c>
      <c r="AE13" s="8">
        <f t="shared" si="1"/>
        <v>54.930092784501745</v>
      </c>
      <c r="AF13" s="8">
        <f t="shared" si="1"/>
        <v>54.091149845789751</v>
      </c>
      <c r="AG13" s="8">
        <f t="shared" si="1"/>
        <v>52.372234051307352</v>
      </c>
      <c r="AH13" s="8">
        <f t="shared" si="1"/>
        <v>50.654490773482387</v>
      </c>
      <c r="AI13" s="8">
        <f t="shared" si="1"/>
        <v>80.871864209457584</v>
      </c>
    </row>
    <row r="14" spans="1:35" ht="15" customHeight="1"/>
    <row r="15" spans="1:35" ht="15" customHeight="1">
      <c r="B15" s="126" t="s">
        <v>245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</row>
    <row r="16" spans="1:35" ht="15" customHeight="1">
      <c r="B16" s="5"/>
      <c r="C16" s="5"/>
      <c r="D16" s="5"/>
    </row>
    <row r="17" spans="2:35" ht="15" customHeight="1">
      <c r="B17" s="5"/>
      <c r="C17" s="12" t="s">
        <v>246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ht="15" customHeight="1">
      <c r="B18" s="5"/>
      <c r="C18" s="5"/>
      <c r="D18" s="5"/>
    </row>
    <row r="19" spans="2:35" ht="15" customHeight="1">
      <c r="E19" s="18" t="s">
        <v>150</v>
      </c>
      <c r="G19" s="18" t="str">
        <f>Inputs!G68</f>
        <v>real annual %</v>
      </c>
      <c r="I19" s="88">
        <f>Inputs!I68</f>
        <v>7.4200000000000002E-2</v>
      </c>
      <c r="AE19" s="63"/>
    </row>
    <row r="20" spans="2:35" ht="15" customHeight="1">
      <c r="B20" s="5"/>
      <c r="C20" s="5"/>
      <c r="D20" s="5"/>
      <c r="E20" s="18" t="s">
        <v>167</v>
      </c>
      <c r="G20" s="18" t="str">
        <f>Inputs!G89</f>
        <v>full years</v>
      </c>
      <c r="I20" s="118">
        <f>Inputs!I89</f>
        <v>25</v>
      </c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</row>
    <row r="21" spans="2:35" ht="15" customHeight="1">
      <c r="B21" s="5"/>
      <c r="C21" s="5"/>
      <c r="D21" s="5"/>
      <c r="E21" s="19" t="s">
        <v>247</v>
      </c>
      <c r="G21" s="19" t="s">
        <v>181</v>
      </c>
      <c r="I21" s="61">
        <f>I19 / (1 - (1 + I19)^(-I20))</f>
        <v>8.9081998260848769E-2</v>
      </c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</row>
    <row r="22" spans="2:35" ht="15" customHeight="1">
      <c r="E22" s="18"/>
      <c r="G22" s="18"/>
      <c r="I22" s="18"/>
    </row>
    <row r="23" spans="2:35" ht="15" customHeight="1">
      <c r="B23" s="5"/>
      <c r="C23" s="5"/>
      <c r="D23" s="5"/>
      <c r="E23" s="5" t="s">
        <v>248</v>
      </c>
      <c r="F23" s="5"/>
      <c r="G23" s="5" t="s">
        <v>172</v>
      </c>
      <c r="H23" s="5"/>
      <c r="I23" s="28"/>
      <c r="J23" s="6"/>
      <c r="K23" s="22" t="b">
        <f t="shared" ref="K23:AI23" si="2">AND(K4 &gt; 0, K4&lt;= $I20)</f>
        <v>1</v>
      </c>
      <c r="L23" s="22" t="b">
        <f t="shared" si="2"/>
        <v>1</v>
      </c>
      <c r="M23" s="22" t="b">
        <f t="shared" si="2"/>
        <v>1</v>
      </c>
      <c r="N23" s="22" t="b">
        <f t="shared" si="2"/>
        <v>1</v>
      </c>
      <c r="O23" s="22" t="b">
        <f t="shared" si="2"/>
        <v>1</v>
      </c>
      <c r="P23" s="22" t="b">
        <f t="shared" si="2"/>
        <v>1</v>
      </c>
      <c r="Q23" s="22" t="b">
        <f t="shared" si="2"/>
        <v>1</v>
      </c>
      <c r="R23" s="22" t="b">
        <f t="shared" si="2"/>
        <v>1</v>
      </c>
      <c r="S23" s="22" t="b">
        <f t="shared" si="2"/>
        <v>1</v>
      </c>
      <c r="T23" s="22" t="b">
        <f t="shared" si="2"/>
        <v>1</v>
      </c>
      <c r="U23" s="22" t="b">
        <f t="shared" si="2"/>
        <v>1</v>
      </c>
      <c r="V23" s="22" t="b">
        <f t="shared" si="2"/>
        <v>1</v>
      </c>
      <c r="W23" s="22" t="b">
        <f t="shared" si="2"/>
        <v>1</v>
      </c>
      <c r="X23" s="22" t="b">
        <f t="shared" si="2"/>
        <v>1</v>
      </c>
      <c r="Y23" s="22" t="b">
        <f t="shared" si="2"/>
        <v>1</v>
      </c>
      <c r="Z23" s="22" t="b">
        <f t="shared" si="2"/>
        <v>1</v>
      </c>
      <c r="AA23" s="22" t="b">
        <f t="shared" si="2"/>
        <v>1</v>
      </c>
      <c r="AB23" s="22" t="b">
        <f t="shared" si="2"/>
        <v>1</v>
      </c>
      <c r="AC23" s="22" t="b">
        <f t="shared" si="2"/>
        <v>1</v>
      </c>
      <c r="AD23" s="22" t="b">
        <f t="shared" si="2"/>
        <v>1</v>
      </c>
      <c r="AE23" s="22" t="b">
        <f t="shared" si="2"/>
        <v>1</v>
      </c>
      <c r="AF23" s="22" t="b">
        <f t="shared" si="2"/>
        <v>1</v>
      </c>
      <c r="AG23" s="22" t="b">
        <f t="shared" si="2"/>
        <v>1</v>
      </c>
      <c r="AH23" s="22" t="b">
        <f t="shared" si="2"/>
        <v>1</v>
      </c>
      <c r="AI23" s="22" t="b">
        <f t="shared" si="2"/>
        <v>1</v>
      </c>
    </row>
    <row r="24" spans="2:35" ht="15" customHeight="1">
      <c r="B24" s="5"/>
      <c r="C24" s="5"/>
      <c r="D24" s="5"/>
      <c r="E24" s="19" t="s">
        <v>249</v>
      </c>
      <c r="G24" s="19" t="s">
        <v>181</v>
      </c>
      <c r="I24" s="30"/>
      <c r="J24" s="30"/>
      <c r="K24" s="104">
        <f t="shared" ref="K24:AI24" si="3">(1 + $I19) ^ - K4</f>
        <v>0.93092533978774894</v>
      </c>
      <c r="L24" s="104">
        <f t="shared" si="3"/>
        <v>0.86662198825893588</v>
      </c>
      <c r="M24" s="104">
        <f t="shared" si="3"/>
        <v>0.80676036888748459</v>
      </c>
      <c r="N24" s="104">
        <f t="shared" si="3"/>
        <v>0.75103367053387127</v>
      </c>
      <c r="O24" s="104">
        <f t="shared" si="3"/>
        <v>0.69915627493378441</v>
      </c>
      <c r="P24" s="104">
        <f t="shared" si="3"/>
        <v>0.65086229280747021</v>
      </c>
      <c r="Q24" s="104">
        <f t="shared" si="3"/>
        <v>0.60590420108682752</v>
      </c>
      <c r="R24" s="104">
        <f t="shared" si="3"/>
        <v>0.5640515742755795</v>
      </c>
      <c r="S24" s="104">
        <f t="shared" si="3"/>
        <v>0.52508990344030859</v>
      </c>
      <c r="T24" s="104">
        <f t="shared" si="3"/>
        <v>0.48881949677928566</v>
      </c>
      <c r="U24" s="104">
        <f t="shared" si="3"/>
        <v>0.45505445613413298</v>
      </c>
      <c r="V24" s="104">
        <f t="shared" si="3"/>
        <v>0.42362172419859706</v>
      </c>
      <c r="W24" s="104">
        <f t="shared" si="3"/>
        <v>0.39436019754105106</v>
      </c>
      <c r="X24" s="104">
        <f t="shared" si="3"/>
        <v>0.36711990089466678</v>
      </c>
      <c r="Y24" s="104">
        <f t="shared" si="3"/>
        <v>0.34176121848321239</v>
      </c>
      <c r="Z24" s="104">
        <f t="shared" si="3"/>
        <v>0.31815417844275962</v>
      </c>
      <c r="AA24" s="104">
        <f t="shared" si="3"/>
        <v>0.29617778667171812</v>
      </c>
      <c r="AB24" s="104">
        <f t="shared" si="3"/>
        <v>0.27571940669495265</v>
      </c>
      <c r="AC24" s="104">
        <f t="shared" si="3"/>
        <v>0.25667418236357536</v>
      </c>
      <c r="AD24" s="104">
        <f t="shared" si="3"/>
        <v>0.23894450043155405</v>
      </c>
      <c r="AE24" s="104">
        <f t="shared" si="3"/>
        <v>0.22243949025465837</v>
      </c>
      <c r="AF24" s="104">
        <f t="shared" si="3"/>
        <v>0.20707455804753155</v>
      </c>
      <c r="AG24" s="104">
        <f t="shared" si="3"/>
        <v>0.19277095331179622</v>
      </c>
      <c r="AH24" s="104">
        <f t="shared" si="3"/>
        <v>0.17945536521299221</v>
      </c>
      <c r="AI24" s="104">
        <f t="shared" si="3"/>
        <v>0.16705954683763938</v>
      </c>
    </row>
    <row r="25" spans="2:35" ht="15" customHeight="1">
      <c r="B25" s="5"/>
      <c r="C25" s="5"/>
      <c r="D25" s="5"/>
    </row>
    <row r="26" spans="2:35" ht="15" customHeight="1">
      <c r="B26" s="5"/>
      <c r="C26" s="12" t="s">
        <v>250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ht="15" customHeight="1">
      <c r="B27" s="5"/>
      <c r="C27" s="5"/>
      <c r="D27" s="5"/>
    </row>
    <row r="28" spans="2:35" ht="15" customHeight="1">
      <c r="B28" s="5"/>
      <c r="C28" s="5"/>
      <c r="D28" s="5"/>
      <c r="E28" s="5" t="s">
        <v>251</v>
      </c>
      <c r="G28" s="5" t="str">
        <f>Inputs!$I$11</f>
        <v>£m 2024 CPIH prices</v>
      </c>
      <c r="I28" s="30"/>
      <c r="J28" s="30"/>
      <c r="K28" s="5">
        <f t="shared" ref="K28:AI28" si="4">K13 * K$24</f>
        <v>65.920271155814717</v>
      </c>
      <c r="L28" s="5">
        <f t="shared" si="4"/>
        <v>56.413829794741069</v>
      </c>
      <c r="M28" s="5">
        <f t="shared" si="4"/>
        <v>55.308458049763686</v>
      </c>
      <c r="N28" s="5">
        <f t="shared" si="4"/>
        <v>50.205335808406389</v>
      </c>
      <c r="O28" s="5">
        <f t="shared" si="4"/>
        <v>46.606920257747348</v>
      </c>
      <c r="P28" s="5">
        <f t="shared" si="4"/>
        <v>42.46830053187027</v>
      </c>
      <c r="Q28" s="5">
        <f t="shared" si="4"/>
        <v>38.641633070564474</v>
      </c>
      <c r="R28" s="5">
        <f t="shared" si="4"/>
        <v>36.25155936786291</v>
      </c>
      <c r="S28" s="5">
        <f t="shared" si="4"/>
        <v>33.445867044102854</v>
      </c>
      <c r="T28" s="5">
        <f t="shared" si="4"/>
        <v>31.029724662728317</v>
      </c>
      <c r="U28" s="5">
        <f t="shared" si="4"/>
        <v>28.139516290332331</v>
      </c>
      <c r="V28" s="5">
        <f t="shared" si="4"/>
        <v>25.630858993323866</v>
      </c>
      <c r="W28" s="5">
        <f t="shared" si="4"/>
        <v>23.379327945650896</v>
      </c>
      <c r="X28" s="5">
        <f t="shared" si="4"/>
        <v>21.38409851241758</v>
      </c>
      <c r="Y28" s="5">
        <f t="shared" si="4"/>
        <v>19.953068187784012</v>
      </c>
      <c r="Z28" s="5">
        <f t="shared" si="4"/>
        <v>17.934548918404655</v>
      </c>
      <c r="AA28" s="5">
        <f t="shared" si="4"/>
        <v>16.572257986447053</v>
      </c>
      <c r="AB28" s="5">
        <f t="shared" si="4"/>
        <v>16.279919212063369</v>
      </c>
      <c r="AC28" s="5">
        <f t="shared" si="4"/>
        <v>14.731205694043027</v>
      </c>
      <c r="AD28" s="5">
        <f t="shared" si="4"/>
        <v>13.552239012944952</v>
      </c>
      <c r="AE28" s="5">
        <f t="shared" si="4"/>
        <v>12.218621838625657</v>
      </c>
      <c r="AF28" s="5">
        <f t="shared" si="4"/>
        <v>11.200900948599717</v>
      </c>
      <c r="AG28" s="5">
        <f t="shared" si="4"/>
        <v>10.095845485139034</v>
      </c>
      <c r="AH28" s="5">
        <f t="shared" si="4"/>
        <v>9.0902201414334254</v>
      </c>
      <c r="AI28" s="5">
        <f t="shared" si="4"/>
        <v>13.51041698674709</v>
      </c>
    </row>
    <row r="29" spans="2:35" ht="15" customHeight="1">
      <c r="B29" s="5"/>
      <c r="C29" s="5"/>
      <c r="D29" s="5"/>
      <c r="E29" s="19" t="s">
        <v>252</v>
      </c>
      <c r="G29" s="5" t="str">
        <f>Inputs!$I$11</f>
        <v>£m 2024 CPIH prices</v>
      </c>
      <c r="I29" s="60">
        <f>SUM(K28:AI28)</f>
        <v>709.96494589755878</v>
      </c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</row>
    <row r="30" spans="2:35" ht="15" customHeight="1">
      <c r="B30" s="5"/>
      <c r="C30" s="5"/>
      <c r="D30" s="5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</row>
    <row r="31" spans="2:35" ht="15" customHeight="1">
      <c r="B31" s="5"/>
      <c r="C31" s="5"/>
      <c r="D31" s="5"/>
      <c r="E31" s="61" t="s">
        <v>247</v>
      </c>
      <c r="G31" s="61" t="str">
        <f>G$21</f>
        <v>scalar</v>
      </c>
      <c r="I31" s="111">
        <f>I$21</f>
        <v>8.9081998260848769E-2</v>
      </c>
    </row>
    <row r="32" spans="2:35" ht="15" customHeight="1">
      <c r="B32" s="5"/>
      <c r="C32" s="5"/>
      <c r="D32" s="5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</row>
    <row r="33" spans="2:35" ht="15" customHeight="1">
      <c r="B33" s="5"/>
      <c r="C33" s="5"/>
      <c r="D33" s="5"/>
      <c r="E33" s="19" t="s">
        <v>253</v>
      </c>
      <c r="G33" s="5" t="str">
        <f>Inputs!$I$11</f>
        <v>£m 2024 CPIH prices</v>
      </c>
      <c r="I33" s="89">
        <f>I29 * I31</f>
        <v>63.245096075709924</v>
      </c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</row>
    <row r="34" spans="2:35" ht="15" customHeight="1">
      <c r="B34" s="5"/>
      <c r="C34" s="5"/>
      <c r="D34" s="5"/>
      <c r="E34" s="5" t="s">
        <v>254</v>
      </c>
      <c r="G34" s="5" t="str">
        <f>Inputs!$I$11</f>
        <v>£m 2024 CPIH prices</v>
      </c>
      <c r="J34" s="30"/>
      <c r="K34" s="45">
        <f t="shared" ref="K34:AI34" si="5">K$23 * $I33</f>
        <v>63.245096075709924</v>
      </c>
      <c r="L34" s="45">
        <f t="shared" si="5"/>
        <v>63.245096075709924</v>
      </c>
      <c r="M34" s="45">
        <f t="shared" si="5"/>
        <v>63.245096075709924</v>
      </c>
      <c r="N34" s="45">
        <f t="shared" si="5"/>
        <v>63.245096075709924</v>
      </c>
      <c r="O34" s="45">
        <f t="shared" si="5"/>
        <v>63.245096075709924</v>
      </c>
      <c r="P34" s="45">
        <f t="shared" si="5"/>
        <v>63.245096075709924</v>
      </c>
      <c r="Q34" s="45">
        <f t="shared" si="5"/>
        <v>63.245096075709924</v>
      </c>
      <c r="R34" s="45">
        <f t="shared" si="5"/>
        <v>63.245096075709924</v>
      </c>
      <c r="S34" s="45">
        <f t="shared" si="5"/>
        <v>63.245096075709924</v>
      </c>
      <c r="T34" s="45">
        <f t="shared" si="5"/>
        <v>63.245096075709924</v>
      </c>
      <c r="U34" s="45">
        <f t="shared" si="5"/>
        <v>63.245096075709924</v>
      </c>
      <c r="V34" s="45">
        <f t="shared" si="5"/>
        <v>63.245096075709924</v>
      </c>
      <c r="W34" s="45">
        <f t="shared" si="5"/>
        <v>63.245096075709924</v>
      </c>
      <c r="X34" s="45">
        <f t="shared" si="5"/>
        <v>63.245096075709924</v>
      </c>
      <c r="Y34" s="45">
        <f t="shared" si="5"/>
        <v>63.245096075709924</v>
      </c>
      <c r="Z34" s="45">
        <f t="shared" si="5"/>
        <v>63.245096075709924</v>
      </c>
      <c r="AA34" s="45">
        <f t="shared" si="5"/>
        <v>63.245096075709924</v>
      </c>
      <c r="AB34" s="45">
        <f t="shared" si="5"/>
        <v>63.245096075709924</v>
      </c>
      <c r="AC34" s="45">
        <f t="shared" si="5"/>
        <v>63.245096075709924</v>
      </c>
      <c r="AD34" s="45">
        <f t="shared" si="5"/>
        <v>63.245096075709924</v>
      </c>
      <c r="AE34" s="45">
        <f t="shared" si="5"/>
        <v>63.245096075709924</v>
      </c>
      <c r="AF34" s="45">
        <f t="shared" si="5"/>
        <v>63.245096075709924</v>
      </c>
      <c r="AG34" s="45">
        <f t="shared" si="5"/>
        <v>63.245096075709924</v>
      </c>
      <c r="AH34" s="45">
        <f t="shared" si="5"/>
        <v>63.245096075709924</v>
      </c>
      <c r="AI34" s="45">
        <f t="shared" si="5"/>
        <v>63.245096075709924</v>
      </c>
    </row>
    <row r="35" spans="2:35" ht="15" customHeight="1">
      <c r="B35" s="5"/>
      <c r="C35" s="5"/>
      <c r="D35" s="5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</row>
    <row r="36" spans="2:35" ht="15" customHeight="1">
      <c r="B36" s="126" t="s">
        <v>45</v>
      </c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</row>
    <row r="37" spans="2:35" ht="15" customHeight="1"/>
  </sheetData>
  <conditionalFormatting sqref="K23:AI23">
    <cfRule type="cellIs" dxfId="1" priority="1" operator="equal">
      <formula>FALSE()</formula>
    </cfRule>
  </conditionalFormatting>
  <pageMargins left="0.23622047244094491" right="0.23622047244094491" top="0.74803149606299213" bottom="0.74803149606299213" header="0.31496062992125978" footer="0.31496062992125978"/>
  <pageSetup paperSize="8" scale="43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7" tint="0.59999389629810485"/>
    <pageSetUpPr fitToPage="1"/>
  </sheetPr>
  <dimension ref="A1:AY37"/>
  <sheetViews>
    <sheetView zoomScaleNormal="100" workbookViewId="0">
      <pane xSplit="10" ySplit="4" topLeftCell="K5" activePane="bottomRight" state="frozen"/>
      <selection activeCell="G43" sqref="G43"/>
      <selection pane="topRight" activeCell="G43" sqref="G43"/>
      <selection pane="bottomLeft" activeCell="G43" sqref="G43"/>
      <selection pane="bottomRight" activeCell="M20" sqref="M20"/>
    </sheetView>
  </sheetViews>
  <sheetFormatPr baseColWidth="10" defaultColWidth="0" defaultRowHeight="15" customHeight="1" zeroHeight="1"/>
  <cols>
    <col min="1" max="3" width="2.59765625" style="29" customWidth="1"/>
    <col min="4" max="4" width="2.59765625" style="19" customWidth="1"/>
    <col min="5" max="5" width="50.59765625" style="19" customWidth="1"/>
    <col min="6" max="6" width="1.59765625" style="19" customWidth="1"/>
    <col min="7" max="7" width="15.59765625" style="19" customWidth="1"/>
    <col min="8" max="8" width="10.796875" style="19" bestFit="1" customWidth="1"/>
    <col min="9" max="9" width="10.59765625" style="19" customWidth="1"/>
    <col min="10" max="10" width="1.59765625" style="19" customWidth="1"/>
    <col min="11" max="35" width="10.59765625" style="19" customWidth="1"/>
    <col min="36" max="36" width="3" customWidth="1"/>
    <col min="37" max="50" width="10.59765625" hidden="1" customWidth="1"/>
    <col min="51" max="51" width="2.59765625" hidden="1" customWidth="1"/>
    <col min="52" max="54" width="9" hidden="1" customWidth="1"/>
    <col min="55" max="16384" width="9" hidden="1"/>
  </cols>
  <sheetData>
    <row r="1" spans="1:35" ht="15" customHeight="1">
      <c r="A1" s="171" t="s">
        <v>33</v>
      </c>
      <c r="B1" s="14"/>
      <c r="C1" s="14"/>
      <c r="D1" s="14"/>
      <c r="E1" s="14"/>
      <c r="F1" s="14"/>
      <c r="G1" s="14"/>
      <c r="H1" s="14" t="s">
        <v>84</v>
      </c>
      <c r="I1" s="14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4"/>
      <c r="AH1" s="14"/>
      <c r="AI1" s="14"/>
    </row>
    <row r="2" spans="1:35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24" t="s">
        <v>88</v>
      </c>
      <c r="J2" s="17"/>
      <c r="K2" s="16" t="s">
        <v>89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</row>
    <row r="3" spans="1:35" ht="15" customHeight="1">
      <c r="A3" s="14"/>
      <c r="B3" s="14"/>
      <c r="C3" s="14"/>
      <c r="D3" s="14"/>
      <c r="E3" s="17" t="s">
        <v>222</v>
      </c>
      <c r="F3" s="16"/>
      <c r="G3" s="16"/>
      <c r="H3" s="16"/>
      <c r="I3" s="24"/>
      <c r="J3" s="17"/>
      <c r="K3" s="125" t="s">
        <v>116</v>
      </c>
      <c r="L3" s="125" t="s">
        <v>117</v>
      </c>
      <c r="M3" s="125" t="s">
        <v>118</v>
      </c>
      <c r="N3" s="125" t="s">
        <v>119</v>
      </c>
      <c r="O3" s="125" t="s">
        <v>120</v>
      </c>
      <c r="P3" s="125" t="s">
        <v>121</v>
      </c>
      <c r="Q3" s="125" t="s">
        <v>122</v>
      </c>
      <c r="R3" s="125" t="s">
        <v>123</v>
      </c>
      <c r="S3" s="125" t="s">
        <v>124</v>
      </c>
      <c r="T3" s="125" t="s">
        <v>125</v>
      </c>
      <c r="U3" s="125" t="s">
        <v>126</v>
      </c>
      <c r="V3" s="125" t="s">
        <v>127</v>
      </c>
      <c r="W3" s="125" t="s">
        <v>128</v>
      </c>
      <c r="X3" s="125" t="s">
        <v>129</v>
      </c>
      <c r="Y3" s="125" t="s">
        <v>130</v>
      </c>
      <c r="Z3" s="125" t="s">
        <v>131</v>
      </c>
      <c r="AA3" s="125" t="s">
        <v>132</v>
      </c>
      <c r="AB3" s="125" t="s">
        <v>133</v>
      </c>
      <c r="AC3" s="125" t="s">
        <v>134</v>
      </c>
      <c r="AD3" s="125" t="s">
        <v>135</v>
      </c>
      <c r="AE3" s="125" t="s">
        <v>136</v>
      </c>
      <c r="AF3" s="125" t="s">
        <v>137</v>
      </c>
      <c r="AG3" s="125" t="s">
        <v>138</v>
      </c>
      <c r="AH3" s="125" t="s">
        <v>139</v>
      </c>
      <c r="AI3" s="125" t="s">
        <v>140</v>
      </c>
    </row>
    <row r="4" spans="1:35" ht="15" customHeight="1">
      <c r="A4" s="14"/>
      <c r="B4" s="14"/>
      <c r="C4" s="14"/>
      <c r="D4" s="14"/>
      <c r="E4" s="10" t="s">
        <v>242</v>
      </c>
      <c r="F4" s="16"/>
      <c r="G4" s="16"/>
      <c r="H4" s="16"/>
      <c r="I4" s="16"/>
      <c r="J4" s="17"/>
      <c r="K4" s="127">
        <v>1</v>
      </c>
      <c r="L4" s="127">
        <f t="shared" ref="L4:AI4" si="0">+K4+1</f>
        <v>2</v>
      </c>
      <c r="M4" s="127">
        <f t="shared" si="0"/>
        <v>3</v>
      </c>
      <c r="N4" s="127">
        <f t="shared" si="0"/>
        <v>4</v>
      </c>
      <c r="O4" s="127">
        <f t="shared" si="0"/>
        <v>5</v>
      </c>
      <c r="P4" s="127">
        <f t="shared" si="0"/>
        <v>6</v>
      </c>
      <c r="Q4" s="127">
        <f t="shared" si="0"/>
        <v>7</v>
      </c>
      <c r="R4" s="127">
        <f t="shared" si="0"/>
        <v>8</v>
      </c>
      <c r="S4" s="127">
        <f t="shared" si="0"/>
        <v>9</v>
      </c>
      <c r="T4" s="127">
        <f t="shared" si="0"/>
        <v>10</v>
      </c>
      <c r="U4" s="127">
        <f t="shared" si="0"/>
        <v>11</v>
      </c>
      <c r="V4" s="127">
        <f t="shared" si="0"/>
        <v>12</v>
      </c>
      <c r="W4" s="127">
        <f t="shared" si="0"/>
        <v>13</v>
      </c>
      <c r="X4" s="127">
        <f t="shared" si="0"/>
        <v>14</v>
      </c>
      <c r="Y4" s="127">
        <f t="shared" si="0"/>
        <v>15</v>
      </c>
      <c r="Z4" s="127">
        <f t="shared" si="0"/>
        <v>16</v>
      </c>
      <c r="AA4" s="127">
        <f t="shared" si="0"/>
        <v>17</v>
      </c>
      <c r="AB4" s="127">
        <f t="shared" si="0"/>
        <v>18</v>
      </c>
      <c r="AC4" s="127">
        <f t="shared" si="0"/>
        <v>19</v>
      </c>
      <c r="AD4" s="127">
        <f t="shared" si="0"/>
        <v>20</v>
      </c>
      <c r="AE4" s="127">
        <f t="shared" si="0"/>
        <v>21</v>
      </c>
      <c r="AF4" s="127">
        <f t="shared" si="0"/>
        <v>22</v>
      </c>
      <c r="AG4" s="127">
        <f t="shared" si="0"/>
        <v>23</v>
      </c>
      <c r="AH4" s="127">
        <f t="shared" si="0"/>
        <v>24</v>
      </c>
      <c r="AI4" s="127">
        <f t="shared" si="0"/>
        <v>25</v>
      </c>
    </row>
    <row r="5" spans="1:35" ht="15" customHeight="1"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</row>
    <row r="6" spans="1:35" ht="15" customHeight="1">
      <c r="A6" s="5"/>
      <c r="B6" s="126" t="s">
        <v>255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</row>
    <row r="7" spans="1:35" ht="15" customHeight="1"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</row>
    <row r="8" spans="1:35" ht="15" customHeight="1">
      <c r="E8" s="5" t="s">
        <v>144</v>
      </c>
      <c r="F8" s="31"/>
      <c r="G8" s="5" t="str">
        <f>Inputs!$I$11</f>
        <v>£m 2024 CPIH prices</v>
      </c>
      <c r="I8" s="30"/>
      <c r="J8" s="30"/>
      <c r="K8" s="44">
        <f>Inputs!K61</f>
        <v>17.488733201264555</v>
      </c>
      <c r="L8" s="44">
        <f>Inputs!L61</f>
        <v>13.142124136845304</v>
      </c>
      <c r="M8" s="44">
        <f>Inputs!M61</f>
        <v>17.966473341577135</v>
      </c>
      <c r="N8" s="44">
        <f>Inputs!N61</f>
        <v>17.622780889155319</v>
      </c>
      <c r="O8" s="44">
        <f>Inputs!O61</f>
        <v>18.80025030566383</v>
      </c>
      <c r="P8" s="44">
        <f>Inputs!P61</f>
        <v>18.751885431219836</v>
      </c>
      <c r="Q8" s="44">
        <f>Inputs!Q61</f>
        <v>18.538975015950513</v>
      </c>
      <c r="R8" s="44">
        <f>Inputs!R61</f>
        <v>19.984935368679579</v>
      </c>
      <c r="S8" s="44">
        <f>Inputs!S61</f>
        <v>20.397650064444058</v>
      </c>
      <c r="T8" s="44">
        <f>Inputs!T61</f>
        <v>21.526603346551802</v>
      </c>
      <c r="U8" s="44">
        <f>Inputs!U61</f>
        <v>21.139212228078957</v>
      </c>
      <c r="V8" s="44">
        <f>Inputs!V61</f>
        <v>21.175949701159904</v>
      </c>
      <c r="W8" s="44">
        <f>Inputs!W61</f>
        <v>21.213414399250897</v>
      </c>
      <c r="X8" s="44">
        <f>Inputs!X61</f>
        <v>21.251626091290706</v>
      </c>
      <c r="Y8" s="44">
        <f>Inputs!Y61</f>
        <v>22.205425144069942</v>
      </c>
      <c r="Z8" s="44">
        <f>Inputs!Z61</f>
        <v>21.635676362770358</v>
      </c>
      <c r="AA8" s="44">
        <f>Inputs!AA61</f>
        <v>21.678520170579041</v>
      </c>
      <c r="AB8" s="44">
        <f>Inputs!AB61</f>
        <v>21.722241778062315</v>
      </c>
      <c r="AC8" s="44">
        <f>Inputs!AC61</f>
        <v>21.766865168350112</v>
      </c>
      <c r="AD8" s="44">
        <f>Inputs!AD61</f>
        <v>22.741193031849473</v>
      </c>
      <c r="AE8" s="44">
        <f>Inputs!AE61</f>
        <v>22.233388294009256</v>
      </c>
      <c r="AF8" s="44">
        <f>Inputs!AF61</f>
        <v>22.283140411735392</v>
      </c>
      <c r="AG8" s="44">
        <f>Inputs!AG61</f>
        <v>22.333943374134996</v>
      </c>
      <c r="AH8" s="44">
        <f>Inputs!AH61</f>
        <v>22.385826043241973</v>
      </c>
      <c r="AI8" s="44">
        <f>Inputs!AI61</f>
        <v>22.633250597899114</v>
      </c>
    </row>
    <row r="9" spans="1:35" ht="15" customHeight="1">
      <c r="E9" s="5" t="s">
        <v>244</v>
      </c>
      <c r="F9" s="31"/>
      <c r="G9" s="5" t="str">
        <f>Inputs!$I$11</f>
        <v>£m 2024 CPIH prices</v>
      </c>
      <c r="I9" s="30"/>
      <c r="J9" s="30"/>
      <c r="K9" s="44">
        <f>Inputs!K62</f>
        <v>1.2854418278958706</v>
      </c>
      <c r="L9" s="44">
        <f>Inputs!L62</f>
        <v>1.2691570747029965</v>
      </c>
      <c r="M9" s="44">
        <f>Inputs!M62</f>
        <v>1.2572372958601512</v>
      </c>
      <c r="N9" s="44">
        <f>Inputs!N62</f>
        <v>1.245429681688502</v>
      </c>
      <c r="O9" s="44">
        <f>Inputs!O62</f>
        <v>1.2337331747501585</v>
      </c>
      <c r="P9" s="44">
        <f>Inputs!P62</f>
        <v>1.2221467275943025</v>
      </c>
      <c r="Q9" s="44">
        <f>Inputs!Q62</f>
        <v>1.210669302662696</v>
      </c>
      <c r="R9" s="44">
        <f>Inputs!R62</f>
        <v>1.1992998721960912</v>
      </c>
      <c r="S9" s="44">
        <f>Inputs!S62</f>
        <v>1.1880374181415265</v>
      </c>
      <c r="T9" s="44">
        <f>Inputs!T62</f>
        <v>1.1768809320604949</v>
      </c>
      <c r="U9" s="44">
        <f>Inputs!U62</f>
        <v>1.1658294150379915</v>
      </c>
      <c r="V9" s="44">
        <f>Inputs!V62</f>
        <v>1.1548818775924121</v>
      </c>
      <c r="W9" s="44">
        <f>Inputs!W62</f>
        <v>1.1440373395863201</v>
      </c>
      <c r="X9" s="44">
        <f>Inputs!X62</f>
        <v>1.1332948301380434</v>
      </c>
      <c r="Y9" s="44">
        <f>Inputs!Y62</f>
        <v>1.1226533875341216</v>
      </c>
      <c r="Z9" s="44">
        <f>Inputs!Z62</f>
        <v>1.1121120591425733</v>
      </c>
      <c r="AA9" s="44">
        <f>Inputs!AA62</f>
        <v>1.1016699013269924</v>
      </c>
      <c r="AB9" s="44">
        <f>Inputs!AB62</f>
        <v>1.0913259793614554</v>
      </c>
      <c r="AC9" s="44">
        <f>Inputs!AC62</f>
        <v>1.0810793673462333</v>
      </c>
      <c r="AD9" s="44">
        <f>Inputs!AD62</f>
        <v>1.0709291481243053</v>
      </c>
      <c r="AE9" s="44">
        <f>Inputs!AE62</f>
        <v>1.0608744131986616</v>
      </c>
      <c r="AF9" s="44">
        <f>Inputs!AF62</f>
        <v>1.0509142626503907</v>
      </c>
      <c r="AG9" s="44">
        <f>Inputs!AG62</f>
        <v>1.0410478050575411</v>
      </c>
      <c r="AH9" s="44">
        <f>Inputs!AH62</f>
        <v>1.0312741574147559</v>
      </c>
      <c r="AI9" s="44">
        <f>Inputs!AI62</f>
        <v>1.0215924450536624</v>
      </c>
    </row>
    <row r="10" spans="1:35" ht="15" customHeight="1">
      <c r="E10" s="5" t="s">
        <v>143</v>
      </c>
      <c r="F10" s="31"/>
      <c r="G10" s="5" t="str">
        <f>Inputs!$I$11</f>
        <v>£m 2024 CPIH prices</v>
      </c>
      <c r="I10" s="30"/>
      <c r="J10" s="30"/>
      <c r="K10" s="44">
        <f>Inputs!K60</f>
        <v>0</v>
      </c>
      <c r="L10" s="44">
        <f>Inputs!L60</f>
        <v>0</v>
      </c>
      <c r="M10" s="44">
        <f>Inputs!M60</f>
        <v>0</v>
      </c>
      <c r="N10" s="44">
        <f>Inputs!N60</f>
        <v>0</v>
      </c>
      <c r="O10" s="44">
        <f>Inputs!O60</f>
        <v>0</v>
      </c>
      <c r="P10" s="44">
        <f>Inputs!P60</f>
        <v>0</v>
      </c>
      <c r="Q10" s="44">
        <f>Inputs!Q60</f>
        <v>0</v>
      </c>
      <c r="R10" s="44">
        <f>Inputs!R60</f>
        <v>0</v>
      </c>
      <c r="S10" s="44">
        <f>Inputs!S60</f>
        <v>0</v>
      </c>
      <c r="T10" s="44">
        <f>Inputs!T60</f>
        <v>0</v>
      </c>
      <c r="U10" s="44">
        <f>Inputs!U60</f>
        <v>0</v>
      </c>
      <c r="V10" s="44">
        <f>Inputs!V60</f>
        <v>0</v>
      </c>
      <c r="W10" s="44">
        <f>Inputs!W60</f>
        <v>0</v>
      </c>
      <c r="X10" s="44">
        <f>Inputs!X60</f>
        <v>0</v>
      </c>
      <c r="Y10" s="44">
        <f>Inputs!Y60</f>
        <v>0</v>
      </c>
      <c r="Z10" s="44">
        <f>Inputs!Z60</f>
        <v>0</v>
      </c>
      <c r="AA10" s="44">
        <f>Inputs!AA60</f>
        <v>0</v>
      </c>
      <c r="AB10" s="44">
        <f>Inputs!AB60</f>
        <v>0</v>
      </c>
      <c r="AC10" s="44">
        <f>Inputs!AC60</f>
        <v>0</v>
      </c>
      <c r="AD10" s="44">
        <f>Inputs!AD60</f>
        <v>0</v>
      </c>
      <c r="AE10" s="44">
        <f>Inputs!AE60</f>
        <v>0</v>
      </c>
      <c r="AF10" s="44">
        <f>Inputs!AF60</f>
        <v>0</v>
      </c>
      <c r="AG10" s="44">
        <f>Inputs!AG60</f>
        <v>0</v>
      </c>
      <c r="AH10" s="44">
        <f>Inputs!AH60</f>
        <v>0</v>
      </c>
      <c r="AI10" s="44">
        <f>Inputs!AI60</f>
        <v>31.739482892968308</v>
      </c>
    </row>
    <row r="11" spans="1:35" ht="15" customHeight="1">
      <c r="E11" s="5" t="s">
        <v>234</v>
      </c>
      <c r="F11" s="31"/>
      <c r="G11" s="5" t="str">
        <f>Inputs!$I$11</f>
        <v>£m 2024 CPIH prices</v>
      </c>
      <c r="I11" s="30"/>
      <c r="J11" s="30"/>
      <c r="K11" s="44">
        <f>'Op Rav'!K25</f>
        <v>18.878775658008987</v>
      </c>
      <c r="L11" s="44">
        <f>'Op Rav'!L25</f>
        <v>18.878775658008987</v>
      </c>
      <c r="M11" s="44">
        <f>'Op Rav'!M25</f>
        <v>18.878775658008987</v>
      </c>
      <c r="N11" s="44">
        <f>'Op Rav'!N25</f>
        <v>18.87877565800899</v>
      </c>
      <c r="O11" s="44">
        <f>'Op Rav'!O25</f>
        <v>18.87877565800899</v>
      </c>
      <c r="P11" s="44">
        <f>'Op Rav'!P25</f>
        <v>18.87877565800899</v>
      </c>
      <c r="Q11" s="44">
        <f>'Op Rav'!Q25</f>
        <v>18.87877565800899</v>
      </c>
      <c r="R11" s="44">
        <f>'Op Rav'!R25</f>
        <v>19.043941297148464</v>
      </c>
      <c r="S11" s="44">
        <f>'Op Rav'!S25</f>
        <v>19.287258209519948</v>
      </c>
      <c r="T11" s="44">
        <f>'Op Rav'!T25</f>
        <v>19.287258209519948</v>
      </c>
      <c r="U11" s="44">
        <f>'Op Rav'!U25</f>
        <v>19.378534197665413</v>
      </c>
      <c r="V11" s="44">
        <f>'Op Rav'!V25</f>
        <v>19.37853419766541</v>
      </c>
      <c r="W11" s="44">
        <f>'Op Rav'!W25</f>
        <v>19.442824103497259</v>
      </c>
      <c r="X11" s="44">
        <f>'Op Rav'!X25</f>
        <v>19.560110376072718</v>
      </c>
      <c r="Y11" s="44">
        <f>'Op Rav'!Y25</f>
        <v>19.991743618310149</v>
      </c>
      <c r="Z11" s="44">
        <f>'Op Rav'!Z25</f>
        <v>19.991743618310149</v>
      </c>
      <c r="AA11" s="44">
        <f>'Op Rav'!AA25</f>
        <v>19.991743618310149</v>
      </c>
      <c r="AB11" s="44">
        <f>'Op Rav'!AB25</f>
        <v>23.549061336455075</v>
      </c>
      <c r="AC11" s="44">
        <f>'Op Rav'!AC25</f>
        <v>23.549061336455075</v>
      </c>
      <c r="AD11" s="44">
        <f>'Op Rav'!AD25</f>
        <v>23.549061336455072</v>
      </c>
      <c r="AE11" s="44">
        <f>'Op Rav'!AE25</f>
        <v>23.822889300891475</v>
      </c>
      <c r="AF11" s="44">
        <f>'Op Rav'!AF25</f>
        <v>24.5661346770191</v>
      </c>
      <c r="AG11" s="44">
        <f>'Op Rav'!AG25</f>
        <v>24.566134677019097</v>
      </c>
      <c r="AH11" s="44">
        <f>'Op Rav'!AH25</f>
        <v>24.5661346770191</v>
      </c>
      <c r="AI11" s="44">
        <f>'Op Rav'!AI25</f>
        <v>24.5661346770191</v>
      </c>
    </row>
    <row r="12" spans="1:35" ht="15" customHeight="1">
      <c r="E12" s="5" t="s">
        <v>241</v>
      </c>
      <c r="G12" s="5" t="str">
        <f>Inputs!$I$11</f>
        <v>£m 2024 CPIH prices</v>
      </c>
      <c r="I12" s="5"/>
      <c r="K12" s="44">
        <f>'Op Rav'!K41</f>
        <v>-0.98379418664245444</v>
      </c>
      <c r="L12" s="44">
        <f>'Op Rav'!L41</f>
        <v>-0.94363845032654559</v>
      </c>
      <c r="M12" s="44">
        <f>'Op Rav'!M41</f>
        <v>-0.9034827140106364</v>
      </c>
      <c r="N12" s="44">
        <f>'Op Rav'!N41</f>
        <v>-0.86332697769472755</v>
      </c>
      <c r="O12" s="44">
        <f>'Op Rav'!O41</f>
        <v>-0.8231712413788187</v>
      </c>
      <c r="P12" s="44">
        <f>'Op Rav'!P41</f>
        <v>-0.78301550506290973</v>
      </c>
      <c r="Q12" s="44">
        <f>'Op Rav'!Q41</f>
        <v>-0.74602494291557209</v>
      </c>
      <c r="R12" s="44">
        <f>'Op Rav'!R41</f>
        <v>-0.71325560272454036</v>
      </c>
      <c r="S12" s="44">
        <f>'Op Rav'!S41</f>
        <v>-0.67688394072471847</v>
      </c>
      <c r="T12" s="44">
        <f>'Op Rav'!T41</f>
        <v>-0.63731699929618324</v>
      </c>
      <c r="U12" s="44">
        <f>'Op Rav'!U41</f>
        <v>-0.59764978404337854</v>
      </c>
      <c r="V12" s="44">
        <f>'Op Rav'!V41</f>
        <v>-0.55732084419690342</v>
      </c>
      <c r="W12" s="44">
        <f>'Op Rav'!W41</f>
        <v>-0.51841998866346806</v>
      </c>
      <c r="X12" s="44">
        <f>'Op Rav'!X41</f>
        <v>-0.48348977742986321</v>
      </c>
      <c r="Y12" s="44">
        <f>'Op Rav'!Y41</f>
        <v>-0.44646944865381094</v>
      </c>
      <c r="Z12" s="44">
        <f>'Op Rav'!Z41</f>
        <v>-0.40394639526440584</v>
      </c>
      <c r="AA12" s="44">
        <f>'Op Rav'!AA41</f>
        <v>-0.39172162697039159</v>
      </c>
      <c r="AB12" s="44">
        <f>'Op Rav'!AB41</f>
        <v>-0.37564519619401227</v>
      </c>
      <c r="AC12" s="44">
        <f>'Op Rav'!AC41</f>
        <v>-0.32555561863643956</v>
      </c>
      <c r="AD12" s="44">
        <f>'Op Rav'!AD41</f>
        <v>-0.27692369091347163</v>
      </c>
      <c r="AE12" s="44">
        <f>'Op Rav'!AE41</f>
        <v>-0.2311623102235249</v>
      </c>
      <c r="AF12" s="44">
        <f>'Op Rav'!AF41</f>
        <v>-0.18285744752951108</v>
      </c>
      <c r="AG12" s="44">
        <f>'Op Rav'!AG41</f>
        <v>-0.13060452370322509</v>
      </c>
      <c r="AH12" s="44">
        <f>'Op Rav'!AH41</f>
        <v>-7.8351599876939085E-2</v>
      </c>
      <c r="AI12" s="44">
        <f>'Op Rav'!AI41</f>
        <v>-2.6098676050653073E-2</v>
      </c>
    </row>
    <row r="13" spans="1:35" ht="15" customHeight="1">
      <c r="E13" s="19" t="s">
        <v>255</v>
      </c>
      <c r="G13" s="5" t="str">
        <f>Inputs!$I$11</f>
        <v>£m 2024 CPIH prices</v>
      </c>
      <c r="I13" s="5"/>
      <c r="K13" s="8">
        <f t="shared" ref="K13:AI13" si="1">SUM(K8:K12)</f>
        <v>36.669156500526952</v>
      </c>
      <c r="L13" s="8">
        <f t="shared" si="1"/>
        <v>32.346418419230744</v>
      </c>
      <c r="M13" s="8">
        <f t="shared" si="1"/>
        <v>37.199003581435633</v>
      </c>
      <c r="N13" s="8">
        <f t="shared" si="1"/>
        <v>36.883659251158086</v>
      </c>
      <c r="O13" s="8">
        <f t="shared" si="1"/>
        <v>38.089587897044169</v>
      </c>
      <c r="P13" s="8">
        <f t="shared" si="1"/>
        <v>38.069792311760217</v>
      </c>
      <c r="Q13" s="8">
        <f t="shared" si="1"/>
        <v>37.882395033706622</v>
      </c>
      <c r="R13" s="8">
        <f t="shared" si="1"/>
        <v>39.5149209352996</v>
      </c>
      <c r="S13" s="8">
        <f t="shared" si="1"/>
        <v>40.19606175138081</v>
      </c>
      <c r="T13" s="8">
        <f t="shared" si="1"/>
        <v>41.353425488836059</v>
      </c>
      <c r="U13" s="8">
        <f t="shared" si="1"/>
        <v>41.085926056738984</v>
      </c>
      <c r="V13" s="8">
        <f t="shared" si="1"/>
        <v>41.152044932220825</v>
      </c>
      <c r="W13" s="8">
        <f t="shared" si="1"/>
        <v>41.281855853671004</v>
      </c>
      <c r="X13" s="8">
        <f t="shared" si="1"/>
        <v>41.461541520071606</v>
      </c>
      <c r="Y13" s="8">
        <f t="shared" si="1"/>
        <v>42.873352701260409</v>
      </c>
      <c r="Z13" s="8">
        <f t="shared" si="1"/>
        <v>42.335585644958677</v>
      </c>
      <c r="AA13" s="8">
        <f t="shared" si="1"/>
        <v>42.380212063245793</v>
      </c>
      <c r="AB13" s="8">
        <f t="shared" si="1"/>
        <v>45.98698389768483</v>
      </c>
      <c r="AC13" s="8">
        <f t="shared" si="1"/>
        <v>46.071450253514982</v>
      </c>
      <c r="AD13" s="8">
        <f t="shared" si="1"/>
        <v>47.084259825515382</v>
      </c>
      <c r="AE13" s="8">
        <f t="shared" si="1"/>
        <v>46.885989697875871</v>
      </c>
      <c r="AF13" s="8">
        <f t="shared" si="1"/>
        <v>47.717331903875369</v>
      </c>
      <c r="AG13" s="8">
        <f t="shared" si="1"/>
        <v>47.810521332508408</v>
      </c>
      <c r="AH13" s="8">
        <f t="shared" si="1"/>
        <v>47.904883277798888</v>
      </c>
      <c r="AI13" s="8">
        <f t="shared" si="1"/>
        <v>79.93436193688953</v>
      </c>
    </row>
    <row r="14" spans="1:35" ht="15" customHeight="1"/>
    <row r="15" spans="1:35" ht="15" customHeight="1">
      <c r="B15" s="126" t="s">
        <v>256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</row>
    <row r="16" spans="1:35" ht="15" customHeight="1"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</row>
    <row r="17" spans="2:35" ht="15" customHeight="1">
      <c r="B17" s="5"/>
      <c r="C17" s="12" t="s">
        <v>246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ht="15" customHeight="1">
      <c r="B18" s="5"/>
      <c r="C18" s="5"/>
      <c r="D18" s="5"/>
    </row>
    <row r="19" spans="2:35" ht="15" customHeight="1">
      <c r="E19" s="18" t="s">
        <v>152</v>
      </c>
      <c r="G19" s="18" t="str">
        <f>Inputs!G69</f>
        <v>real annual %</v>
      </c>
      <c r="I19" s="88">
        <f>Inputs!I69</f>
        <v>-2.1247686210128631E-3</v>
      </c>
    </row>
    <row r="20" spans="2:35" ht="15" customHeight="1">
      <c r="B20" s="5"/>
      <c r="C20" s="5"/>
      <c r="D20" s="5"/>
      <c r="E20" s="32" t="s">
        <v>167</v>
      </c>
      <c r="G20" s="32" t="str">
        <f>Inputs!G89</f>
        <v>full years</v>
      </c>
      <c r="I20" s="118">
        <f>Inputs!I89</f>
        <v>25</v>
      </c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</row>
    <row r="21" spans="2:35" ht="15" customHeight="1">
      <c r="B21" s="5"/>
      <c r="C21" s="5"/>
      <c r="D21" s="5"/>
      <c r="E21" s="19" t="s">
        <v>257</v>
      </c>
      <c r="G21" s="19" t="s">
        <v>181</v>
      </c>
      <c r="I21" s="61">
        <f>I19 / (1 - (1 + I19)^(-I20))</f>
        <v>3.8904520318520708E-2</v>
      </c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</row>
    <row r="22" spans="2:35" ht="15" customHeight="1">
      <c r="B22" s="5"/>
      <c r="C22" s="5"/>
      <c r="D22" s="5"/>
    </row>
    <row r="23" spans="2:35" ht="15" customHeight="1">
      <c r="B23" s="5"/>
      <c r="C23" s="5"/>
      <c r="D23" s="5"/>
      <c r="E23" s="5" t="s">
        <v>248</v>
      </c>
      <c r="F23" s="5"/>
      <c r="G23" s="5" t="s">
        <v>172</v>
      </c>
      <c r="H23" s="5"/>
      <c r="I23" s="28"/>
      <c r="J23" s="6"/>
      <c r="K23" s="22" t="b">
        <f t="shared" ref="K23:AI23" si="2">AND(K4 &gt; 0, K4&lt;= $I20)</f>
        <v>1</v>
      </c>
      <c r="L23" s="22" t="b">
        <f t="shared" si="2"/>
        <v>1</v>
      </c>
      <c r="M23" s="22" t="b">
        <f t="shared" si="2"/>
        <v>1</v>
      </c>
      <c r="N23" s="22" t="b">
        <f t="shared" si="2"/>
        <v>1</v>
      </c>
      <c r="O23" s="22" t="b">
        <f t="shared" si="2"/>
        <v>1</v>
      </c>
      <c r="P23" s="22" t="b">
        <f t="shared" si="2"/>
        <v>1</v>
      </c>
      <c r="Q23" s="22" t="b">
        <f t="shared" si="2"/>
        <v>1</v>
      </c>
      <c r="R23" s="22" t="b">
        <f t="shared" si="2"/>
        <v>1</v>
      </c>
      <c r="S23" s="22" t="b">
        <f t="shared" si="2"/>
        <v>1</v>
      </c>
      <c r="T23" s="22" t="b">
        <f t="shared" si="2"/>
        <v>1</v>
      </c>
      <c r="U23" s="22" t="b">
        <f t="shared" si="2"/>
        <v>1</v>
      </c>
      <c r="V23" s="22" t="b">
        <f t="shared" si="2"/>
        <v>1</v>
      </c>
      <c r="W23" s="22" t="b">
        <f t="shared" si="2"/>
        <v>1</v>
      </c>
      <c r="X23" s="22" t="b">
        <f t="shared" si="2"/>
        <v>1</v>
      </c>
      <c r="Y23" s="22" t="b">
        <f t="shared" si="2"/>
        <v>1</v>
      </c>
      <c r="Z23" s="22" t="b">
        <f t="shared" si="2"/>
        <v>1</v>
      </c>
      <c r="AA23" s="22" t="b">
        <f t="shared" si="2"/>
        <v>1</v>
      </c>
      <c r="AB23" s="22" t="b">
        <f t="shared" si="2"/>
        <v>1</v>
      </c>
      <c r="AC23" s="22" t="b">
        <f t="shared" si="2"/>
        <v>1</v>
      </c>
      <c r="AD23" s="22" t="b">
        <f t="shared" si="2"/>
        <v>1</v>
      </c>
      <c r="AE23" s="22" t="b">
        <f t="shared" si="2"/>
        <v>1</v>
      </c>
      <c r="AF23" s="22" t="b">
        <f t="shared" si="2"/>
        <v>1</v>
      </c>
      <c r="AG23" s="22" t="b">
        <f t="shared" si="2"/>
        <v>1</v>
      </c>
      <c r="AH23" s="22" t="b">
        <f t="shared" si="2"/>
        <v>1</v>
      </c>
      <c r="AI23" s="22" t="b">
        <f t="shared" si="2"/>
        <v>1</v>
      </c>
    </row>
    <row r="24" spans="2:35" ht="15" customHeight="1">
      <c r="B24" s="5"/>
      <c r="C24" s="5"/>
      <c r="D24" s="5"/>
      <c r="E24" s="19" t="s">
        <v>258</v>
      </c>
      <c r="G24" s="19" t="s">
        <v>181</v>
      </c>
      <c r="I24" s="30"/>
      <c r="J24" s="30"/>
      <c r="K24" s="104">
        <f t="shared" ref="K24:AI24" si="3">(1 + $I19) ^ - K4</f>
        <v>1.0021292928757002</v>
      </c>
      <c r="L24" s="104">
        <f t="shared" si="3"/>
        <v>1.0042631196395506</v>
      </c>
      <c r="M24" s="104">
        <f t="shared" si="3"/>
        <v>1.0064014899455276</v>
      </c>
      <c r="N24" s="104">
        <f t="shared" si="3"/>
        <v>1.0085444134681625</v>
      </c>
      <c r="O24" s="104">
        <f t="shared" si="3"/>
        <v>1.0106918999025873</v>
      </c>
      <c r="P24" s="104">
        <f t="shared" si="3"/>
        <v>1.0128439589645777</v>
      </c>
      <c r="Q24" s="104">
        <f t="shared" si="3"/>
        <v>1.0150006003905969</v>
      </c>
      <c r="R24" s="104">
        <f t="shared" si="3"/>
        <v>1.0171618339378399</v>
      </c>
      <c r="S24" s="104">
        <f t="shared" si="3"/>
        <v>1.0193276693842777</v>
      </c>
      <c r="T24" s="104">
        <f t="shared" si="3"/>
        <v>1.0214981165287018</v>
      </c>
      <c r="U24" s="104">
        <f t="shared" si="3"/>
        <v>1.0236731851907674</v>
      </c>
      <c r="V24" s="104">
        <f t="shared" si="3"/>
        <v>1.0258528852110393</v>
      </c>
      <c r="W24" s="104">
        <f t="shared" si="3"/>
        <v>1.0280372264510356</v>
      </c>
      <c r="X24" s="104">
        <f t="shared" si="3"/>
        <v>1.0302262187932723</v>
      </c>
      <c r="Y24" s="104">
        <f t="shared" si="3"/>
        <v>1.032419872141308</v>
      </c>
      <c r="Z24" s="104">
        <f t="shared" si="3"/>
        <v>1.0346181964197898</v>
      </c>
      <c r="AA24" s="104">
        <f t="shared" si="3"/>
        <v>1.0368212015744962</v>
      </c>
      <c r="AB24" s="104">
        <f t="shared" si="3"/>
        <v>1.0390288975723836</v>
      </c>
      <c r="AC24" s="104">
        <f t="shared" si="3"/>
        <v>1.0412412944016309</v>
      </c>
      <c r="AD24" s="104">
        <f t="shared" si="3"/>
        <v>1.0434584020716851</v>
      </c>
      <c r="AE24" s="104">
        <f t="shared" si="3"/>
        <v>1.0456802306133057</v>
      </c>
      <c r="AF24" s="104">
        <f t="shared" si="3"/>
        <v>1.047906790078611</v>
      </c>
      <c r="AG24" s="104">
        <f t="shared" si="3"/>
        <v>1.0501380905411233</v>
      </c>
      <c r="AH24" s="104">
        <f t="shared" si="3"/>
        <v>1.0523741420958137</v>
      </c>
      <c r="AI24" s="104">
        <f t="shared" si="3"/>
        <v>1.0546149548591492</v>
      </c>
    </row>
    <row r="25" spans="2:35" ht="15" customHeight="1">
      <c r="B25" s="5"/>
      <c r="C25" s="5"/>
      <c r="D25" s="5"/>
    </row>
    <row r="26" spans="2:35" ht="15" customHeight="1">
      <c r="C26" s="12" t="s">
        <v>250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ht="15" customHeight="1"/>
    <row r="28" spans="2:35" ht="15" customHeight="1">
      <c r="B28" s="5"/>
      <c r="C28" s="5"/>
      <c r="D28" s="5"/>
      <c r="E28" s="5" t="s">
        <v>259</v>
      </c>
      <c r="G28" s="5" t="str">
        <f>Inputs!$I$11</f>
        <v>£m 2024 CPIH prices</v>
      </c>
      <c r="I28" s="30"/>
      <c r="J28" s="30"/>
      <c r="K28" s="5">
        <f t="shared" ref="K28:AI28" si="4">K13 * K$24</f>
        <v>36.74723587422146</v>
      </c>
      <c r="L28" s="5">
        <f t="shared" si="4"/>
        <v>32.484315070862891</v>
      </c>
      <c r="M28" s="5">
        <f t="shared" si="4"/>
        <v>37.437132628845838</v>
      </c>
      <c r="N28" s="5">
        <f t="shared" si="4"/>
        <v>37.198808486018798</v>
      </c>
      <c r="O28" s="5">
        <f t="shared" si="4"/>
        <v>38.496837958170168</v>
      </c>
      <c r="P28" s="5">
        <f t="shared" si="4"/>
        <v>38.55875916200246</v>
      </c>
      <c r="Q28" s="5">
        <f t="shared" si="4"/>
        <v>38.450653703445987</v>
      </c>
      <c r="R28" s="5">
        <f t="shared" si="4"/>
        <v>40.193069446458082</v>
      </c>
      <c r="S28" s="5">
        <f t="shared" si="4"/>
        <v>40.972957943461509</v>
      </c>
      <c r="T28" s="5">
        <f t="shared" si="4"/>
        <v>42.242446248856048</v>
      </c>
      <c r="U28" s="5">
        <f t="shared" si="4"/>
        <v>42.058560793014344</v>
      </c>
      <c r="V28" s="5">
        <f t="shared" si="4"/>
        <v>42.215944026053066</v>
      </c>
      <c r="W28" s="5">
        <f t="shared" si="4"/>
        <v>42.439284594559389</v>
      </c>
      <c r="X28" s="5">
        <f t="shared" si="4"/>
        <v>42.714767145563634</v>
      </c>
      <c r="Y28" s="5">
        <f t="shared" si="4"/>
        <v>44.263301314104474</v>
      </c>
      <c r="Z28" s="5">
        <f t="shared" si="4"/>
        <v>43.801167264362689</v>
      </c>
      <c r="AA28" s="5">
        <f t="shared" si="4"/>
        <v>43.94070239439646</v>
      </c>
      <c r="AB28" s="5">
        <f t="shared" si="4"/>
        <v>47.781805181890427</v>
      </c>
      <c r="AC28" s="5">
        <f t="shared" si="4"/>
        <v>47.971496496930286</v>
      </c>
      <c r="AD28" s="5">
        <f t="shared" si="4"/>
        <v>49.130466520260313</v>
      </c>
      <c r="AE28" s="5">
        <f t="shared" si="4"/>
        <v>49.027752519807919</v>
      </c>
      <c r="AF28" s="5">
        <f t="shared" si="4"/>
        <v>50.003316106505736</v>
      </c>
      <c r="AG28" s="5">
        <f t="shared" si="4"/>
        <v>50.207649579896021</v>
      </c>
      <c r="AH28" s="5">
        <f t="shared" si="4"/>
        <v>50.413860441673698</v>
      </c>
      <c r="AI28" s="5">
        <f t="shared" si="4"/>
        <v>84.299973505767653</v>
      </c>
    </row>
    <row r="29" spans="2:35" ht="15" customHeight="1">
      <c r="B29" s="5"/>
      <c r="C29" s="5"/>
      <c r="D29" s="5"/>
      <c r="E29" s="19" t="s">
        <v>260</v>
      </c>
      <c r="G29" s="5" t="str">
        <f>Inputs!$I$11</f>
        <v>£m 2024 CPIH prices</v>
      </c>
      <c r="I29" s="60">
        <f>SUM(K28:AI28)</f>
        <v>1113.0522644071293</v>
      </c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</row>
    <row r="30" spans="2:35" ht="15" customHeight="1">
      <c r="B30" s="5"/>
      <c r="C30" s="5"/>
      <c r="D30" s="5"/>
      <c r="G30" s="5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</row>
    <row r="31" spans="2:35" ht="15" customHeight="1">
      <c r="B31" s="5"/>
      <c r="C31" s="5"/>
      <c r="D31" s="5"/>
      <c r="E31" s="19" t="s">
        <v>257</v>
      </c>
      <c r="G31" s="19" t="str">
        <f>G$21</f>
        <v>scalar</v>
      </c>
      <c r="I31" s="187">
        <f>I$21</f>
        <v>3.8904520318520708E-2</v>
      </c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</row>
    <row r="32" spans="2:35" ht="15" customHeight="1">
      <c r="B32" s="5"/>
      <c r="C32" s="5"/>
      <c r="D32" s="5"/>
      <c r="G32" s="5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</row>
    <row r="33" spans="2:35" ht="15" customHeight="1">
      <c r="B33" s="5"/>
      <c r="C33" s="5"/>
      <c r="D33" s="5"/>
      <c r="E33" s="19" t="s">
        <v>261</v>
      </c>
      <c r="G33" s="5" t="str">
        <f>Inputs!$I$11</f>
        <v>£m 2024 CPIH prices</v>
      </c>
      <c r="I33" s="89">
        <f>I29 * I31</f>
        <v>43.302764436202644</v>
      </c>
      <c r="J33" s="30"/>
    </row>
    <row r="34" spans="2:35" ht="15" customHeight="1">
      <c r="B34" s="5"/>
      <c r="C34" s="5"/>
      <c r="D34" s="5"/>
      <c r="E34" s="5" t="s">
        <v>262</v>
      </c>
      <c r="G34" s="5" t="str">
        <f>Inputs!$I$11</f>
        <v>£m 2024 CPIH prices</v>
      </c>
      <c r="J34" s="30"/>
      <c r="K34" s="45">
        <f t="shared" ref="K34:AI34" si="5">K$23 * $I33</f>
        <v>43.302764436202644</v>
      </c>
      <c r="L34" s="45">
        <f t="shared" si="5"/>
        <v>43.302764436202644</v>
      </c>
      <c r="M34" s="45">
        <f t="shared" si="5"/>
        <v>43.302764436202644</v>
      </c>
      <c r="N34" s="45">
        <f t="shared" si="5"/>
        <v>43.302764436202644</v>
      </c>
      <c r="O34" s="45">
        <f t="shared" si="5"/>
        <v>43.302764436202644</v>
      </c>
      <c r="P34" s="45">
        <f t="shared" si="5"/>
        <v>43.302764436202644</v>
      </c>
      <c r="Q34" s="45">
        <f t="shared" si="5"/>
        <v>43.302764436202644</v>
      </c>
      <c r="R34" s="45">
        <f t="shared" si="5"/>
        <v>43.302764436202644</v>
      </c>
      <c r="S34" s="45">
        <f t="shared" si="5"/>
        <v>43.302764436202644</v>
      </c>
      <c r="T34" s="45">
        <f t="shared" si="5"/>
        <v>43.302764436202644</v>
      </c>
      <c r="U34" s="45">
        <f t="shared" si="5"/>
        <v>43.302764436202644</v>
      </c>
      <c r="V34" s="45">
        <f t="shared" si="5"/>
        <v>43.302764436202644</v>
      </c>
      <c r="W34" s="45">
        <f t="shared" si="5"/>
        <v>43.302764436202644</v>
      </c>
      <c r="X34" s="45">
        <f t="shared" si="5"/>
        <v>43.302764436202644</v>
      </c>
      <c r="Y34" s="45">
        <f t="shared" si="5"/>
        <v>43.302764436202644</v>
      </c>
      <c r="Z34" s="45">
        <f t="shared" si="5"/>
        <v>43.302764436202644</v>
      </c>
      <c r="AA34" s="45">
        <f t="shared" si="5"/>
        <v>43.302764436202644</v>
      </c>
      <c r="AB34" s="45">
        <f t="shared" si="5"/>
        <v>43.302764436202644</v>
      </c>
      <c r="AC34" s="45">
        <f t="shared" si="5"/>
        <v>43.302764436202644</v>
      </c>
      <c r="AD34" s="45">
        <f t="shared" si="5"/>
        <v>43.302764436202644</v>
      </c>
      <c r="AE34" s="45">
        <f t="shared" si="5"/>
        <v>43.302764436202644</v>
      </c>
      <c r="AF34" s="45">
        <f t="shared" si="5"/>
        <v>43.302764436202644</v>
      </c>
      <c r="AG34" s="45">
        <f t="shared" si="5"/>
        <v>43.302764436202644</v>
      </c>
      <c r="AH34" s="45">
        <f t="shared" si="5"/>
        <v>43.302764436202644</v>
      </c>
      <c r="AI34" s="45">
        <f t="shared" si="5"/>
        <v>43.302764436202644</v>
      </c>
    </row>
    <row r="35" spans="2:35" ht="15" customHeight="1"/>
    <row r="36" spans="2:35" ht="15" customHeight="1">
      <c r="B36" s="126" t="s">
        <v>45</v>
      </c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</row>
    <row r="37" spans="2:35" ht="15" customHeight="1"/>
  </sheetData>
  <conditionalFormatting sqref="K23:AI23">
    <cfRule type="cellIs" dxfId="0" priority="1" operator="equal">
      <formula>FALSE()</formula>
    </cfRule>
  </conditionalFormatting>
  <pageMargins left="0.23622047244094491" right="0.23622047244094491" top="0.74803149606299213" bottom="0.74803149606299213" header="0.31496062992125978" footer="0.31496062992125978"/>
  <pageSetup paperSize="8" scale="43"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theme="7" tint="0.59999389629810485"/>
    <pageSetUpPr fitToPage="1"/>
  </sheetPr>
  <dimension ref="A1:AY66"/>
  <sheetViews>
    <sheetView zoomScaleNormal="100" workbookViewId="0">
      <pane xSplit="10" ySplit="3" topLeftCell="K4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baseColWidth="10" defaultColWidth="0" defaultRowHeight="15" customHeight="1" zeroHeight="1"/>
  <cols>
    <col min="1" max="1" width="2.59765625" style="91" customWidth="1"/>
    <col min="2" max="2" width="2.59765625" style="33" customWidth="1"/>
    <col min="3" max="3" width="2.59765625" style="4" customWidth="1"/>
    <col min="4" max="4" width="2.59765625" style="33" customWidth="1"/>
    <col min="5" max="5" width="50.59765625" style="4" customWidth="1"/>
    <col min="6" max="6" width="1.59765625" style="4" customWidth="1"/>
    <col min="7" max="7" width="15.59765625" style="4" customWidth="1"/>
    <col min="8" max="8" width="10.796875" style="4" customWidth="1"/>
    <col min="9" max="9" width="10.59765625" style="4" customWidth="1"/>
    <col min="10" max="10" width="1.59765625" style="4" customWidth="1"/>
    <col min="11" max="35" width="10.59765625" style="4" customWidth="1"/>
    <col min="36" max="36" width="3" customWidth="1"/>
    <col min="37" max="50" width="10.59765625" hidden="1" customWidth="1"/>
    <col min="51" max="51" width="2.59765625" hidden="1" customWidth="1"/>
    <col min="52" max="54" width="9" hidden="1" customWidth="1"/>
    <col min="55" max="16384" width="9" hidden="1"/>
  </cols>
  <sheetData>
    <row r="1" spans="1:35" ht="14.5" customHeight="1">
      <c r="A1" s="171" t="s">
        <v>35</v>
      </c>
      <c r="B1" s="14"/>
      <c r="C1" s="14"/>
      <c r="D1" s="14"/>
      <c r="E1" s="14"/>
      <c r="F1" s="14"/>
      <c r="G1" s="14"/>
      <c r="H1" s="14" t="s">
        <v>84</v>
      </c>
      <c r="I1" s="14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4"/>
      <c r="AH1" s="14"/>
      <c r="AI1" s="14"/>
    </row>
    <row r="2" spans="1:35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24" t="s">
        <v>88</v>
      </c>
      <c r="J2" s="17"/>
      <c r="K2" s="16" t="s">
        <v>89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</row>
    <row r="3" spans="1:35" ht="15" customHeight="1">
      <c r="A3" s="14"/>
      <c r="B3" s="14"/>
      <c r="C3" s="14"/>
      <c r="D3" s="14"/>
      <c r="E3" s="17" t="s">
        <v>222</v>
      </c>
      <c r="F3" s="16"/>
      <c r="G3" s="16"/>
      <c r="H3" s="16"/>
      <c r="I3" s="24"/>
      <c r="J3" s="17"/>
      <c r="K3" s="125" t="s">
        <v>116</v>
      </c>
      <c r="L3" s="125" t="s">
        <v>117</v>
      </c>
      <c r="M3" s="125" t="s">
        <v>118</v>
      </c>
      <c r="N3" s="125" t="s">
        <v>119</v>
      </c>
      <c r="O3" s="125" t="s">
        <v>120</v>
      </c>
      <c r="P3" s="125" t="s">
        <v>121</v>
      </c>
      <c r="Q3" s="125" t="s">
        <v>122</v>
      </c>
      <c r="R3" s="125" t="s">
        <v>123</v>
      </c>
      <c r="S3" s="125" t="s">
        <v>124</v>
      </c>
      <c r="T3" s="125" t="s">
        <v>125</v>
      </c>
      <c r="U3" s="125" t="s">
        <v>126</v>
      </c>
      <c r="V3" s="125" t="s">
        <v>127</v>
      </c>
      <c r="W3" s="125" t="s">
        <v>128</v>
      </c>
      <c r="X3" s="125" t="s">
        <v>129</v>
      </c>
      <c r="Y3" s="125" t="s">
        <v>130</v>
      </c>
      <c r="Z3" s="125" t="s">
        <v>131</v>
      </c>
      <c r="AA3" s="125" t="s">
        <v>132</v>
      </c>
      <c r="AB3" s="125" t="s">
        <v>133</v>
      </c>
      <c r="AC3" s="125" t="s">
        <v>134</v>
      </c>
      <c r="AD3" s="125" t="s">
        <v>135</v>
      </c>
      <c r="AE3" s="125" t="s">
        <v>136</v>
      </c>
      <c r="AF3" s="125" t="s">
        <v>137</v>
      </c>
      <c r="AG3" s="125" t="s">
        <v>138</v>
      </c>
      <c r="AH3" s="125" t="s">
        <v>139</v>
      </c>
      <c r="AI3" s="125" t="s">
        <v>140</v>
      </c>
    </row>
    <row r="4" spans="1:35" ht="15" customHeight="1">
      <c r="A4" s="4"/>
      <c r="B4" s="4"/>
      <c r="D4" s="4"/>
    </row>
    <row r="5" spans="1:35" ht="15" customHeight="1">
      <c r="B5" s="126" t="s">
        <v>263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</row>
    <row r="6" spans="1:35" ht="15" customHeight="1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5"/>
      <c r="Q6" s="5"/>
      <c r="R6" s="5"/>
      <c r="S6" s="5"/>
      <c r="T6" s="5"/>
      <c r="U6" s="5"/>
      <c r="V6" s="5"/>
      <c r="W6" s="64"/>
      <c r="X6" s="64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</row>
    <row r="7" spans="1:35" ht="15" customHeight="1">
      <c r="B7" s="19"/>
      <c r="C7" s="12" t="s">
        <v>264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1:35" ht="15" customHeight="1"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5"/>
      <c r="Q8" s="5"/>
      <c r="R8" s="5"/>
      <c r="S8" s="5"/>
      <c r="T8" s="5"/>
      <c r="U8" s="5"/>
      <c r="V8" s="5"/>
      <c r="W8" s="64"/>
      <c r="X8" s="64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</row>
    <row r="9" spans="1:35" ht="15" customHeight="1">
      <c r="B9" s="19"/>
      <c r="C9" s="19"/>
      <c r="D9" s="19"/>
      <c r="E9" s="18" t="str">
        <f>Inputs!E119</f>
        <v>UK CPIH uplift to start of regime</v>
      </c>
      <c r="F9" s="18"/>
      <c r="G9" s="18" t="s">
        <v>181</v>
      </c>
      <c r="H9" s="19"/>
      <c r="I9" s="105">
        <f>Inputs!I119</f>
        <v>0.93308240821171251</v>
      </c>
      <c r="J9" s="19"/>
      <c r="K9" s="19"/>
      <c r="L9" s="19"/>
      <c r="M9" s="19"/>
      <c r="N9" s="19"/>
      <c r="O9" s="19"/>
      <c r="P9" s="5"/>
      <c r="Q9" s="5"/>
      <c r="R9" s="5"/>
      <c r="S9" s="5"/>
      <c r="T9" s="5"/>
      <c r="U9" s="5"/>
      <c r="V9" s="5"/>
      <c r="W9" s="64"/>
      <c r="X9" s="64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</row>
    <row r="10" spans="1:35" ht="15" customHeight="1">
      <c r="B10" s="19"/>
      <c r="C10" s="19"/>
      <c r="D10" s="19"/>
      <c r="E10" s="4" t="str">
        <f>Inputs!E116</f>
        <v>Long-term expected UK CPIH inflation</v>
      </c>
      <c r="G10" s="5" t="s">
        <v>94</v>
      </c>
      <c r="I10" s="88">
        <f>Inputs!I116</f>
        <v>0.02</v>
      </c>
      <c r="J10" s="19"/>
      <c r="K10" s="19"/>
      <c r="L10" s="19"/>
      <c r="M10" s="19"/>
      <c r="N10" s="19"/>
      <c r="O10" s="19"/>
      <c r="P10" s="5"/>
      <c r="Q10" s="5"/>
      <c r="R10" s="5"/>
      <c r="S10" s="5"/>
      <c r="T10" s="5"/>
      <c r="U10" s="5"/>
      <c r="V10" s="5"/>
      <c r="W10" s="64"/>
      <c r="X10" s="64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</row>
    <row r="11" spans="1:35" ht="15" customHeight="1">
      <c r="B11" s="19"/>
      <c r="C11" s="19"/>
      <c r="D11" s="19"/>
      <c r="E11" s="4" t="s">
        <v>265</v>
      </c>
      <c r="G11" s="18" t="s">
        <v>181</v>
      </c>
      <c r="J11" s="19"/>
      <c r="K11" s="188">
        <f>I9*(1+$I$10)^0.5</f>
        <v>0.9423670389632971</v>
      </c>
      <c r="L11" s="189">
        <f t="shared" ref="L11:AI11" si="0">K11*(1+$I$10)</f>
        <v>0.96121437974256307</v>
      </c>
      <c r="M11" s="113">
        <f t="shared" si="0"/>
        <v>0.98043866733741436</v>
      </c>
      <c r="N11" s="113">
        <f t="shared" si="0"/>
        <v>1.0000474406841626</v>
      </c>
      <c r="O11" s="113">
        <f t="shared" si="0"/>
        <v>1.0200483894978458</v>
      </c>
      <c r="P11" s="113">
        <f t="shared" si="0"/>
        <v>1.0404493572878029</v>
      </c>
      <c r="Q11" s="113">
        <f t="shared" si="0"/>
        <v>1.061258344433559</v>
      </c>
      <c r="R11" s="113">
        <f t="shared" si="0"/>
        <v>1.0824835113222302</v>
      </c>
      <c r="S11" s="113">
        <f t="shared" si="0"/>
        <v>1.1041331815486748</v>
      </c>
      <c r="T11" s="113">
        <f t="shared" si="0"/>
        <v>1.1262158451796482</v>
      </c>
      <c r="U11" s="113">
        <f t="shared" si="0"/>
        <v>1.1487401620832411</v>
      </c>
      <c r="V11" s="113">
        <f t="shared" si="0"/>
        <v>1.1717149653249059</v>
      </c>
      <c r="W11" s="113">
        <f t="shared" si="0"/>
        <v>1.1951492646314041</v>
      </c>
      <c r="X11" s="113">
        <f t="shared" si="0"/>
        <v>1.2190522499240322</v>
      </c>
      <c r="Y11" s="113">
        <f t="shared" si="0"/>
        <v>1.2434332949225129</v>
      </c>
      <c r="Z11" s="113">
        <f t="shared" si="0"/>
        <v>1.2683019608209631</v>
      </c>
      <c r="AA11" s="113">
        <f t="shared" si="0"/>
        <v>1.2936680000373824</v>
      </c>
      <c r="AB11" s="113">
        <f t="shared" si="0"/>
        <v>1.3195413600381301</v>
      </c>
      <c r="AC11" s="113">
        <f t="shared" si="0"/>
        <v>1.3459321872388927</v>
      </c>
      <c r="AD11" s="113">
        <f t="shared" si="0"/>
        <v>1.3728508309836707</v>
      </c>
      <c r="AE11" s="113">
        <f t="shared" si="0"/>
        <v>1.4003078476033441</v>
      </c>
      <c r="AF11" s="113">
        <f t="shared" si="0"/>
        <v>1.428314004555411</v>
      </c>
      <c r="AG11" s="113">
        <f t="shared" si="0"/>
        <v>1.4568802846465192</v>
      </c>
      <c r="AH11" s="113">
        <f t="shared" si="0"/>
        <v>1.4860178903394496</v>
      </c>
      <c r="AI11" s="113">
        <f t="shared" si="0"/>
        <v>1.5157382481462387</v>
      </c>
    </row>
    <row r="12" spans="1:35" ht="15" customHeight="1"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5"/>
      <c r="Q12" s="5"/>
      <c r="R12" s="5"/>
      <c r="S12" s="5"/>
      <c r="T12" s="5"/>
      <c r="U12" s="5"/>
      <c r="V12" s="5"/>
      <c r="W12" s="64"/>
      <c r="X12" s="64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</row>
    <row r="13" spans="1:35" ht="15" customHeight="1">
      <c r="B13" s="19"/>
      <c r="C13" s="12" t="s">
        <v>266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1:35" ht="15" customHeight="1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5"/>
      <c r="Q14" s="5"/>
      <c r="R14" s="5"/>
      <c r="S14" s="5"/>
      <c r="T14" s="5"/>
      <c r="U14" s="5"/>
      <c r="V14" s="5"/>
      <c r="W14" s="64"/>
      <c r="X14" s="64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</row>
    <row r="15" spans="1:35" ht="15" customHeight="1">
      <c r="A15" s="19"/>
      <c r="B15" s="19"/>
      <c r="C15" s="19"/>
      <c r="D15" s="19"/>
      <c r="E15" s="5" t="s">
        <v>267</v>
      </c>
      <c r="F15" s="19"/>
      <c r="G15" s="4" t="s">
        <v>268</v>
      </c>
      <c r="H15" s="19"/>
      <c r="I15" s="19"/>
      <c r="J15" s="19"/>
      <c r="K15" s="5">
        <f t="shared" ref="K15:AI15" si="1">K27</f>
        <v>17.692163731208581</v>
      </c>
      <c r="L15" s="5">
        <f t="shared" si="1"/>
        <v>13.852330731054051</v>
      </c>
      <c r="M15" s="5">
        <f t="shared" si="1"/>
        <v>18.847669238649086</v>
      </c>
      <c r="N15" s="5">
        <f t="shared" si="1"/>
        <v>18.869105691662224</v>
      </c>
      <c r="O15" s="5">
        <f t="shared" si="1"/>
        <v>20.435632584422738</v>
      </c>
      <c r="P15" s="5">
        <f t="shared" si="1"/>
        <v>20.781968922084076</v>
      </c>
      <c r="Q15" s="5">
        <f t="shared" si="1"/>
        <v>20.959474832723096</v>
      </c>
      <c r="R15" s="5">
        <f t="shared" si="1"/>
        <v>22.931585348219226</v>
      </c>
      <c r="S15" s="5">
        <f t="shared" si="1"/>
        <v>23.833473796062627</v>
      </c>
      <c r="T15" s="5">
        <f t="shared" si="1"/>
        <v>25.569023735360204</v>
      </c>
      <c r="U15" s="5">
        <f t="shared" si="1"/>
        <v>25.622697152387609</v>
      </c>
      <c r="V15" s="5">
        <f t="shared" si="1"/>
        <v>26.165369548974084</v>
      </c>
      <c r="W15" s="5">
        <f t="shared" si="1"/>
        <v>26.720492004703409</v>
      </c>
      <c r="X15" s="5">
        <f t="shared" si="1"/>
        <v>27.288388213639259</v>
      </c>
      <c r="Y15" s="5">
        <f t="shared" si="1"/>
        <v>29.006909552763577</v>
      </c>
      <c r="Z15" s="5">
        <f t="shared" si="1"/>
        <v>28.851064659852575</v>
      </c>
      <c r="AA15" s="5">
        <f t="shared" si="1"/>
        <v>29.470002930794113</v>
      </c>
      <c r="AB15" s="5">
        <f t="shared" si="1"/>
        <v>30.103446225952993</v>
      </c>
      <c r="AC15" s="5">
        <f t="shared" si="1"/>
        <v>30.751783962842687</v>
      </c>
      <c r="AD15" s="5">
        <f t="shared" si="1"/>
        <v>32.690491722261697</v>
      </c>
      <c r="AE15" s="5">
        <f t="shared" si="1"/>
        <v>32.619138873037166</v>
      </c>
      <c r="AF15" s="5">
        <f t="shared" si="1"/>
        <v>33.328357074486867</v>
      </c>
      <c r="AG15" s="5">
        <f t="shared" si="1"/>
        <v>34.054563802751893</v>
      </c>
      <c r="AH15" s="5">
        <f t="shared" si="1"/>
        <v>34.798229838047419</v>
      </c>
      <c r="AI15" s="5">
        <f t="shared" si="1"/>
        <v>35.85455035409948</v>
      </c>
    </row>
    <row r="16" spans="1:35" ht="15" customHeight="1">
      <c r="A16" s="19"/>
      <c r="B16" s="19"/>
      <c r="C16" s="19"/>
      <c r="D16" s="19"/>
      <c r="E16" s="5" t="s">
        <v>269</v>
      </c>
      <c r="F16" s="19"/>
      <c r="G16" s="4" t="s">
        <v>268</v>
      </c>
      <c r="H16" s="19"/>
      <c r="I16" s="19"/>
      <c r="J16" s="19"/>
      <c r="K16" s="5">
        <f t="shared" ref="K16:AI16" si="2">K42</f>
        <v>27.69659461148316</v>
      </c>
      <c r="L16" s="5">
        <f t="shared" si="2"/>
        <v>25.480867042564512</v>
      </c>
      <c r="M16" s="5">
        <f t="shared" si="2"/>
        <v>23.442397679159349</v>
      </c>
      <c r="N16" s="5">
        <f t="shared" si="2"/>
        <v>21.567005864826601</v>
      </c>
      <c r="O16" s="5">
        <f t="shared" si="2"/>
        <v>19.841645395640473</v>
      </c>
      <c r="P16" s="5">
        <f t="shared" si="2"/>
        <v>18.254313763989234</v>
      </c>
      <c r="Q16" s="5">
        <f t="shared" si="2"/>
        <v>17.046376777230769</v>
      </c>
      <c r="R16" s="5">
        <f t="shared" si="2"/>
        <v>16.040872337160746</v>
      </c>
      <c r="S16" s="5">
        <f t="shared" si="2"/>
        <v>14.757602550187885</v>
      </c>
      <c r="T16" s="5">
        <f t="shared" si="2"/>
        <v>13.700350103133479</v>
      </c>
      <c r="U16" s="5">
        <f t="shared" si="2"/>
        <v>12.6043220948828</v>
      </c>
      <c r="V16" s="5">
        <f t="shared" si="2"/>
        <v>11.674318949865983</v>
      </c>
      <c r="W16" s="5">
        <f t="shared" si="2"/>
        <v>10.874941052199825</v>
      </c>
      <c r="X16" s="5">
        <f t="shared" si="2"/>
        <v>10.467987226104398</v>
      </c>
      <c r="Y16" s="5">
        <f t="shared" si="2"/>
        <v>9.6305482480160478</v>
      </c>
      <c r="Z16" s="5">
        <f t="shared" si="2"/>
        <v>8.8601043881747632</v>
      </c>
      <c r="AA16" s="5">
        <f t="shared" si="2"/>
        <v>11.096568419796043</v>
      </c>
      <c r="AB16" s="5">
        <f t="shared" si="2"/>
        <v>10.208842946212359</v>
      </c>
      <c r="AC16" s="5">
        <f t="shared" si="2"/>
        <v>9.3921355105153701</v>
      </c>
      <c r="AD16" s="5">
        <f t="shared" si="2"/>
        <v>8.7911346490833715</v>
      </c>
      <c r="AE16" s="5">
        <f t="shared" si="2"/>
        <v>8.4208910236803547</v>
      </c>
      <c r="AF16" s="5">
        <f t="shared" si="2"/>
        <v>7.7472197417859263</v>
      </c>
      <c r="AG16" s="5">
        <f t="shared" si="2"/>
        <v>7.1274421624430522</v>
      </c>
      <c r="AH16" s="5">
        <f t="shared" si="2"/>
        <v>6.5572467894476087</v>
      </c>
      <c r="AI16" s="5">
        <f t="shared" si="2"/>
        <v>75.408338078647503</v>
      </c>
    </row>
    <row r="17" spans="1:35" ht="15" customHeight="1">
      <c r="A17" s="19"/>
      <c r="B17" s="19"/>
      <c r="C17" s="19"/>
      <c r="D17" s="19"/>
      <c r="E17" s="5" t="s">
        <v>270</v>
      </c>
      <c r="F17" s="19"/>
      <c r="G17" s="4" t="s">
        <v>268</v>
      </c>
      <c r="H17" s="19"/>
      <c r="I17" s="19"/>
      <c r="J17" s="19"/>
      <c r="K17" s="5">
        <f t="shared" ref="K17:AI17" si="3">K58</f>
        <v>3.9266466387514627</v>
      </c>
      <c r="L17" s="5">
        <f t="shared" si="3"/>
        <v>3.8006256881583078</v>
      </c>
      <c r="M17" s="5">
        <f t="shared" si="3"/>
        <v>3.6723574392219289</v>
      </c>
      <c r="N17" s="5">
        <f t="shared" si="3"/>
        <v>3.5418018164642424</v>
      </c>
      <c r="O17" s="5">
        <f t="shared" si="3"/>
        <v>3.4089180297517454</v>
      </c>
      <c r="P17" s="5">
        <f t="shared" si="3"/>
        <v>3.2736645615512514</v>
      </c>
      <c r="Q17" s="5">
        <f t="shared" si="3"/>
        <v>3.1359991539583656</v>
      </c>
      <c r="R17" s="5">
        <f t="shared" si="3"/>
        <v>2.9958787954946393</v>
      </c>
      <c r="S17" s="5">
        <f t="shared" si="3"/>
        <v>2.8532597076692836</v>
      </c>
      <c r="T17" s="5">
        <f t="shared" si="3"/>
        <v>2.7080973313012415</v>
      </c>
      <c r="U17" s="5">
        <f t="shared" si="3"/>
        <v>2.5603463125973422</v>
      </c>
      <c r="V17" s="5">
        <f t="shared" si="3"/>
        <v>2.4099604889821951</v>
      </c>
      <c r="W17" s="5">
        <f t="shared" si="3"/>
        <v>2.2568928746753882</v>
      </c>
      <c r="X17" s="5">
        <f t="shared" si="3"/>
        <v>2.1010956460114936</v>
      </c>
      <c r="Y17" s="5">
        <f t="shared" si="3"/>
        <v>1.9425201264982808</v>
      </c>
      <c r="Z17" s="5">
        <f t="shared" si="3"/>
        <v>1.7811167716084848</v>
      </c>
      <c r="AA17" s="5">
        <f t="shared" si="3"/>
        <v>1.6168351533003649</v>
      </c>
      <c r="AB17" s="5">
        <f t="shared" si="3"/>
        <v>1.4496239442622243</v>
      </c>
      <c r="AC17" s="5">
        <f t="shared" si="3"/>
        <v>1.2794309018759682</v>
      </c>
      <c r="AD17" s="5">
        <f t="shared" si="3"/>
        <v>1.1062028518946834</v>
      </c>
      <c r="AE17" s="5">
        <f t="shared" si="3"/>
        <v>0.92988567182914983</v>
      </c>
      <c r="AF17" s="5">
        <f t="shared" si="3"/>
        <v>0.75042427403808543</v>
      </c>
      <c r="AG17" s="5">
        <f t="shared" si="3"/>
        <v>0.56776258851684336</v>
      </c>
      <c r="AH17" s="5">
        <f t="shared" si="3"/>
        <v>0.38184354537918647</v>
      </c>
      <c r="AI17" s="5">
        <f t="shared" si="3"/>
        <v>0.19260905702666226</v>
      </c>
    </row>
    <row r="18" spans="1:35" ht="15" customHeight="1">
      <c r="A18" s="19"/>
      <c r="B18" s="19"/>
      <c r="C18" s="19"/>
      <c r="D18" s="19"/>
      <c r="E18" s="5" t="s">
        <v>158</v>
      </c>
      <c r="F18" s="19"/>
      <c r="G18" s="4" t="s">
        <v>268</v>
      </c>
      <c r="H18" s="19"/>
      <c r="I18" s="19"/>
      <c r="J18" s="19"/>
      <c r="K18" s="209">
        <f>SUMPRODUCT(Finance!K39:AX39,Inputs!K107:AX107)+SUMPRODUCT(Finance!K41:AX41,Inputs!K107:AX107)</f>
        <v>4.811624433339234</v>
      </c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</row>
    <row r="19" spans="1:35" ht="15" customHeight="1">
      <c r="A19" s="19"/>
      <c r="B19" s="19"/>
      <c r="C19" s="19"/>
      <c r="D19" s="19"/>
      <c r="E19" s="19" t="s">
        <v>266</v>
      </c>
      <c r="F19" s="19"/>
      <c r="G19" s="4" t="s">
        <v>268</v>
      </c>
      <c r="H19" s="19"/>
      <c r="I19" s="19"/>
      <c r="J19" s="19"/>
      <c r="K19" s="45">
        <f t="shared" ref="K19:AI19" si="4">SUM(K15:K18)</f>
        <v>54.127029414782442</v>
      </c>
      <c r="L19" s="45">
        <f t="shared" si="4"/>
        <v>43.133823461776871</v>
      </c>
      <c r="M19" s="45">
        <f t="shared" si="4"/>
        <v>45.962424357030358</v>
      </c>
      <c r="N19" s="45">
        <f t="shared" si="4"/>
        <v>43.977913372953068</v>
      </c>
      <c r="O19" s="45">
        <f t="shared" si="4"/>
        <v>43.686196009814957</v>
      </c>
      <c r="P19" s="45">
        <f t="shared" si="4"/>
        <v>42.309947247624557</v>
      </c>
      <c r="Q19" s="45">
        <f t="shared" si="4"/>
        <v>41.141850763912231</v>
      </c>
      <c r="R19" s="45">
        <f t="shared" si="4"/>
        <v>41.968336480874612</v>
      </c>
      <c r="S19" s="45">
        <f t="shared" si="4"/>
        <v>41.444336053919791</v>
      </c>
      <c r="T19" s="45">
        <f t="shared" si="4"/>
        <v>41.977471169794924</v>
      </c>
      <c r="U19" s="45">
        <f t="shared" si="4"/>
        <v>40.787365559867744</v>
      </c>
      <c r="V19" s="45">
        <f t="shared" si="4"/>
        <v>40.249648987822262</v>
      </c>
      <c r="W19" s="45">
        <f t="shared" si="4"/>
        <v>39.852325931578619</v>
      </c>
      <c r="X19" s="45">
        <f t="shared" si="4"/>
        <v>39.857471085755151</v>
      </c>
      <c r="Y19" s="45">
        <f t="shared" si="4"/>
        <v>40.579977927277909</v>
      </c>
      <c r="Z19" s="45">
        <f t="shared" si="4"/>
        <v>39.492285819635825</v>
      </c>
      <c r="AA19" s="45">
        <f t="shared" si="4"/>
        <v>42.183406503890517</v>
      </c>
      <c r="AB19" s="45">
        <f t="shared" si="4"/>
        <v>41.761913116427571</v>
      </c>
      <c r="AC19" s="45">
        <f t="shared" si="4"/>
        <v>41.423350375234023</v>
      </c>
      <c r="AD19" s="45">
        <f t="shared" si="4"/>
        <v>42.587829223239758</v>
      </c>
      <c r="AE19" s="45">
        <f t="shared" si="4"/>
        <v>41.969915568546668</v>
      </c>
      <c r="AF19" s="45">
        <f t="shared" si="4"/>
        <v>41.826001090310882</v>
      </c>
      <c r="AG19" s="45">
        <f t="shared" si="4"/>
        <v>41.749768553711789</v>
      </c>
      <c r="AH19" s="45">
        <f t="shared" si="4"/>
        <v>41.737320172874213</v>
      </c>
      <c r="AI19" s="45">
        <f t="shared" si="4"/>
        <v>111.45549748977365</v>
      </c>
    </row>
    <row r="20" spans="1:35" ht="15" customHeight="1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  <c r="AA20" s="208"/>
      <c r="AB20" s="208"/>
      <c r="AC20" s="208"/>
      <c r="AD20" s="208"/>
      <c r="AE20" s="208"/>
      <c r="AF20" s="208"/>
      <c r="AG20" s="208"/>
      <c r="AH20" s="208"/>
      <c r="AI20" s="208"/>
    </row>
    <row r="21" spans="1:35" ht="15" customHeight="1">
      <c r="B21" s="126" t="s">
        <v>271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</row>
    <row r="22" spans="1:35" ht="15" customHeight="1">
      <c r="A22" s="4"/>
      <c r="B22" s="4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</row>
    <row r="23" spans="1:35" ht="15" customHeight="1">
      <c r="B23" s="19"/>
      <c r="C23" s="12" t="s">
        <v>272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1:35" ht="15" customHeight="1">
      <c r="A24" s="4"/>
      <c r="C24" s="33"/>
      <c r="D24" s="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</row>
    <row r="25" spans="1:35" ht="15" customHeight="1">
      <c r="A25" s="4"/>
      <c r="C25" s="33"/>
      <c r="D25" s="4"/>
      <c r="E25" s="34" t="s">
        <v>144</v>
      </c>
      <c r="G25" s="4" t="s">
        <v>268</v>
      </c>
      <c r="K25" s="44">
        <f>Inputs!K61* K$11</f>
        <v>16.480805722094782</v>
      </c>
      <c r="L25" s="44">
        <f>Inputs!L61* L$11</f>
        <v>12.632398700697525</v>
      </c>
      <c r="M25" s="44">
        <f>Inputs!M61* M$11</f>
        <v>17.615025179769066</v>
      </c>
      <c r="N25" s="44">
        <f>Inputs!N61* N$11</f>
        <v>17.623616925937547</v>
      </c>
      <c r="O25" s="44">
        <f>Inputs!O61* O$11</f>
        <v>19.177165046448774</v>
      </c>
      <c r="P25" s="44">
        <f>Inputs!P61* P$11</f>
        <v>19.510387144847193</v>
      </c>
      <c r="Q25" s="44">
        <f>Inputs!Q61* Q$11</f>
        <v>19.674641932922754</v>
      </c>
      <c r="R25" s="44">
        <f>Inputs!R61* R$11</f>
        <v>21.633363011436099</v>
      </c>
      <c r="S25" s="44">
        <f>Inputs!S61* S$11</f>
        <v>22.521722261771149</v>
      </c>
      <c r="T25" s="44">
        <f>Inputs!T61* T$11</f>
        <v>24.24360178178388</v>
      </c>
      <c r="U25" s="44">
        <f>Inputs!U61* U$11</f>
        <v>24.283462081195456</v>
      </c>
      <c r="V25" s="44">
        <f>Inputs!V61* V$11</f>
        <v>24.812177169816529</v>
      </c>
      <c r="W25" s="44">
        <f>Inputs!W61* W$11</f>
        <v>25.353196619585951</v>
      </c>
      <c r="X25" s="44">
        <f>Inputs!X61* X$11</f>
        <v>25.906842601132201</v>
      </c>
      <c r="Y25" s="44">
        <f>Inputs!Y61* Y$11</f>
        <v>27.610964952046103</v>
      </c>
      <c r="Z25" s="44">
        <f>Inputs!Z61* Z$11</f>
        <v>27.440570754589409</v>
      </c>
      <c r="AA25" s="44">
        <f>Inputs!AA61* AA$11</f>
        <v>28.044807832843041</v>
      </c>
      <c r="AB25" s="44">
        <f>Inputs!AB61* AB$11</f>
        <v>28.663396458901435</v>
      </c>
      <c r="AC25" s="44">
        <f>Inputs!AC61* AC$11</f>
        <v>29.296724445371535</v>
      </c>
      <c r="AD25" s="44">
        <f>Inputs!AD61* AD$11</f>
        <v>31.220265751334612</v>
      </c>
      <c r="AE25" s="44">
        <f>Inputs!AE61* AE$11</f>
        <v>31.133588106913489</v>
      </c>
      <c r="AF25" s="44">
        <f>Inputs!AF61* AF$11</f>
        <v>31.827321515556289</v>
      </c>
      <c r="AG25" s="44">
        <f>Inputs!AG61* AG$11</f>
        <v>32.537881780189032</v>
      </c>
      <c r="AH25" s="44">
        <f>Inputs!AH61* AH$11</f>
        <v>33.26573799028435</v>
      </c>
      <c r="AI25" s="44">
        <f>Inputs!AI61* AI$11</f>
        <v>34.30608361111441</v>
      </c>
    </row>
    <row r="26" spans="1:35" ht="15" customHeight="1">
      <c r="A26" s="4"/>
      <c r="C26" s="33"/>
      <c r="D26" s="4"/>
      <c r="E26" s="34" t="s">
        <v>244</v>
      </c>
      <c r="G26" s="4" t="s">
        <v>268</v>
      </c>
      <c r="K26" s="44">
        <f>Inputs!K62* K$11</f>
        <v>1.2113580091137996</v>
      </c>
      <c r="L26" s="44">
        <f>Inputs!L62* L$11</f>
        <v>1.2199320303565266</v>
      </c>
      <c r="M26" s="44">
        <f>Inputs!M62* M$11</f>
        <v>1.2326440588800212</v>
      </c>
      <c r="N26" s="44">
        <f>Inputs!N62* N$11</f>
        <v>1.2454887657246778</v>
      </c>
      <c r="O26" s="44">
        <f>Inputs!O62* O$11</f>
        <v>1.2584675379739636</v>
      </c>
      <c r="P26" s="44">
        <f>Inputs!P62* P$11</f>
        <v>1.2715817772368836</v>
      </c>
      <c r="Q26" s="44">
        <f>Inputs!Q62* Q$11</f>
        <v>1.2848328998003442</v>
      </c>
      <c r="R26" s="44">
        <f>Inputs!R62* R$11</f>
        <v>1.2982223367831267</v>
      </c>
      <c r="S26" s="44">
        <f>Inputs!S62* S$11</f>
        <v>1.311751534291477</v>
      </c>
      <c r="T26" s="44">
        <f>Inputs!T62* T$11</f>
        <v>1.3254219535763225</v>
      </c>
      <c r="U26" s="44">
        <f>Inputs!U62* U$11</f>
        <v>1.3392350711921526</v>
      </c>
      <c r="V26" s="44">
        <f>Inputs!V62* V$11</f>
        <v>1.3531923791575555</v>
      </c>
      <c r="W26" s="44">
        <f>Inputs!W62* W$11</f>
        <v>1.3672953851174585</v>
      </c>
      <c r="X26" s="44">
        <f>Inputs!X62* X$11</f>
        <v>1.3815456125070558</v>
      </c>
      <c r="Y26" s="44">
        <f>Inputs!Y62* Y$11</f>
        <v>1.3959446007174736</v>
      </c>
      <c r="Z26" s="44">
        <f>Inputs!Z62* Z$11</f>
        <v>1.4104939052631646</v>
      </c>
      <c r="AA26" s="44">
        <f>Inputs!AA62* AA$11</f>
        <v>1.4251950979510706</v>
      </c>
      <c r="AB26" s="44">
        <f>Inputs!AB62* AB$11</f>
        <v>1.4400497670515591</v>
      </c>
      <c r="AC26" s="44">
        <f>Inputs!AC62* AC$11</f>
        <v>1.4550595174711543</v>
      </c>
      <c r="AD26" s="44">
        <f>Inputs!AD62* AD$11</f>
        <v>1.4702259709270871</v>
      </c>
      <c r="AE26" s="44">
        <f>Inputs!AE62* AE$11</f>
        <v>1.4855507661236786</v>
      </c>
      <c r="AF26" s="44">
        <f>Inputs!AF62* AF$11</f>
        <v>1.5010355589305766</v>
      </c>
      <c r="AG26" s="44">
        <f>Inputs!AG62* AG$11</f>
        <v>1.5166820225628646</v>
      </c>
      <c r="AH26" s="44">
        <f>Inputs!AH62* AH$11</f>
        <v>1.5324918477630691</v>
      </c>
      <c r="AI26" s="44">
        <f>Inputs!AI62* AI$11</f>
        <v>1.5484667429850709</v>
      </c>
    </row>
    <row r="27" spans="1:35" ht="15" customHeight="1">
      <c r="A27" s="42"/>
      <c r="B27" s="42"/>
      <c r="C27" s="42"/>
      <c r="D27" s="42"/>
      <c r="E27" s="93" t="s">
        <v>267</v>
      </c>
      <c r="F27" s="5"/>
      <c r="G27" s="19" t="s">
        <v>268</v>
      </c>
      <c r="H27" s="42"/>
      <c r="I27" s="94"/>
      <c r="J27" s="42"/>
      <c r="K27" s="65">
        <f t="shared" ref="K27:AI27" si="5">SUM(K25:K26)</f>
        <v>17.692163731208581</v>
      </c>
      <c r="L27" s="65">
        <f t="shared" si="5"/>
        <v>13.852330731054051</v>
      </c>
      <c r="M27" s="65">
        <f t="shared" si="5"/>
        <v>18.847669238649086</v>
      </c>
      <c r="N27" s="65">
        <f t="shared" si="5"/>
        <v>18.869105691662224</v>
      </c>
      <c r="O27" s="65">
        <f t="shared" si="5"/>
        <v>20.435632584422738</v>
      </c>
      <c r="P27" s="65">
        <f t="shared" si="5"/>
        <v>20.781968922084076</v>
      </c>
      <c r="Q27" s="65">
        <f t="shared" si="5"/>
        <v>20.959474832723096</v>
      </c>
      <c r="R27" s="65">
        <f t="shared" si="5"/>
        <v>22.931585348219226</v>
      </c>
      <c r="S27" s="65">
        <f t="shared" si="5"/>
        <v>23.833473796062627</v>
      </c>
      <c r="T27" s="65">
        <f t="shared" si="5"/>
        <v>25.569023735360204</v>
      </c>
      <c r="U27" s="65">
        <f t="shared" si="5"/>
        <v>25.622697152387609</v>
      </c>
      <c r="V27" s="65">
        <f t="shared" si="5"/>
        <v>26.165369548974084</v>
      </c>
      <c r="W27" s="65">
        <f t="shared" si="5"/>
        <v>26.720492004703409</v>
      </c>
      <c r="X27" s="65">
        <f t="shared" si="5"/>
        <v>27.288388213639259</v>
      </c>
      <c r="Y27" s="65">
        <f t="shared" si="5"/>
        <v>29.006909552763577</v>
      </c>
      <c r="Z27" s="65">
        <f t="shared" si="5"/>
        <v>28.851064659852575</v>
      </c>
      <c r="AA27" s="65">
        <f t="shared" si="5"/>
        <v>29.470002930794113</v>
      </c>
      <c r="AB27" s="65">
        <f t="shared" si="5"/>
        <v>30.103446225952993</v>
      </c>
      <c r="AC27" s="65">
        <f t="shared" si="5"/>
        <v>30.751783962842687</v>
      </c>
      <c r="AD27" s="65">
        <f t="shared" si="5"/>
        <v>32.690491722261697</v>
      </c>
      <c r="AE27" s="65">
        <f t="shared" si="5"/>
        <v>32.619138873037166</v>
      </c>
      <c r="AF27" s="65">
        <f t="shared" si="5"/>
        <v>33.328357074486867</v>
      </c>
      <c r="AG27" s="65">
        <f t="shared" si="5"/>
        <v>34.054563802751893</v>
      </c>
      <c r="AH27" s="65">
        <f t="shared" si="5"/>
        <v>34.798229838047419</v>
      </c>
      <c r="AI27" s="65">
        <f t="shared" si="5"/>
        <v>35.85455035409948</v>
      </c>
    </row>
    <row r="28" spans="1:35" ht="15" customHeight="1">
      <c r="A28" s="4"/>
      <c r="C28" s="33"/>
      <c r="D28" s="4"/>
      <c r="O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</row>
    <row r="29" spans="1:35" ht="15" customHeight="1">
      <c r="B29" s="19"/>
      <c r="C29" s="12" t="s">
        <v>273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1:35" ht="15" customHeight="1">
      <c r="A30" s="4"/>
      <c r="D30" s="4"/>
      <c r="E30" s="19"/>
      <c r="F30" s="19"/>
      <c r="G30" s="19"/>
      <c r="O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35" ht="15" customHeight="1">
      <c r="A31" s="4"/>
      <c r="B31" s="4"/>
      <c r="D31" s="4"/>
      <c r="E31" s="18" t="s">
        <v>184</v>
      </c>
      <c r="F31" s="19"/>
      <c r="G31" s="18" t="str">
        <f>Inputs!G114</f>
        <v>%</v>
      </c>
      <c r="H31" s="19"/>
      <c r="J31" s="95"/>
      <c r="K31" s="88">
        <f>Inputs!K114</f>
        <v>0.08</v>
      </c>
      <c r="L31" s="88">
        <f>Inputs!L114</f>
        <v>0.08</v>
      </c>
      <c r="M31" s="88">
        <f>Inputs!M114</f>
        <v>0.08</v>
      </c>
      <c r="N31" s="88">
        <f>Inputs!N114</f>
        <v>0.08</v>
      </c>
      <c r="O31" s="88">
        <f>Inputs!O114</f>
        <v>0.08</v>
      </c>
      <c r="P31" s="88">
        <f>Inputs!P114</f>
        <v>0.08</v>
      </c>
      <c r="Q31" s="88">
        <f>Inputs!Q114</f>
        <v>0.08</v>
      </c>
      <c r="R31" s="88">
        <f>Inputs!R114</f>
        <v>0.08</v>
      </c>
      <c r="S31" s="88">
        <f>Inputs!S114</f>
        <v>0.08</v>
      </c>
      <c r="T31" s="88">
        <f>Inputs!T114</f>
        <v>0.08</v>
      </c>
      <c r="U31" s="88">
        <f>Inputs!U114</f>
        <v>0.08</v>
      </c>
      <c r="V31" s="88">
        <f>Inputs!V114</f>
        <v>0.08</v>
      </c>
      <c r="W31" s="88">
        <f>Inputs!W114</f>
        <v>0.08</v>
      </c>
      <c r="X31" s="88">
        <f>Inputs!X114</f>
        <v>0.08</v>
      </c>
      <c r="Y31" s="88">
        <f>Inputs!Y114</f>
        <v>0.08</v>
      </c>
      <c r="Z31" s="88">
        <f>Inputs!Z114</f>
        <v>0.08</v>
      </c>
      <c r="AA31" s="88">
        <f>Inputs!AA114</f>
        <v>0.08</v>
      </c>
      <c r="AB31" s="88">
        <f>Inputs!AB114</f>
        <v>0.08</v>
      </c>
      <c r="AC31" s="88">
        <f>Inputs!AC114</f>
        <v>0.08</v>
      </c>
      <c r="AD31" s="88">
        <f>Inputs!AD114</f>
        <v>0.08</v>
      </c>
      <c r="AE31" s="88">
        <f>Inputs!AE114</f>
        <v>0.08</v>
      </c>
      <c r="AF31" s="88">
        <f>Inputs!AF114</f>
        <v>0.08</v>
      </c>
      <c r="AG31" s="88">
        <f>Inputs!AG114</f>
        <v>0.08</v>
      </c>
      <c r="AH31" s="88">
        <f>Inputs!AH114</f>
        <v>0.08</v>
      </c>
      <c r="AI31" s="88">
        <f>Inputs!AI114</f>
        <v>0.08</v>
      </c>
    </row>
    <row r="32" spans="1:35" ht="15" customHeight="1">
      <c r="A32" s="4"/>
      <c r="B32" s="4"/>
      <c r="D32" s="4"/>
      <c r="E32" s="19" t="s">
        <v>167</v>
      </c>
      <c r="F32" s="19"/>
      <c r="G32" s="19" t="str">
        <f>Inputs!G89</f>
        <v>full years</v>
      </c>
      <c r="H32" s="19"/>
      <c r="I32" s="96">
        <f>Inputs!I89</f>
        <v>25</v>
      </c>
      <c r="J32" s="95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</row>
    <row r="33" spans="1:35" ht="15" customHeight="1">
      <c r="A33" s="4"/>
      <c r="B33" s="4"/>
      <c r="D33" s="4"/>
      <c r="E33" s="19"/>
      <c r="F33" s="19"/>
      <c r="G33" s="19"/>
      <c r="H33" s="19"/>
      <c r="I33" s="19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</row>
    <row r="34" spans="1:35" ht="15" customHeight="1">
      <c r="A34" s="19"/>
      <c r="B34" s="19"/>
      <c r="C34" s="19"/>
      <c r="D34" s="19"/>
      <c r="E34" s="19" t="s">
        <v>274</v>
      </c>
      <c r="F34" s="19"/>
      <c r="G34" s="19" t="s">
        <v>268</v>
      </c>
      <c r="H34" s="19"/>
      <c r="I34" s="19"/>
      <c r="J34" s="5"/>
      <c r="K34" s="99">
        <f t="shared" ref="K34:AI34" si="6">J40</f>
        <v>0</v>
      </c>
      <c r="L34" s="99">
        <f t="shared" si="6"/>
        <v>318.51083803205637</v>
      </c>
      <c r="M34" s="99">
        <f t="shared" si="6"/>
        <v>293.02997098949186</v>
      </c>
      <c r="N34" s="99">
        <f t="shared" si="6"/>
        <v>269.58757331033252</v>
      </c>
      <c r="O34" s="99">
        <f t="shared" si="6"/>
        <v>248.02056744550592</v>
      </c>
      <c r="P34" s="99">
        <f t="shared" si="6"/>
        <v>228.17892204986543</v>
      </c>
      <c r="Q34" s="99">
        <f t="shared" si="6"/>
        <v>209.92460828587619</v>
      </c>
      <c r="R34" s="99">
        <f t="shared" si="6"/>
        <v>196.03333293815385</v>
      </c>
      <c r="S34" s="99">
        <f t="shared" si="6"/>
        <v>184.47003187734856</v>
      </c>
      <c r="T34" s="99">
        <f t="shared" si="6"/>
        <v>169.71242932716066</v>
      </c>
      <c r="U34" s="99">
        <f t="shared" si="6"/>
        <v>157.554026186035</v>
      </c>
      <c r="V34" s="99">
        <f t="shared" si="6"/>
        <v>144.9497040911522</v>
      </c>
      <c r="W34" s="99">
        <f t="shared" si="6"/>
        <v>134.25466792345881</v>
      </c>
      <c r="X34" s="99">
        <f t="shared" si="6"/>
        <v>125.06182210029797</v>
      </c>
      <c r="Y34" s="99">
        <f t="shared" si="6"/>
        <v>120.38185310020059</v>
      </c>
      <c r="Z34" s="99">
        <f t="shared" si="6"/>
        <v>110.75130485218455</v>
      </c>
      <c r="AA34" s="99">
        <f t="shared" si="6"/>
        <v>101.89120046400978</v>
      </c>
      <c r="AB34" s="99">
        <f t="shared" si="6"/>
        <v>127.61053682765449</v>
      </c>
      <c r="AC34" s="99">
        <f t="shared" si="6"/>
        <v>117.40169388144213</v>
      </c>
      <c r="AD34" s="99">
        <f t="shared" si="6"/>
        <v>108.00955837092675</v>
      </c>
      <c r="AE34" s="99">
        <f t="shared" si="6"/>
        <v>101.09804846445877</v>
      </c>
      <c r="AF34" s="99">
        <f t="shared" si="6"/>
        <v>96.840246772324079</v>
      </c>
      <c r="AG34" s="99">
        <f t="shared" si="6"/>
        <v>89.093027030538153</v>
      </c>
      <c r="AH34" s="99">
        <f t="shared" si="6"/>
        <v>81.965584868095107</v>
      </c>
      <c r="AI34" s="99">
        <f t="shared" si="6"/>
        <v>75.408338078647503</v>
      </c>
    </row>
    <row r="35" spans="1:35" ht="15" customHeight="1">
      <c r="A35" s="4"/>
      <c r="D35" s="4"/>
      <c r="E35" s="34" t="s">
        <v>105</v>
      </c>
      <c r="G35" s="4" t="s">
        <v>268</v>
      </c>
      <c r="K35" s="44">
        <f>SUMPRODUCT('Pre Op RAV'!K19:AX19,Inputs!K107:AX107)</f>
        <v>346.20743264353951</v>
      </c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</row>
    <row r="36" spans="1:35" ht="15" customHeight="1">
      <c r="A36" s="4"/>
      <c r="D36" s="4"/>
      <c r="E36" s="34" t="s">
        <v>141</v>
      </c>
      <c r="G36" s="4" t="s">
        <v>268</v>
      </c>
      <c r="K36" s="44">
        <f>'Op Rav'!K13 * K$11</f>
        <v>0</v>
      </c>
      <c r="L36" s="44">
        <f>'Op Rav'!L13 * L$11</f>
        <v>0</v>
      </c>
      <c r="M36" s="44">
        <f>'Op Rav'!M13 * M$11</f>
        <v>0</v>
      </c>
      <c r="N36" s="44">
        <f>'Op Rav'!N13 * N$11</f>
        <v>0</v>
      </c>
      <c r="O36" s="44">
        <f>'Op Rav'!O13 * O$11</f>
        <v>0</v>
      </c>
      <c r="P36" s="44">
        <f>'Op Rav'!P13 * P$11</f>
        <v>0</v>
      </c>
      <c r="Q36" s="44">
        <f>'Op Rav'!Q13 * Q$11</f>
        <v>3.1551014295084112</v>
      </c>
      <c r="R36" s="44">
        <f>'Op Rav'!R13 * R$11</f>
        <v>4.4775712763554623</v>
      </c>
      <c r="S36" s="44">
        <f>'Op Rav'!S13 * S$11</f>
        <v>0</v>
      </c>
      <c r="T36" s="44">
        <f>'Op Rav'!T13 * T$11</f>
        <v>1.5419469620078174</v>
      </c>
      <c r="U36" s="44">
        <f>'Op Rav'!U13 * U$11</f>
        <v>0</v>
      </c>
      <c r="V36" s="44">
        <f>'Op Rav'!V13 * V$11</f>
        <v>0.97928278217259246</v>
      </c>
      <c r="W36" s="44">
        <f>'Op Rav'!W13 * W$11</f>
        <v>1.6820952290390012</v>
      </c>
      <c r="X36" s="44">
        <f>'Op Rav'!X13 * X$11</f>
        <v>5.7880182260070194</v>
      </c>
      <c r="Y36" s="44">
        <f>'Op Rav'!Y13 * Y$11</f>
        <v>0</v>
      </c>
      <c r="Z36" s="44">
        <f>'Op Rav'!Z13 * Z$11</f>
        <v>0</v>
      </c>
      <c r="AA36" s="44">
        <f>'Op Rav'!AA13 * AA$11</f>
        <v>36.815904783440736</v>
      </c>
      <c r="AB36" s="44">
        <f>'Op Rav'!AB13 * AB$11</f>
        <v>0</v>
      </c>
      <c r="AC36" s="44">
        <f>'Op Rav'!AC13 * AC$11</f>
        <v>0</v>
      </c>
      <c r="AD36" s="44">
        <f>'Op Rav'!AD13 * AD$11</f>
        <v>1.8796247426153974</v>
      </c>
      <c r="AE36" s="44">
        <f>'Op Rav'!AE13 * AE$11</f>
        <v>4.1630893315456587</v>
      </c>
      <c r="AF36" s="44">
        <f>'Op Rav'!AF13 * AF$11</f>
        <v>0</v>
      </c>
      <c r="AG36" s="44">
        <f>'Op Rav'!AG13 * AG$11</f>
        <v>0</v>
      </c>
      <c r="AH36" s="44">
        <f>'Op Rav'!AH13 * AH$11</f>
        <v>0</v>
      </c>
      <c r="AI36" s="44">
        <f>'Op Rav'!AI13 * AI$11</f>
        <v>0</v>
      </c>
    </row>
    <row r="37" spans="1:35" ht="15" customHeight="1">
      <c r="A37" s="19"/>
      <c r="B37" s="19"/>
      <c r="C37" s="19"/>
      <c r="D37" s="19"/>
      <c r="E37" s="19" t="s">
        <v>275</v>
      </c>
      <c r="F37" s="19"/>
      <c r="G37" s="19" t="s">
        <v>268</v>
      </c>
      <c r="H37" s="19"/>
      <c r="I37" s="19"/>
      <c r="J37" s="5"/>
      <c r="K37" s="62">
        <f t="shared" ref="K37:AI37" si="7">SUM(K34:K36)</f>
        <v>346.20743264353951</v>
      </c>
      <c r="L37" s="62">
        <f t="shared" si="7"/>
        <v>318.51083803205637</v>
      </c>
      <c r="M37" s="62">
        <f t="shared" si="7"/>
        <v>293.02997098949186</v>
      </c>
      <c r="N37" s="62">
        <f t="shared" si="7"/>
        <v>269.58757331033252</v>
      </c>
      <c r="O37" s="62">
        <f t="shared" si="7"/>
        <v>248.02056744550592</v>
      </c>
      <c r="P37" s="62">
        <f t="shared" si="7"/>
        <v>228.17892204986543</v>
      </c>
      <c r="Q37" s="62">
        <f t="shared" si="7"/>
        <v>213.07970971538461</v>
      </c>
      <c r="R37" s="62">
        <f t="shared" si="7"/>
        <v>200.51090421450931</v>
      </c>
      <c r="S37" s="62">
        <f t="shared" si="7"/>
        <v>184.47003187734856</v>
      </c>
      <c r="T37" s="62">
        <f t="shared" si="7"/>
        <v>171.25437628916848</v>
      </c>
      <c r="U37" s="62">
        <f t="shared" si="7"/>
        <v>157.554026186035</v>
      </c>
      <c r="V37" s="62">
        <f t="shared" si="7"/>
        <v>145.92898687332479</v>
      </c>
      <c r="W37" s="62">
        <f t="shared" si="7"/>
        <v>135.9367631524978</v>
      </c>
      <c r="X37" s="62">
        <f t="shared" si="7"/>
        <v>130.84984032630499</v>
      </c>
      <c r="Y37" s="62">
        <f t="shared" si="7"/>
        <v>120.38185310020059</v>
      </c>
      <c r="Z37" s="62">
        <f t="shared" si="7"/>
        <v>110.75130485218455</v>
      </c>
      <c r="AA37" s="62">
        <f t="shared" si="7"/>
        <v>138.70710524745053</v>
      </c>
      <c r="AB37" s="62">
        <f t="shared" si="7"/>
        <v>127.61053682765449</v>
      </c>
      <c r="AC37" s="62">
        <f t="shared" si="7"/>
        <v>117.40169388144213</v>
      </c>
      <c r="AD37" s="62">
        <f t="shared" si="7"/>
        <v>109.88918311354215</v>
      </c>
      <c r="AE37" s="62">
        <f t="shared" si="7"/>
        <v>105.26113779600443</v>
      </c>
      <c r="AF37" s="62">
        <f t="shared" si="7"/>
        <v>96.840246772324079</v>
      </c>
      <c r="AG37" s="62">
        <f t="shared" si="7"/>
        <v>89.093027030538153</v>
      </c>
      <c r="AH37" s="62">
        <f t="shared" si="7"/>
        <v>81.965584868095107</v>
      </c>
      <c r="AI37" s="62">
        <f t="shared" si="7"/>
        <v>75.408338078647503</v>
      </c>
    </row>
    <row r="38" spans="1:35" ht="15" customHeight="1">
      <c r="A38" s="19"/>
      <c r="B38" s="19"/>
      <c r="C38" s="19"/>
      <c r="D38" s="19"/>
      <c r="E38" s="19" t="s">
        <v>276</v>
      </c>
      <c r="F38" s="19"/>
      <c r="G38" s="19" t="s">
        <v>268</v>
      </c>
      <c r="H38" s="19"/>
      <c r="I38" s="19"/>
      <c r="J38" s="5"/>
      <c r="K38" s="5">
        <f t="shared" ref="K38:AI38" si="8">-K37 * K31</f>
        <v>-27.69659461148316</v>
      </c>
      <c r="L38" s="5">
        <f t="shared" si="8"/>
        <v>-25.480867042564512</v>
      </c>
      <c r="M38" s="5">
        <f t="shared" si="8"/>
        <v>-23.442397679159349</v>
      </c>
      <c r="N38" s="5">
        <f t="shared" si="8"/>
        <v>-21.567005864826601</v>
      </c>
      <c r="O38" s="5">
        <f t="shared" si="8"/>
        <v>-19.841645395640473</v>
      </c>
      <c r="P38" s="5">
        <f t="shared" si="8"/>
        <v>-18.254313763989234</v>
      </c>
      <c r="Q38" s="5">
        <f t="shared" si="8"/>
        <v>-17.046376777230769</v>
      </c>
      <c r="R38" s="5">
        <f t="shared" si="8"/>
        <v>-16.040872337160746</v>
      </c>
      <c r="S38" s="5">
        <f t="shared" si="8"/>
        <v>-14.757602550187885</v>
      </c>
      <c r="T38" s="5">
        <f t="shared" si="8"/>
        <v>-13.700350103133479</v>
      </c>
      <c r="U38" s="5">
        <f t="shared" si="8"/>
        <v>-12.6043220948828</v>
      </c>
      <c r="V38" s="5">
        <f t="shared" si="8"/>
        <v>-11.674318949865983</v>
      </c>
      <c r="W38" s="5">
        <f t="shared" si="8"/>
        <v>-10.874941052199825</v>
      </c>
      <c r="X38" s="5">
        <f t="shared" si="8"/>
        <v>-10.467987226104398</v>
      </c>
      <c r="Y38" s="5">
        <f t="shared" si="8"/>
        <v>-9.6305482480160478</v>
      </c>
      <c r="Z38" s="5">
        <f t="shared" si="8"/>
        <v>-8.8601043881747632</v>
      </c>
      <c r="AA38" s="5">
        <f t="shared" si="8"/>
        <v>-11.096568419796043</v>
      </c>
      <c r="AB38" s="5">
        <f t="shared" si="8"/>
        <v>-10.208842946212359</v>
      </c>
      <c r="AC38" s="5">
        <f t="shared" si="8"/>
        <v>-9.3921355105153701</v>
      </c>
      <c r="AD38" s="5">
        <f t="shared" si="8"/>
        <v>-8.7911346490833715</v>
      </c>
      <c r="AE38" s="5">
        <f t="shared" si="8"/>
        <v>-8.4208910236803547</v>
      </c>
      <c r="AF38" s="5">
        <f t="shared" si="8"/>
        <v>-7.7472197417859263</v>
      </c>
      <c r="AG38" s="5">
        <f t="shared" si="8"/>
        <v>-7.1274421624430522</v>
      </c>
      <c r="AH38" s="5">
        <f t="shared" si="8"/>
        <v>-6.5572467894476087</v>
      </c>
      <c r="AI38" s="5">
        <f t="shared" si="8"/>
        <v>-6.0326670462918006</v>
      </c>
    </row>
    <row r="39" spans="1:35" ht="15" customHeight="1">
      <c r="A39" s="19"/>
      <c r="B39" s="19"/>
      <c r="C39" s="19"/>
      <c r="D39" s="19"/>
      <c r="E39" s="19" t="s">
        <v>277</v>
      </c>
      <c r="F39" s="19"/>
      <c r="G39" s="19" t="s">
        <v>268</v>
      </c>
      <c r="H39" s="19"/>
      <c r="I39" s="19"/>
      <c r="J39" s="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">
        <f>-SUM(AI37:AI38)</f>
        <v>-69.375671032355697</v>
      </c>
    </row>
    <row r="40" spans="1:35" ht="15" customHeight="1">
      <c r="A40" s="19"/>
      <c r="B40" s="19"/>
      <c r="C40" s="19"/>
      <c r="D40" s="19"/>
      <c r="E40" s="19" t="s">
        <v>278</v>
      </c>
      <c r="F40" s="19"/>
      <c r="G40" s="19" t="s">
        <v>268</v>
      </c>
      <c r="H40" s="19"/>
      <c r="I40" s="19"/>
      <c r="J40" s="5"/>
      <c r="K40" s="62">
        <f t="shared" ref="K40:AI40" si="9">SUM(K37:K39)</f>
        <v>318.51083803205637</v>
      </c>
      <c r="L40" s="62">
        <f t="shared" si="9"/>
        <v>293.02997098949186</v>
      </c>
      <c r="M40" s="62">
        <f t="shared" si="9"/>
        <v>269.58757331033252</v>
      </c>
      <c r="N40" s="62">
        <f t="shared" si="9"/>
        <v>248.02056744550592</v>
      </c>
      <c r="O40" s="62">
        <f t="shared" si="9"/>
        <v>228.17892204986543</v>
      </c>
      <c r="P40" s="62">
        <f t="shared" si="9"/>
        <v>209.92460828587619</v>
      </c>
      <c r="Q40" s="62">
        <f t="shared" si="9"/>
        <v>196.03333293815385</v>
      </c>
      <c r="R40" s="62">
        <f t="shared" si="9"/>
        <v>184.47003187734856</v>
      </c>
      <c r="S40" s="62">
        <f t="shared" si="9"/>
        <v>169.71242932716066</v>
      </c>
      <c r="T40" s="62">
        <f t="shared" si="9"/>
        <v>157.554026186035</v>
      </c>
      <c r="U40" s="62">
        <f t="shared" si="9"/>
        <v>144.9497040911522</v>
      </c>
      <c r="V40" s="62">
        <f t="shared" si="9"/>
        <v>134.25466792345881</v>
      </c>
      <c r="W40" s="62">
        <f t="shared" si="9"/>
        <v>125.06182210029797</v>
      </c>
      <c r="X40" s="62">
        <f t="shared" si="9"/>
        <v>120.38185310020059</v>
      </c>
      <c r="Y40" s="62">
        <f t="shared" si="9"/>
        <v>110.75130485218455</v>
      </c>
      <c r="Z40" s="62">
        <f t="shared" si="9"/>
        <v>101.89120046400978</v>
      </c>
      <c r="AA40" s="62">
        <f t="shared" si="9"/>
        <v>127.61053682765449</v>
      </c>
      <c r="AB40" s="62">
        <f t="shared" si="9"/>
        <v>117.40169388144213</v>
      </c>
      <c r="AC40" s="62">
        <f t="shared" si="9"/>
        <v>108.00955837092675</v>
      </c>
      <c r="AD40" s="62">
        <f t="shared" si="9"/>
        <v>101.09804846445877</v>
      </c>
      <c r="AE40" s="62">
        <f t="shared" si="9"/>
        <v>96.840246772324079</v>
      </c>
      <c r="AF40" s="62">
        <f t="shared" si="9"/>
        <v>89.093027030538153</v>
      </c>
      <c r="AG40" s="62">
        <f t="shared" si="9"/>
        <v>81.965584868095107</v>
      </c>
      <c r="AH40" s="62">
        <f t="shared" si="9"/>
        <v>75.408338078647503</v>
      </c>
      <c r="AI40" s="62">
        <f t="shared" si="9"/>
        <v>0</v>
      </c>
    </row>
    <row r="41" spans="1:35" ht="15" customHeight="1">
      <c r="A41" s="4"/>
      <c r="D41" s="4"/>
      <c r="E41" s="19"/>
      <c r="F41" s="19"/>
      <c r="G41" s="19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ht="15" customHeight="1">
      <c r="A42" s="4"/>
      <c r="B42" s="4"/>
      <c r="D42" s="4"/>
      <c r="E42" s="19" t="s">
        <v>269</v>
      </c>
      <c r="F42" s="19"/>
      <c r="G42" s="19" t="s">
        <v>268</v>
      </c>
      <c r="I42" s="35"/>
      <c r="K42" s="65">
        <f t="shared" ref="K42:AI42" si="10">-(K38 + K39)</f>
        <v>27.69659461148316</v>
      </c>
      <c r="L42" s="65">
        <f t="shared" si="10"/>
        <v>25.480867042564512</v>
      </c>
      <c r="M42" s="65">
        <f t="shared" si="10"/>
        <v>23.442397679159349</v>
      </c>
      <c r="N42" s="65">
        <f t="shared" si="10"/>
        <v>21.567005864826601</v>
      </c>
      <c r="O42" s="65">
        <f t="shared" si="10"/>
        <v>19.841645395640473</v>
      </c>
      <c r="P42" s="65">
        <f t="shared" si="10"/>
        <v>18.254313763989234</v>
      </c>
      <c r="Q42" s="65">
        <f t="shared" si="10"/>
        <v>17.046376777230769</v>
      </c>
      <c r="R42" s="65">
        <f t="shared" si="10"/>
        <v>16.040872337160746</v>
      </c>
      <c r="S42" s="65">
        <f t="shared" si="10"/>
        <v>14.757602550187885</v>
      </c>
      <c r="T42" s="65">
        <f t="shared" si="10"/>
        <v>13.700350103133479</v>
      </c>
      <c r="U42" s="65">
        <f t="shared" si="10"/>
        <v>12.6043220948828</v>
      </c>
      <c r="V42" s="65">
        <f t="shared" si="10"/>
        <v>11.674318949865983</v>
      </c>
      <c r="W42" s="65">
        <f t="shared" si="10"/>
        <v>10.874941052199825</v>
      </c>
      <c r="X42" s="65">
        <f t="shared" si="10"/>
        <v>10.467987226104398</v>
      </c>
      <c r="Y42" s="65">
        <f t="shared" si="10"/>
        <v>9.6305482480160478</v>
      </c>
      <c r="Z42" s="65">
        <f t="shared" si="10"/>
        <v>8.8601043881747632</v>
      </c>
      <c r="AA42" s="65">
        <f t="shared" si="10"/>
        <v>11.096568419796043</v>
      </c>
      <c r="AB42" s="65">
        <f t="shared" si="10"/>
        <v>10.208842946212359</v>
      </c>
      <c r="AC42" s="65">
        <f t="shared" si="10"/>
        <v>9.3921355105153701</v>
      </c>
      <c r="AD42" s="65">
        <f t="shared" si="10"/>
        <v>8.7911346490833715</v>
      </c>
      <c r="AE42" s="65">
        <f t="shared" si="10"/>
        <v>8.4208910236803547</v>
      </c>
      <c r="AF42" s="65">
        <f t="shared" si="10"/>
        <v>7.7472197417859263</v>
      </c>
      <c r="AG42" s="65">
        <f t="shared" si="10"/>
        <v>7.1274421624430522</v>
      </c>
      <c r="AH42" s="65">
        <f t="shared" si="10"/>
        <v>6.5572467894476087</v>
      </c>
      <c r="AI42" s="65">
        <f t="shared" si="10"/>
        <v>75.408338078647503</v>
      </c>
    </row>
    <row r="43" spans="1:35" ht="15" customHeight="1">
      <c r="A43" s="4"/>
      <c r="B43" s="4"/>
      <c r="D43" s="4"/>
      <c r="E43" s="19"/>
      <c r="F43" s="19"/>
      <c r="G43" s="19"/>
      <c r="I43" s="35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ht="15" customHeight="1">
      <c r="B44" s="126" t="s">
        <v>279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</row>
    <row r="45" spans="1:35" ht="1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</row>
    <row r="46" spans="1:35" ht="15" customHeight="1">
      <c r="B46" s="19"/>
      <c r="C46" s="12" t="s">
        <v>280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1:35" ht="15" customHeight="1">
      <c r="A47" s="5"/>
      <c r="B47" s="5"/>
      <c r="C47" s="5"/>
      <c r="D47" s="5"/>
      <c r="E47" s="5"/>
      <c r="F47" s="5"/>
      <c r="G47" s="5"/>
      <c r="H47" s="5"/>
      <c r="I47" s="6"/>
      <c r="J47" s="6"/>
      <c r="K47" s="6"/>
      <c r="L47" s="6"/>
      <c r="M47" s="6"/>
      <c r="N47" s="6"/>
      <c r="O47" s="6"/>
      <c r="P47" s="6"/>
      <c r="Q47" s="6"/>
      <c r="R47" s="6"/>
      <c r="S47" s="5"/>
      <c r="T47" s="5"/>
      <c r="U47" s="5"/>
      <c r="V47" s="5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</row>
    <row r="48" spans="1:35" ht="15" customHeight="1">
      <c r="A48" s="5"/>
      <c r="B48" s="5"/>
      <c r="C48" s="5"/>
      <c r="D48" s="5"/>
      <c r="E48" s="18" t="s">
        <v>154</v>
      </c>
      <c r="F48" s="5"/>
      <c r="G48" s="18" t="str">
        <f>Inputs!G69</f>
        <v>real annual %</v>
      </c>
      <c r="H48" s="5"/>
      <c r="I48" s="88">
        <f>Inputs!I71</f>
        <v>-2.1247686210128631E-3</v>
      </c>
      <c r="J48" s="6"/>
      <c r="K48" s="6"/>
      <c r="L48" s="6"/>
      <c r="M48" s="6"/>
      <c r="N48" s="6"/>
      <c r="O48" s="6"/>
      <c r="P48" s="6"/>
      <c r="Q48" s="6"/>
      <c r="R48" s="6"/>
      <c r="S48" s="5"/>
      <c r="T48" s="5"/>
      <c r="U48" s="5"/>
      <c r="V48" s="5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</row>
    <row r="49" spans="1:35" ht="15" customHeight="1">
      <c r="A49" s="5"/>
      <c r="B49" s="5"/>
      <c r="C49" s="5"/>
      <c r="D49" s="5"/>
      <c r="E49" s="18" t="s">
        <v>281</v>
      </c>
      <c r="F49" s="5"/>
      <c r="G49" s="18" t="str">
        <f>Inputs!G116</f>
        <v>%</v>
      </c>
      <c r="H49" s="5"/>
      <c r="I49" s="88">
        <f>Inputs!I116</f>
        <v>0.02</v>
      </c>
      <c r="J49" s="6"/>
      <c r="K49" s="6"/>
      <c r="L49" s="6"/>
      <c r="M49" s="6"/>
      <c r="N49" s="6"/>
      <c r="O49" s="6"/>
      <c r="P49" s="6"/>
      <c r="Q49" s="6"/>
      <c r="R49" s="6"/>
      <c r="S49" s="5"/>
      <c r="T49" s="5"/>
      <c r="U49" s="5"/>
      <c r="V49" s="5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</row>
    <row r="50" spans="1:35" ht="15" customHeight="1">
      <c r="A50" s="5"/>
      <c r="B50" s="5"/>
      <c r="C50" s="5"/>
      <c r="D50" s="5"/>
      <c r="E50" s="5" t="s">
        <v>154</v>
      </c>
      <c r="F50" s="5"/>
      <c r="G50" s="5" t="s">
        <v>282</v>
      </c>
      <c r="H50" s="5"/>
      <c r="I50" s="18">
        <f>(1 + I48) * (1 + I$49) - 1</f>
        <v>1.7832736006566874E-2</v>
      </c>
      <c r="J50" s="6"/>
      <c r="K50" s="6"/>
      <c r="L50" s="6"/>
      <c r="M50" s="6"/>
      <c r="N50" s="6"/>
      <c r="O50" s="6"/>
      <c r="P50" s="6"/>
      <c r="Q50" s="6"/>
      <c r="R50" s="6"/>
      <c r="S50" s="5"/>
      <c r="T50" s="5"/>
      <c r="U50" s="5"/>
      <c r="V50" s="64"/>
      <c r="W50" s="7"/>
      <c r="X50" s="7"/>
      <c r="Y50" s="7"/>
      <c r="Z50" s="7"/>
      <c r="AA50" s="7"/>
      <c r="AB50" s="7"/>
      <c r="AC50" s="97"/>
      <c r="AD50" s="7"/>
      <c r="AE50" s="7"/>
      <c r="AF50" s="7"/>
      <c r="AG50" s="7"/>
      <c r="AH50" s="7"/>
      <c r="AI50" s="7"/>
    </row>
    <row r="51" spans="1:35" ht="1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5"/>
      <c r="T51" s="5"/>
      <c r="U51" s="5"/>
      <c r="V51" s="98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spans="1:35" ht="15" customHeight="1">
      <c r="B52" s="19"/>
      <c r="C52" s="12" t="s">
        <v>283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1:35" ht="15" customHeight="1">
      <c r="A53" s="29"/>
      <c r="B53" s="29"/>
      <c r="C53" s="2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</row>
    <row r="54" spans="1:35" ht="15" customHeight="1">
      <c r="A54" s="29"/>
      <c r="B54" s="29"/>
      <c r="C54" s="29"/>
      <c r="D54" s="19"/>
      <c r="E54" s="19" t="s">
        <v>167</v>
      </c>
      <c r="F54" s="19"/>
      <c r="G54" s="19" t="str">
        <f>Inputs!G89</f>
        <v>full years</v>
      </c>
      <c r="H54" s="19"/>
      <c r="I54" s="96">
        <f>Inputs!I89</f>
        <v>25</v>
      </c>
      <c r="J54" s="19"/>
      <c r="K54" s="19"/>
      <c r="L54" s="19"/>
      <c r="M54" s="19"/>
      <c r="N54" s="19"/>
      <c r="O54" s="19"/>
      <c r="P54" s="19"/>
      <c r="Q54" s="19"/>
      <c r="R54" s="19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</row>
    <row r="55" spans="1:35" ht="15" customHeight="1">
      <c r="A55" s="29"/>
      <c r="B55" s="29"/>
      <c r="C55" s="29"/>
      <c r="D55" s="19"/>
      <c r="E55" s="18" t="s">
        <v>156</v>
      </c>
      <c r="F55" s="19"/>
      <c r="G55" s="18" t="str">
        <f>Inputs!G74</f>
        <v>%</v>
      </c>
      <c r="H55" s="19"/>
      <c r="I55" s="88">
        <f>Inputs!I74</f>
        <v>0.5</v>
      </c>
      <c r="J55" s="19"/>
      <c r="K55" s="19"/>
      <c r="L55" s="19"/>
      <c r="M55" s="19"/>
      <c r="N55" s="19"/>
      <c r="O55" s="19"/>
      <c r="P55" s="19"/>
      <c r="Q55" s="19"/>
      <c r="R55" s="19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35" ht="15" customHeight="1">
      <c r="A56" s="29"/>
      <c r="B56" s="29"/>
      <c r="C56" s="29"/>
      <c r="D56" s="19"/>
      <c r="E56" s="19"/>
      <c r="F56" s="19"/>
      <c r="G56" s="19"/>
      <c r="H56" s="19"/>
      <c r="I56" s="67"/>
      <c r="J56" s="19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35" ht="15" customHeight="1">
      <c r="A57" s="29"/>
      <c r="B57" s="29"/>
      <c r="C57" s="29"/>
      <c r="D57" s="19"/>
      <c r="E57" s="19" t="s">
        <v>284</v>
      </c>
      <c r="F57" s="19"/>
      <c r="G57" s="5" t="s">
        <v>268</v>
      </c>
      <c r="H57" s="19"/>
      <c r="I57" s="19"/>
      <c r="J57" s="19"/>
      <c r="K57" s="5">
        <f t="shared" ref="K57:AI57" si="11">K59 - K58</f>
        <v>7.066832063613111</v>
      </c>
      <c r="L57" s="5">
        <f t="shared" si="11"/>
        <v>7.1928530142062659</v>
      </c>
      <c r="M57" s="5">
        <f t="shared" si="11"/>
        <v>7.3211212631426443</v>
      </c>
      <c r="N57" s="5">
        <f t="shared" si="11"/>
        <v>7.4516768859003308</v>
      </c>
      <c r="O57" s="5">
        <f t="shared" si="11"/>
        <v>7.5845606726128274</v>
      </c>
      <c r="P57" s="5">
        <f t="shared" si="11"/>
        <v>7.7198141408133214</v>
      </c>
      <c r="Q57" s="5">
        <f t="shared" si="11"/>
        <v>7.8574795484062072</v>
      </c>
      <c r="R57" s="5">
        <f t="shared" si="11"/>
        <v>7.9975999068699339</v>
      </c>
      <c r="S57" s="5">
        <f t="shared" si="11"/>
        <v>8.1402189946952888</v>
      </c>
      <c r="T57" s="5">
        <f t="shared" si="11"/>
        <v>8.2853813710633322</v>
      </c>
      <c r="U57" s="5">
        <f t="shared" si="11"/>
        <v>8.4331323897672306</v>
      </c>
      <c r="V57" s="5">
        <f t="shared" si="11"/>
        <v>8.5835182133823782</v>
      </c>
      <c r="W57" s="5">
        <f t="shared" si="11"/>
        <v>8.7365858276891846</v>
      </c>
      <c r="X57" s="5">
        <f t="shared" si="11"/>
        <v>8.8923830563530792</v>
      </c>
      <c r="Y57" s="5">
        <f t="shared" si="11"/>
        <v>9.0509585758662929</v>
      </c>
      <c r="Z57" s="5">
        <f t="shared" si="11"/>
        <v>9.2123619307560887</v>
      </c>
      <c r="AA57" s="5">
        <f t="shared" si="11"/>
        <v>9.3766435490642088</v>
      </c>
      <c r="AB57" s="5">
        <f t="shared" si="11"/>
        <v>9.5438547581023485</v>
      </c>
      <c r="AC57" s="5">
        <f t="shared" si="11"/>
        <v>9.7140478004886042</v>
      </c>
      <c r="AD57" s="5">
        <f t="shared" si="11"/>
        <v>9.8872758504698908</v>
      </c>
      <c r="AE57" s="5">
        <f t="shared" si="11"/>
        <v>10.063593030535424</v>
      </c>
      <c r="AF57" s="5">
        <f t="shared" si="11"/>
        <v>10.243054428326488</v>
      </c>
      <c r="AG57" s="5">
        <f t="shared" si="11"/>
        <v>10.425716113847731</v>
      </c>
      <c r="AH57" s="5">
        <f t="shared" si="11"/>
        <v>10.611635156985386</v>
      </c>
      <c r="AI57" s="5">
        <f t="shared" si="11"/>
        <v>10.800869645337912</v>
      </c>
    </row>
    <row r="58" spans="1:35" ht="15" customHeight="1">
      <c r="A58" s="29"/>
      <c r="B58" s="29"/>
      <c r="C58" s="29"/>
      <c r="D58" s="19"/>
      <c r="E58" s="19" t="s">
        <v>285</v>
      </c>
      <c r="F58" s="19"/>
      <c r="G58" s="5" t="s">
        <v>268</v>
      </c>
      <c r="H58" s="19"/>
      <c r="I58" s="19"/>
      <c r="J58" s="19"/>
      <c r="K58" s="65">
        <f t="shared" ref="K58:AI58" si="12">$I50 * K61</f>
        <v>3.9266466387514627</v>
      </c>
      <c r="L58" s="65">
        <f t="shared" si="12"/>
        <v>3.8006256881583078</v>
      </c>
      <c r="M58" s="65">
        <f t="shared" si="12"/>
        <v>3.6723574392219289</v>
      </c>
      <c r="N58" s="65">
        <f t="shared" si="12"/>
        <v>3.5418018164642424</v>
      </c>
      <c r="O58" s="65">
        <f t="shared" si="12"/>
        <v>3.4089180297517454</v>
      </c>
      <c r="P58" s="65">
        <f t="shared" si="12"/>
        <v>3.2736645615512514</v>
      </c>
      <c r="Q58" s="65">
        <f t="shared" si="12"/>
        <v>3.1359991539583656</v>
      </c>
      <c r="R58" s="65">
        <f t="shared" si="12"/>
        <v>2.9958787954946393</v>
      </c>
      <c r="S58" s="65">
        <f t="shared" si="12"/>
        <v>2.8532597076692836</v>
      </c>
      <c r="T58" s="65">
        <f t="shared" si="12"/>
        <v>2.7080973313012415</v>
      </c>
      <c r="U58" s="65">
        <f t="shared" si="12"/>
        <v>2.5603463125973422</v>
      </c>
      <c r="V58" s="65">
        <f t="shared" si="12"/>
        <v>2.4099604889821951</v>
      </c>
      <c r="W58" s="65">
        <f t="shared" si="12"/>
        <v>2.2568928746753882</v>
      </c>
      <c r="X58" s="65">
        <f t="shared" si="12"/>
        <v>2.1010956460114936</v>
      </c>
      <c r="Y58" s="65">
        <f t="shared" si="12"/>
        <v>1.9425201264982808</v>
      </c>
      <c r="Z58" s="65">
        <f t="shared" si="12"/>
        <v>1.7811167716084848</v>
      </c>
      <c r="AA58" s="65">
        <f t="shared" si="12"/>
        <v>1.6168351533003649</v>
      </c>
      <c r="AB58" s="65">
        <f t="shared" si="12"/>
        <v>1.4496239442622243</v>
      </c>
      <c r="AC58" s="65">
        <f t="shared" si="12"/>
        <v>1.2794309018759682</v>
      </c>
      <c r="AD58" s="65">
        <f t="shared" si="12"/>
        <v>1.1062028518946834</v>
      </c>
      <c r="AE58" s="65">
        <f t="shared" si="12"/>
        <v>0.92988567182914983</v>
      </c>
      <c r="AF58" s="65">
        <f t="shared" si="12"/>
        <v>0.75042427403808543</v>
      </c>
      <c r="AG58" s="65">
        <f t="shared" si="12"/>
        <v>0.56776258851684336</v>
      </c>
      <c r="AH58" s="65">
        <f t="shared" si="12"/>
        <v>0.38184354537918647</v>
      </c>
      <c r="AI58" s="65">
        <f t="shared" si="12"/>
        <v>0.19260905702666226</v>
      </c>
    </row>
    <row r="59" spans="1:35" ht="15" customHeight="1">
      <c r="A59" s="29"/>
      <c r="B59" s="29"/>
      <c r="C59" s="29"/>
      <c r="D59" s="19"/>
      <c r="E59" s="19" t="s">
        <v>286</v>
      </c>
      <c r="F59" s="19"/>
      <c r="G59" s="5" t="s">
        <v>268</v>
      </c>
      <c r="H59" s="19"/>
      <c r="I59" s="19"/>
      <c r="J59" s="19"/>
      <c r="K59" s="5">
        <f t="shared" ref="K59:AI59" si="13">$K$61*$I50/(1-(1+$I50)^(-$I54))</f>
        <v>10.993478702364573</v>
      </c>
      <c r="L59" s="5">
        <f t="shared" si="13"/>
        <v>10.993478702364573</v>
      </c>
      <c r="M59" s="5">
        <f t="shared" si="13"/>
        <v>10.993478702364573</v>
      </c>
      <c r="N59" s="5">
        <f t="shared" si="13"/>
        <v>10.993478702364573</v>
      </c>
      <c r="O59" s="5">
        <f t="shared" si="13"/>
        <v>10.993478702364573</v>
      </c>
      <c r="P59" s="5">
        <f t="shared" si="13"/>
        <v>10.993478702364573</v>
      </c>
      <c r="Q59" s="5">
        <f t="shared" si="13"/>
        <v>10.993478702364573</v>
      </c>
      <c r="R59" s="5">
        <f t="shared" si="13"/>
        <v>10.993478702364573</v>
      </c>
      <c r="S59" s="5">
        <f t="shared" si="13"/>
        <v>10.993478702364573</v>
      </c>
      <c r="T59" s="5">
        <f t="shared" si="13"/>
        <v>10.993478702364573</v>
      </c>
      <c r="U59" s="5">
        <f t="shared" si="13"/>
        <v>10.993478702364573</v>
      </c>
      <c r="V59" s="5">
        <f t="shared" si="13"/>
        <v>10.993478702364573</v>
      </c>
      <c r="W59" s="5">
        <f t="shared" si="13"/>
        <v>10.993478702364573</v>
      </c>
      <c r="X59" s="5">
        <f t="shared" si="13"/>
        <v>10.993478702364573</v>
      </c>
      <c r="Y59" s="5">
        <f t="shared" si="13"/>
        <v>10.993478702364573</v>
      </c>
      <c r="Z59" s="5">
        <f t="shared" si="13"/>
        <v>10.993478702364573</v>
      </c>
      <c r="AA59" s="5">
        <f t="shared" si="13"/>
        <v>10.993478702364573</v>
      </c>
      <c r="AB59" s="5">
        <f t="shared" si="13"/>
        <v>10.993478702364573</v>
      </c>
      <c r="AC59" s="5">
        <f t="shared" si="13"/>
        <v>10.993478702364573</v>
      </c>
      <c r="AD59" s="5">
        <f t="shared" si="13"/>
        <v>10.993478702364573</v>
      </c>
      <c r="AE59" s="5">
        <f t="shared" si="13"/>
        <v>10.993478702364573</v>
      </c>
      <c r="AF59" s="5">
        <f t="shared" si="13"/>
        <v>10.993478702364573</v>
      </c>
      <c r="AG59" s="5">
        <f t="shared" si="13"/>
        <v>10.993478702364573</v>
      </c>
      <c r="AH59" s="5">
        <f t="shared" si="13"/>
        <v>10.993478702364573</v>
      </c>
      <c r="AI59" s="5">
        <f t="shared" si="13"/>
        <v>10.993478702364573</v>
      </c>
    </row>
    <row r="60" spans="1:35" ht="15" customHeight="1">
      <c r="A60" s="29"/>
      <c r="B60" s="29"/>
      <c r="C60" s="29"/>
      <c r="D60" s="19"/>
      <c r="E60" s="19"/>
      <c r="F60" s="19"/>
      <c r="G60" s="19"/>
      <c r="H60" s="19"/>
      <c r="I60" s="67"/>
      <c r="J60" s="19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35" ht="15" customHeight="1">
      <c r="A61" s="29"/>
      <c r="B61" s="29"/>
      <c r="C61" s="29"/>
      <c r="D61" s="19"/>
      <c r="E61" s="19" t="s">
        <v>287</v>
      </c>
      <c r="F61" s="19"/>
      <c r="G61" s="5" t="s">
        <v>268</v>
      </c>
      <c r="H61" s="19"/>
      <c r="I61" s="19"/>
      <c r="J61" s="19"/>
      <c r="K61" s="190">
        <f>'Op Rav'!K12*I9*I55</f>
        <v>220.19316818829606</v>
      </c>
      <c r="L61" s="5">
        <f t="shared" ref="L61:AI61" si="14">K63</f>
        <v>213.12633612468295</v>
      </c>
      <c r="M61" s="5">
        <f t="shared" si="14"/>
        <v>205.93348311047669</v>
      </c>
      <c r="N61" s="5">
        <f t="shared" si="14"/>
        <v>198.61236184733403</v>
      </c>
      <c r="O61" s="5">
        <f t="shared" si="14"/>
        <v>191.1606849614337</v>
      </c>
      <c r="P61" s="5">
        <f t="shared" si="14"/>
        <v>183.57612428882086</v>
      </c>
      <c r="Q61" s="5">
        <f t="shared" si="14"/>
        <v>175.85631014800754</v>
      </c>
      <c r="R61" s="5">
        <f t="shared" si="14"/>
        <v>167.99883059960132</v>
      </c>
      <c r="S61" s="5">
        <f t="shared" si="14"/>
        <v>160.00123069273138</v>
      </c>
      <c r="T61" s="5">
        <f t="shared" si="14"/>
        <v>151.86101169803609</v>
      </c>
      <c r="U61" s="5">
        <f t="shared" si="14"/>
        <v>143.57563032697277</v>
      </c>
      <c r="V61" s="5">
        <f t="shared" si="14"/>
        <v>135.14249793720555</v>
      </c>
      <c r="W61" s="5">
        <f t="shared" si="14"/>
        <v>126.55897972382317</v>
      </c>
      <c r="X61" s="5">
        <f t="shared" si="14"/>
        <v>117.82239389613399</v>
      </c>
      <c r="Y61" s="5">
        <f t="shared" si="14"/>
        <v>108.93001083978091</v>
      </c>
      <c r="Z61" s="5">
        <f t="shared" si="14"/>
        <v>99.879052263914616</v>
      </c>
      <c r="AA61" s="5">
        <f t="shared" si="14"/>
        <v>90.666690333158527</v>
      </c>
      <c r="AB61" s="5">
        <f t="shared" si="14"/>
        <v>81.290046784094315</v>
      </c>
      <c r="AC61" s="5">
        <f t="shared" si="14"/>
        <v>71.746192025991974</v>
      </c>
      <c r="AD61" s="5">
        <f t="shared" si="14"/>
        <v>62.032144225503373</v>
      </c>
      <c r="AE61" s="5">
        <f t="shared" si="14"/>
        <v>52.144868375033482</v>
      </c>
      <c r="AF61" s="5">
        <f t="shared" si="14"/>
        <v>42.08127534449806</v>
      </c>
      <c r="AG61" s="5">
        <f t="shared" si="14"/>
        <v>31.838220916171572</v>
      </c>
      <c r="AH61" s="5">
        <f t="shared" si="14"/>
        <v>21.412504802323841</v>
      </c>
      <c r="AI61" s="5">
        <f t="shared" si="14"/>
        <v>10.800869645338455</v>
      </c>
    </row>
    <row r="62" spans="1:35" ht="15" customHeight="1">
      <c r="A62" s="29"/>
      <c r="B62" s="29"/>
      <c r="C62" s="29"/>
      <c r="D62" s="19"/>
      <c r="E62" s="19" t="s">
        <v>288</v>
      </c>
      <c r="F62" s="19"/>
      <c r="G62" s="5" t="s">
        <v>268</v>
      </c>
      <c r="H62" s="19"/>
      <c r="I62" s="67"/>
      <c r="J62" s="19"/>
      <c r="K62" s="5">
        <f t="shared" ref="K62:AI62" si="15">IF(K3 = "Year "&amp;$I54, -K61, -K57)</f>
        <v>-7.066832063613111</v>
      </c>
      <c r="L62" s="5">
        <f t="shared" si="15"/>
        <v>-7.1928530142062659</v>
      </c>
      <c r="M62" s="5">
        <f t="shared" si="15"/>
        <v>-7.3211212631426443</v>
      </c>
      <c r="N62" s="5">
        <f t="shared" si="15"/>
        <v>-7.4516768859003308</v>
      </c>
      <c r="O62" s="5">
        <f t="shared" si="15"/>
        <v>-7.5845606726128274</v>
      </c>
      <c r="P62" s="5">
        <f t="shared" si="15"/>
        <v>-7.7198141408133214</v>
      </c>
      <c r="Q62" s="5">
        <f t="shared" si="15"/>
        <v>-7.8574795484062072</v>
      </c>
      <c r="R62" s="5">
        <f t="shared" si="15"/>
        <v>-7.9975999068699339</v>
      </c>
      <c r="S62" s="5">
        <f t="shared" si="15"/>
        <v>-8.1402189946952888</v>
      </c>
      <c r="T62" s="5">
        <f t="shared" si="15"/>
        <v>-8.2853813710633322</v>
      </c>
      <c r="U62" s="5">
        <f t="shared" si="15"/>
        <v>-8.4331323897672306</v>
      </c>
      <c r="V62" s="5">
        <f t="shared" si="15"/>
        <v>-8.5835182133823782</v>
      </c>
      <c r="W62" s="5">
        <f t="shared" si="15"/>
        <v>-8.7365858276891846</v>
      </c>
      <c r="X62" s="5">
        <f t="shared" si="15"/>
        <v>-8.8923830563530792</v>
      </c>
      <c r="Y62" s="5">
        <f t="shared" si="15"/>
        <v>-9.0509585758662929</v>
      </c>
      <c r="Z62" s="5">
        <f t="shared" si="15"/>
        <v>-9.2123619307560887</v>
      </c>
      <c r="AA62" s="5">
        <f t="shared" si="15"/>
        <v>-9.3766435490642088</v>
      </c>
      <c r="AB62" s="5">
        <f t="shared" si="15"/>
        <v>-9.5438547581023485</v>
      </c>
      <c r="AC62" s="5">
        <f t="shared" si="15"/>
        <v>-9.7140478004886042</v>
      </c>
      <c r="AD62" s="5">
        <f t="shared" si="15"/>
        <v>-9.8872758504698908</v>
      </c>
      <c r="AE62" s="5">
        <f t="shared" si="15"/>
        <v>-10.063593030535424</v>
      </c>
      <c r="AF62" s="5">
        <f t="shared" si="15"/>
        <v>-10.243054428326488</v>
      </c>
      <c r="AG62" s="5">
        <f t="shared" si="15"/>
        <v>-10.425716113847731</v>
      </c>
      <c r="AH62" s="5">
        <f t="shared" si="15"/>
        <v>-10.611635156985386</v>
      </c>
      <c r="AI62" s="5">
        <f t="shared" si="15"/>
        <v>-10.800869645338455</v>
      </c>
    </row>
    <row r="63" spans="1:35" ht="15" customHeight="1">
      <c r="A63" s="29"/>
      <c r="B63" s="29"/>
      <c r="C63" s="29"/>
      <c r="D63" s="19"/>
      <c r="E63" s="19" t="s">
        <v>289</v>
      </c>
      <c r="F63" s="19"/>
      <c r="G63" s="5" t="s">
        <v>268</v>
      </c>
      <c r="H63" s="19"/>
      <c r="I63" s="67"/>
      <c r="J63" s="19"/>
      <c r="K63" s="5">
        <f t="shared" ref="K63:AI63" si="16">SUM(K61:K62)</f>
        <v>213.12633612468295</v>
      </c>
      <c r="L63" s="5">
        <f t="shared" si="16"/>
        <v>205.93348311047669</v>
      </c>
      <c r="M63" s="5">
        <f t="shared" si="16"/>
        <v>198.61236184733403</v>
      </c>
      <c r="N63" s="5">
        <f t="shared" si="16"/>
        <v>191.1606849614337</v>
      </c>
      <c r="O63" s="5">
        <f t="shared" si="16"/>
        <v>183.57612428882086</v>
      </c>
      <c r="P63" s="5">
        <f t="shared" si="16"/>
        <v>175.85631014800754</v>
      </c>
      <c r="Q63" s="5">
        <f t="shared" si="16"/>
        <v>167.99883059960132</v>
      </c>
      <c r="R63" s="5">
        <f t="shared" si="16"/>
        <v>160.00123069273138</v>
      </c>
      <c r="S63" s="5">
        <f t="shared" si="16"/>
        <v>151.86101169803609</v>
      </c>
      <c r="T63" s="5">
        <f t="shared" si="16"/>
        <v>143.57563032697277</v>
      </c>
      <c r="U63" s="5">
        <f t="shared" si="16"/>
        <v>135.14249793720555</v>
      </c>
      <c r="V63" s="5">
        <f t="shared" si="16"/>
        <v>126.55897972382317</v>
      </c>
      <c r="W63" s="5">
        <f t="shared" si="16"/>
        <v>117.82239389613399</v>
      </c>
      <c r="X63" s="5">
        <f t="shared" si="16"/>
        <v>108.93001083978091</v>
      </c>
      <c r="Y63" s="5">
        <f t="shared" si="16"/>
        <v>99.879052263914616</v>
      </c>
      <c r="Z63" s="5">
        <f t="shared" si="16"/>
        <v>90.666690333158527</v>
      </c>
      <c r="AA63" s="5">
        <f t="shared" si="16"/>
        <v>81.290046784094315</v>
      </c>
      <c r="AB63" s="5">
        <f t="shared" si="16"/>
        <v>71.746192025991974</v>
      </c>
      <c r="AC63" s="5">
        <f t="shared" si="16"/>
        <v>62.032144225503373</v>
      </c>
      <c r="AD63" s="5">
        <f t="shared" si="16"/>
        <v>52.144868375033482</v>
      </c>
      <c r="AE63" s="5">
        <f t="shared" si="16"/>
        <v>42.08127534449806</v>
      </c>
      <c r="AF63" s="5">
        <f t="shared" si="16"/>
        <v>31.838220916171572</v>
      </c>
      <c r="AG63" s="5">
        <f t="shared" si="16"/>
        <v>21.412504802323841</v>
      </c>
      <c r="AH63" s="5">
        <f t="shared" si="16"/>
        <v>10.800869645338455</v>
      </c>
      <c r="AI63" s="5">
        <f t="shared" si="16"/>
        <v>0</v>
      </c>
    </row>
    <row r="64" spans="1:35" ht="15" customHeight="1">
      <c r="A64" s="29"/>
      <c r="B64" s="29"/>
      <c r="C64" s="29"/>
      <c r="D64" s="19"/>
      <c r="E64" s="19"/>
      <c r="F64" s="19"/>
      <c r="G64" s="19"/>
      <c r="H64" s="19"/>
      <c r="I64" s="67"/>
      <c r="J64" s="19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2:35" ht="15" customHeight="1">
      <c r="B65" s="126" t="s">
        <v>45</v>
      </c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</row>
    <row r="66" spans="2:35" ht="15" customHeight="1"/>
  </sheetData>
  <pageMargins left="0.23622047244094491" right="0.23622047244094491" top="0.74803149606299213" bottom="0.74803149606299213" header="0.31496062992125978" footer="0.31496062992125978"/>
  <pageSetup paperSize="8" scale="43" fitToHeight="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7" tint="0.59999389629810485"/>
    <pageSetUpPr fitToPage="1"/>
  </sheetPr>
  <dimension ref="A1:AY60"/>
  <sheetViews>
    <sheetView zoomScaleNormal="100" workbookViewId="0">
      <pane xSplit="10" ySplit="3" topLeftCell="K4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baseColWidth="10" defaultColWidth="0" defaultRowHeight="15" customHeight="1" zeroHeight="1"/>
  <cols>
    <col min="1" max="4" width="2.59765625" style="4" customWidth="1"/>
    <col min="5" max="5" width="50.59765625" style="4" customWidth="1"/>
    <col min="6" max="6" width="1.59765625" style="4" customWidth="1"/>
    <col min="7" max="7" width="15.59765625" style="4" customWidth="1"/>
    <col min="8" max="8" width="10.796875" style="4" customWidth="1"/>
    <col min="9" max="9" width="10.59765625" style="35" customWidth="1"/>
    <col min="10" max="10" width="1.59765625" style="4" customWidth="1"/>
    <col min="11" max="35" width="10.59765625" style="4" customWidth="1"/>
    <col min="36" max="36" width="3" customWidth="1"/>
    <col min="37" max="50" width="10.59765625" hidden="1" customWidth="1"/>
    <col min="51" max="51" width="2.59765625" hidden="1" customWidth="1"/>
    <col min="52" max="54" width="9" hidden="1" customWidth="1"/>
    <col min="55" max="16384" width="9" hidden="1"/>
  </cols>
  <sheetData>
    <row r="1" spans="1:35" ht="14.5" customHeight="1">
      <c r="A1" s="171" t="s">
        <v>37</v>
      </c>
      <c r="B1" s="14"/>
      <c r="C1" s="14"/>
      <c r="D1" s="14"/>
      <c r="E1" s="14"/>
      <c r="F1" s="14"/>
      <c r="G1" s="14"/>
      <c r="H1" s="14" t="s">
        <v>84</v>
      </c>
      <c r="I1" s="2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4"/>
      <c r="AH1" s="14"/>
      <c r="AI1" s="14"/>
    </row>
    <row r="2" spans="1:35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24" t="s">
        <v>88</v>
      </c>
      <c r="J2" s="17"/>
      <c r="K2" s="16" t="s">
        <v>89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</row>
    <row r="3" spans="1:35" ht="15" customHeight="1">
      <c r="A3" s="14"/>
      <c r="B3" s="14"/>
      <c r="C3" s="14"/>
      <c r="D3" s="14"/>
      <c r="E3" s="17" t="s">
        <v>222</v>
      </c>
      <c r="F3" s="16"/>
      <c r="G3" s="16"/>
      <c r="H3" s="16"/>
      <c r="I3" s="24"/>
      <c r="J3" s="17"/>
      <c r="K3" s="125" t="s">
        <v>116</v>
      </c>
      <c r="L3" s="125" t="s">
        <v>117</v>
      </c>
      <c r="M3" s="125" t="s">
        <v>118</v>
      </c>
      <c r="N3" s="125" t="s">
        <v>119</v>
      </c>
      <c r="O3" s="125" t="s">
        <v>120</v>
      </c>
      <c r="P3" s="125" t="s">
        <v>121</v>
      </c>
      <c r="Q3" s="125" t="s">
        <v>122</v>
      </c>
      <c r="R3" s="125" t="s">
        <v>123</v>
      </c>
      <c r="S3" s="125" t="s">
        <v>124</v>
      </c>
      <c r="T3" s="125" t="s">
        <v>125</v>
      </c>
      <c r="U3" s="125" t="s">
        <v>126</v>
      </c>
      <c r="V3" s="125" t="s">
        <v>127</v>
      </c>
      <c r="W3" s="125" t="s">
        <v>128</v>
      </c>
      <c r="X3" s="125" t="s">
        <v>129</v>
      </c>
      <c r="Y3" s="125" t="s">
        <v>130</v>
      </c>
      <c r="Z3" s="125" t="s">
        <v>131</v>
      </c>
      <c r="AA3" s="125" t="s">
        <v>132</v>
      </c>
      <c r="AB3" s="125" t="s">
        <v>133</v>
      </c>
      <c r="AC3" s="125" t="s">
        <v>134</v>
      </c>
      <c r="AD3" s="125" t="s">
        <v>135</v>
      </c>
      <c r="AE3" s="125" t="s">
        <v>136</v>
      </c>
      <c r="AF3" s="125" t="s">
        <v>137</v>
      </c>
      <c r="AG3" s="125" t="s">
        <v>138</v>
      </c>
      <c r="AH3" s="125" t="s">
        <v>139</v>
      </c>
      <c r="AI3" s="125" t="s">
        <v>140</v>
      </c>
    </row>
    <row r="4" spans="1:35" ht="15" customHeight="1">
      <c r="A4" s="5"/>
      <c r="B4" s="5"/>
      <c r="C4" s="5"/>
      <c r="D4" s="5"/>
      <c r="E4" s="5"/>
      <c r="F4" s="5"/>
      <c r="G4" s="5"/>
      <c r="H4" s="5"/>
      <c r="I4" s="26"/>
      <c r="J4" s="6"/>
      <c r="K4" s="6"/>
      <c r="L4" s="6"/>
      <c r="M4" s="6"/>
      <c r="N4" s="6"/>
      <c r="O4" s="6"/>
      <c r="P4" s="6"/>
      <c r="Q4" s="6"/>
      <c r="R4" s="6"/>
      <c r="S4" s="5"/>
      <c r="T4" s="5"/>
      <c r="U4" s="5"/>
      <c r="V4" s="5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5" ht="15" customHeight="1">
      <c r="B5" s="126" t="s">
        <v>290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</row>
    <row r="6" spans="1:35" ht="15" customHeight="1">
      <c r="B6" s="19"/>
      <c r="C6" s="19"/>
      <c r="D6" s="19"/>
      <c r="E6" s="19"/>
      <c r="F6" s="19"/>
      <c r="G6" s="19"/>
      <c r="H6" s="5"/>
      <c r="I6" s="19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</row>
    <row r="7" spans="1:35" ht="15" customHeight="1">
      <c r="B7" s="5"/>
      <c r="C7" s="92" t="s">
        <v>291</v>
      </c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</row>
    <row r="8" spans="1:35" ht="15" customHeight="1">
      <c r="E8" s="19"/>
      <c r="F8" s="19"/>
      <c r="G8" s="19"/>
    </row>
    <row r="9" spans="1:35" ht="15" customHeight="1">
      <c r="E9" s="5" t="s">
        <v>254</v>
      </c>
      <c r="F9" s="19"/>
      <c r="G9" s="19" t="s">
        <v>292</v>
      </c>
      <c r="I9" s="4"/>
      <c r="K9" s="44">
        <f>'Allowances Cap'!K34* 'Tax Deductions'!K$11</f>
        <v>59.600093917816004</v>
      </c>
      <c r="L9" s="44">
        <f>'Allowances Cap'!L34* 'Tax Deductions'!L$11</f>
        <v>60.792095796172326</v>
      </c>
      <c r="M9" s="44">
        <f>'Allowances Cap'!M34* 'Tax Deductions'!M$11</f>
        <v>62.007937712095774</v>
      </c>
      <c r="N9" s="44">
        <f>'Allowances Cap'!N34* 'Tax Deductions'!N$11</f>
        <v>63.248096466337685</v>
      </c>
      <c r="O9" s="44">
        <f>'Allowances Cap'!O34* 'Tax Deductions'!O$11</f>
        <v>64.51305839566443</v>
      </c>
      <c r="P9" s="44">
        <f>'Allowances Cap'!P34* 'Tax Deductions'!P$11</f>
        <v>65.80331956357773</v>
      </c>
      <c r="Q9" s="44">
        <f>'Allowances Cap'!Q34* 'Tax Deductions'!Q$11</f>
        <v>67.119385954849292</v>
      </c>
      <c r="R9" s="44">
        <f>'Allowances Cap'!R34* 'Tax Deductions'!R$11</f>
        <v>68.461773673946283</v>
      </c>
      <c r="S9" s="44">
        <f>'Allowances Cap'!S34* 'Tax Deductions'!S$11</f>
        <v>69.831009147425206</v>
      </c>
      <c r="T9" s="44">
        <f>'Allowances Cap'!T34* 'Tax Deductions'!T$11</f>
        <v>71.227629330373702</v>
      </c>
      <c r="U9" s="44">
        <f>'Allowances Cap'!U34* 'Tax Deductions'!U$11</f>
        <v>72.652181916981178</v>
      </c>
      <c r="V9" s="44">
        <f>'Allowances Cap'!V34* 'Tax Deductions'!V$11</f>
        <v>74.1052255553208</v>
      </c>
      <c r="W9" s="44">
        <f>'Allowances Cap'!W34* 'Tax Deductions'!W$11</f>
        <v>75.587330066427214</v>
      </c>
      <c r="X9" s="44">
        <f>'Allowances Cap'!X34* 'Tax Deductions'!X$11</f>
        <v>77.099076667755753</v>
      </c>
      <c r="Y9" s="44">
        <f>'Allowances Cap'!Y34* 'Tax Deductions'!Y$11</f>
        <v>78.64105820111088</v>
      </c>
      <c r="Z9" s="44">
        <f>'Allowances Cap'!Z34* 'Tax Deductions'!Z$11</f>
        <v>80.213879365133096</v>
      </c>
      <c r="AA9" s="44">
        <f>'Allowances Cap'!AA34* 'Tax Deductions'!AA$11</f>
        <v>81.818156952435757</v>
      </c>
      <c r="AB9" s="44">
        <f>'Allowances Cap'!AB34* 'Tax Deductions'!AB$11</f>
        <v>83.454520091484468</v>
      </c>
      <c r="AC9" s="44">
        <f>'Allowances Cap'!AC34* 'Tax Deductions'!AC$11</f>
        <v>85.123610493314175</v>
      </c>
      <c r="AD9" s="44">
        <f>'Allowances Cap'!AD34* 'Tax Deductions'!AD$11</f>
        <v>86.826082703180461</v>
      </c>
      <c r="AE9" s="44">
        <f>'Allowances Cap'!AE34* 'Tax Deductions'!AE$11</f>
        <v>88.562604357244069</v>
      </c>
      <c r="AF9" s="44">
        <f>'Allowances Cap'!AF34* 'Tax Deductions'!AF$11</f>
        <v>90.333856444388957</v>
      </c>
      <c r="AG9" s="44">
        <f>'Allowances Cap'!AG34* 'Tax Deductions'!AG$11</f>
        <v>92.140533573276727</v>
      </c>
      <c r="AH9" s="44">
        <f>'Allowances Cap'!AH34* 'Tax Deductions'!AH$11</f>
        <v>93.98334424474227</v>
      </c>
      <c r="AI9" s="44">
        <f>'Allowances Cap'!AI34* 'Tax Deductions'!AI$11</f>
        <v>95.863011129637115</v>
      </c>
    </row>
    <row r="10" spans="1:35" ht="15" customHeight="1">
      <c r="E10" s="5" t="s">
        <v>293</v>
      </c>
      <c r="F10" s="19"/>
      <c r="G10" s="19" t="s">
        <v>292</v>
      </c>
      <c r="K10" s="44">
        <f>-'Tax Deductions'!K19</f>
        <v>-54.127029414782442</v>
      </c>
      <c r="L10" s="44">
        <f>-'Tax Deductions'!L19</f>
        <v>-43.133823461776871</v>
      </c>
      <c r="M10" s="44">
        <f>-'Tax Deductions'!M19</f>
        <v>-45.962424357030358</v>
      </c>
      <c r="N10" s="44">
        <f>-'Tax Deductions'!N19</f>
        <v>-43.977913372953068</v>
      </c>
      <c r="O10" s="44">
        <f>-'Tax Deductions'!O19</f>
        <v>-43.686196009814957</v>
      </c>
      <c r="P10" s="44">
        <f>-'Tax Deductions'!P19</f>
        <v>-42.309947247624557</v>
      </c>
      <c r="Q10" s="44">
        <f>-'Tax Deductions'!Q19</f>
        <v>-41.141850763912231</v>
      </c>
      <c r="R10" s="44">
        <f>-'Tax Deductions'!R19</f>
        <v>-41.968336480874612</v>
      </c>
      <c r="S10" s="44">
        <f>-'Tax Deductions'!S19</f>
        <v>-41.444336053919791</v>
      </c>
      <c r="T10" s="44">
        <f>-'Tax Deductions'!T19</f>
        <v>-41.977471169794924</v>
      </c>
      <c r="U10" s="44">
        <f>-'Tax Deductions'!U19</f>
        <v>-40.787365559867744</v>
      </c>
      <c r="V10" s="44">
        <f>-'Tax Deductions'!V19</f>
        <v>-40.249648987822262</v>
      </c>
      <c r="W10" s="44">
        <f>-'Tax Deductions'!W19</f>
        <v>-39.852325931578619</v>
      </c>
      <c r="X10" s="44">
        <f>-'Tax Deductions'!X19</f>
        <v>-39.857471085755151</v>
      </c>
      <c r="Y10" s="44">
        <f>-'Tax Deductions'!Y19</f>
        <v>-40.579977927277909</v>
      </c>
      <c r="Z10" s="44">
        <f>-'Tax Deductions'!Z19</f>
        <v>-39.492285819635825</v>
      </c>
      <c r="AA10" s="44">
        <f>-'Tax Deductions'!AA19</f>
        <v>-42.183406503890517</v>
      </c>
      <c r="AB10" s="44">
        <f>-'Tax Deductions'!AB19</f>
        <v>-41.761913116427571</v>
      </c>
      <c r="AC10" s="44">
        <f>-'Tax Deductions'!AC19</f>
        <v>-41.423350375234023</v>
      </c>
      <c r="AD10" s="44">
        <f>-'Tax Deductions'!AD19</f>
        <v>-42.587829223239758</v>
      </c>
      <c r="AE10" s="44">
        <f>-'Tax Deductions'!AE19</f>
        <v>-41.969915568546668</v>
      </c>
      <c r="AF10" s="44">
        <f>-'Tax Deductions'!AF19</f>
        <v>-41.826001090310882</v>
      </c>
      <c r="AG10" s="44">
        <f>-'Tax Deductions'!AG19</f>
        <v>-41.749768553711789</v>
      </c>
      <c r="AH10" s="44">
        <f>-'Tax Deductions'!AH19</f>
        <v>-41.737320172874213</v>
      </c>
      <c r="AI10" s="44">
        <f>-'Tax Deductions'!AI19</f>
        <v>-111.45549748977365</v>
      </c>
    </row>
    <row r="11" spans="1:35" ht="15" customHeight="1">
      <c r="E11" s="19" t="s">
        <v>291</v>
      </c>
      <c r="F11" s="19"/>
      <c r="G11" s="19" t="s">
        <v>292</v>
      </c>
      <c r="K11" s="100">
        <f t="shared" ref="K11:AI11" si="0">SUM(K9:K10)</f>
        <v>5.4730645030335623</v>
      </c>
      <c r="L11" s="100">
        <f t="shared" si="0"/>
        <v>17.658272334395456</v>
      </c>
      <c r="M11" s="100">
        <f t="shared" si="0"/>
        <v>16.045513355065417</v>
      </c>
      <c r="N11" s="100">
        <f t="shared" si="0"/>
        <v>19.270183093384617</v>
      </c>
      <c r="O11" s="100">
        <f t="shared" si="0"/>
        <v>20.826862385849473</v>
      </c>
      <c r="P11" s="100">
        <f t="shared" si="0"/>
        <v>23.493372315953174</v>
      </c>
      <c r="Q11" s="100">
        <f t="shared" si="0"/>
        <v>25.977535190937061</v>
      </c>
      <c r="R11" s="100">
        <f t="shared" si="0"/>
        <v>26.493437193071671</v>
      </c>
      <c r="S11" s="100">
        <f t="shared" si="0"/>
        <v>28.386673093505415</v>
      </c>
      <c r="T11" s="100">
        <f t="shared" si="0"/>
        <v>29.250158160578778</v>
      </c>
      <c r="U11" s="100">
        <f t="shared" si="0"/>
        <v>31.864816357113433</v>
      </c>
      <c r="V11" s="100">
        <f t="shared" si="0"/>
        <v>33.855576567498538</v>
      </c>
      <c r="W11" s="100">
        <f t="shared" si="0"/>
        <v>35.735004134848595</v>
      </c>
      <c r="X11" s="100">
        <f t="shared" si="0"/>
        <v>37.241605582000602</v>
      </c>
      <c r="Y11" s="100">
        <f t="shared" si="0"/>
        <v>38.061080273832971</v>
      </c>
      <c r="Z11" s="100">
        <f t="shared" si="0"/>
        <v>40.721593545497271</v>
      </c>
      <c r="AA11" s="100">
        <f t="shared" si="0"/>
        <v>39.63475044854524</v>
      </c>
      <c r="AB11" s="100">
        <f t="shared" si="0"/>
        <v>41.692606975056897</v>
      </c>
      <c r="AC11" s="100">
        <f t="shared" si="0"/>
        <v>43.700260118080152</v>
      </c>
      <c r="AD11" s="100">
        <f t="shared" si="0"/>
        <v>44.238253479940703</v>
      </c>
      <c r="AE11" s="100">
        <f t="shared" si="0"/>
        <v>46.592688788697401</v>
      </c>
      <c r="AF11" s="100">
        <f t="shared" si="0"/>
        <v>48.507855354078075</v>
      </c>
      <c r="AG11" s="100">
        <f t="shared" si="0"/>
        <v>50.390765019564938</v>
      </c>
      <c r="AH11" s="100">
        <f t="shared" si="0"/>
        <v>52.246024071868057</v>
      </c>
      <c r="AI11" s="100">
        <f t="shared" si="0"/>
        <v>-15.592486360136533</v>
      </c>
    </row>
    <row r="12" spans="1:35" ht="15" customHeight="1">
      <c r="E12" s="19"/>
      <c r="F12" s="19"/>
      <c r="G12" s="19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</row>
    <row r="13" spans="1:35" ht="15" customHeight="1">
      <c r="B13" s="19"/>
      <c r="C13" s="92" t="s">
        <v>294</v>
      </c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</row>
    <row r="14" spans="1:35" ht="15" customHeight="1"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</row>
    <row r="15" spans="1:35" ht="15" customHeight="1">
      <c r="B15" s="19"/>
      <c r="C15" s="19"/>
      <c r="D15" s="19"/>
      <c r="E15" s="5" t="s">
        <v>295</v>
      </c>
      <c r="F15" s="19"/>
      <c r="G15" s="19" t="s">
        <v>292</v>
      </c>
      <c r="H15" s="19"/>
      <c r="I15" s="19"/>
      <c r="J15" s="19"/>
      <c r="K15" s="5">
        <f t="shared" ref="K15:AI15" si="1">J18</f>
        <v>0</v>
      </c>
      <c r="L15" s="5">
        <f t="shared" si="1"/>
        <v>0</v>
      </c>
      <c r="M15" s="5">
        <f t="shared" si="1"/>
        <v>0</v>
      </c>
      <c r="N15" s="5">
        <f t="shared" si="1"/>
        <v>0</v>
      </c>
      <c r="O15" s="5">
        <f t="shared" si="1"/>
        <v>0</v>
      </c>
      <c r="P15" s="5">
        <f t="shared" si="1"/>
        <v>0</v>
      </c>
      <c r="Q15" s="5">
        <f t="shared" si="1"/>
        <v>0</v>
      </c>
      <c r="R15" s="5">
        <f t="shared" si="1"/>
        <v>0</v>
      </c>
      <c r="S15" s="5">
        <f t="shared" si="1"/>
        <v>0</v>
      </c>
      <c r="T15" s="5">
        <f t="shared" si="1"/>
        <v>0</v>
      </c>
      <c r="U15" s="5">
        <f t="shared" si="1"/>
        <v>0</v>
      </c>
      <c r="V15" s="5">
        <f t="shared" si="1"/>
        <v>0</v>
      </c>
      <c r="W15" s="5">
        <f t="shared" si="1"/>
        <v>0</v>
      </c>
      <c r="X15" s="5">
        <f t="shared" si="1"/>
        <v>0</v>
      </c>
      <c r="Y15" s="5">
        <f t="shared" si="1"/>
        <v>0</v>
      </c>
      <c r="Z15" s="5">
        <f t="shared" si="1"/>
        <v>0</v>
      </c>
      <c r="AA15" s="5">
        <f t="shared" si="1"/>
        <v>0</v>
      </c>
      <c r="AB15" s="5">
        <f t="shared" si="1"/>
        <v>0</v>
      </c>
      <c r="AC15" s="5">
        <f t="shared" si="1"/>
        <v>0</v>
      </c>
      <c r="AD15" s="5">
        <f t="shared" si="1"/>
        <v>0</v>
      </c>
      <c r="AE15" s="5">
        <f t="shared" si="1"/>
        <v>0</v>
      </c>
      <c r="AF15" s="5">
        <f t="shared" si="1"/>
        <v>0</v>
      </c>
      <c r="AG15" s="5">
        <f t="shared" si="1"/>
        <v>0</v>
      </c>
      <c r="AH15" s="5">
        <f t="shared" si="1"/>
        <v>0</v>
      </c>
      <c r="AI15" s="5">
        <f t="shared" si="1"/>
        <v>0</v>
      </c>
    </row>
    <row r="16" spans="1:35" ht="15" customHeight="1">
      <c r="B16" s="19"/>
      <c r="C16" s="19"/>
      <c r="D16" s="19"/>
      <c r="E16" s="5" t="s">
        <v>296</v>
      </c>
      <c r="F16" s="19"/>
      <c r="G16" s="19" t="s">
        <v>292</v>
      </c>
      <c r="H16" s="19"/>
      <c r="I16" s="19"/>
      <c r="J16" s="19"/>
      <c r="K16" s="5">
        <f t="shared" ref="K16:AI16" si="2">MIN(K11, 0)</f>
        <v>0</v>
      </c>
      <c r="L16" s="5">
        <f t="shared" si="2"/>
        <v>0</v>
      </c>
      <c r="M16" s="5">
        <f t="shared" si="2"/>
        <v>0</v>
      </c>
      <c r="N16" s="5">
        <f t="shared" si="2"/>
        <v>0</v>
      </c>
      <c r="O16" s="5">
        <f t="shared" si="2"/>
        <v>0</v>
      </c>
      <c r="P16" s="5">
        <f t="shared" si="2"/>
        <v>0</v>
      </c>
      <c r="Q16" s="5">
        <f t="shared" si="2"/>
        <v>0</v>
      </c>
      <c r="R16" s="5">
        <f t="shared" si="2"/>
        <v>0</v>
      </c>
      <c r="S16" s="5">
        <f t="shared" si="2"/>
        <v>0</v>
      </c>
      <c r="T16" s="5">
        <f t="shared" si="2"/>
        <v>0</v>
      </c>
      <c r="U16" s="5">
        <f t="shared" si="2"/>
        <v>0</v>
      </c>
      <c r="V16" s="5">
        <f t="shared" si="2"/>
        <v>0</v>
      </c>
      <c r="W16" s="5">
        <f t="shared" si="2"/>
        <v>0</v>
      </c>
      <c r="X16" s="5">
        <f t="shared" si="2"/>
        <v>0</v>
      </c>
      <c r="Y16" s="5">
        <f t="shared" si="2"/>
        <v>0</v>
      </c>
      <c r="Z16" s="5">
        <f t="shared" si="2"/>
        <v>0</v>
      </c>
      <c r="AA16" s="5">
        <f t="shared" si="2"/>
        <v>0</v>
      </c>
      <c r="AB16" s="5">
        <f t="shared" si="2"/>
        <v>0</v>
      </c>
      <c r="AC16" s="5">
        <f t="shared" si="2"/>
        <v>0</v>
      </c>
      <c r="AD16" s="5">
        <f t="shared" si="2"/>
        <v>0</v>
      </c>
      <c r="AE16" s="5">
        <f t="shared" si="2"/>
        <v>0</v>
      </c>
      <c r="AF16" s="5">
        <f t="shared" si="2"/>
        <v>0</v>
      </c>
      <c r="AG16" s="5">
        <f t="shared" si="2"/>
        <v>0</v>
      </c>
      <c r="AH16" s="5">
        <f t="shared" si="2"/>
        <v>0</v>
      </c>
      <c r="AI16" s="5">
        <f t="shared" si="2"/>
        <v>-15.592486360136533</v>
      </c>
    </row>
    <row r="17" spans="2:35" ht="15" customHeight="1">
      <c r="B17" s="19"/>
      <c r="C17" s="19"/>
      <c r="D17" s="19"/>
      <c r="E17" s="19" t="s">
        <v>297</v>
      </c>
      <c r="F17" s="19"/>
      <c r="G17" s="19" t="s">
        <v>292</v>
      </c>
      <c r="H17" s="19"/>
      <c r="I17" s="19"/>
      <c r="J17" s="19"/>
      <c r="K17" s="5">
        <f t="shared" ref="K17:AI17" si="3">IF(K11 &gt;= 0, MIN(K11, -K15), 0)</f>
        <v>0</v>
      </c>
      <c r="L17" s="5">
        <f t="shared" si="3"/>
        <v>0</v>
      </c>
      <c r="M17" s="5">
        <f t="shared" si="3"/>
        <v>0</v>
      </c>
      <c r="N17" s="5">
        <f t="shared" si="3"/>
        <v>0</v>
      </c>
      <c r="O17" s="5">
        <f t="shared" si="3"/>
        <v>0</v>
      </c>
      <c r="P17" s="5">
        <f t="shared" si="3"/>
        <v>0</v>
      </c>
      <c r="Q17" s="5">
        <f t="shared" si="3"/>
        <v>0</v>
      </c>
      <c r="R17" s="5">
        <f t="shared" si="3"/>
        <v>0</v>
      </c>
      <c r="S17" s="5">
        <f t="shared" si="3"/>
        <v>0</v>
      </c>
      <c r="T17" s="5">
        <f t="shared" si="3"/>
        <v>0</v>
      </c>
      <c r="U17" s="5">
        <f t="shared" si="3"/>
        <v>0</v>
      </c>
      <c r="V17" s="5">
        <f t="shared" si="3"/>
        <v>0</v>
      </c>
      <c r="W17" s="5">
        <f t="shared" si="3"/>
        <v>0</v>
      </c>
      <c r="X17" s="5">
        <f t="shared" si="3"/>
        <v>0</v>
      </c>
      <c r="Y17" s="5">
        <f t="shared" si="3"/>
        <v>0</v>
      </c>
      <c r="Z17" s="5">
        <f t="shared" si="3"/>
        <v>0</v>
      </c>
      <c r="AA17" s="5">
        <f t="shared" si="3"/>
        <v>0</v>
      </c>
      <c r="AB17" s="5">
        <f t="shared" si="3"/>
        <v>0</v>
      </c>
      <c r="AC17" s="5">
        <f t="shared" si="3"/>
        <v>0</v>
      </c>
      <c r="AD17" s="5">
        <f t="shared" si="3"/>
        <v>0</v>
      </c>
      <c r="AE17" s="5">
        <f t="shared" si="3"/>
        <v>0</v>
      </c>
      <c r="AF17" s="5">
        <f t="shared" si="3"/>
        <v>0</v>
      </c>
      <c r="AG17" s="5">
        <f t="shared" si="3"/>
        <v>0</v>
      </c>
      <c r="AH17" s="5">
        <f t="shared" si="3"/>
        <v>0</v>
      </c>
      <c r="AI17" s="5">
        <f t="shared" si="3"/>
        <v>0</v>
      </c>
    </row>
    <row r="18" spans="2:35" ht="15" customHeight="1">
      <c r="B18" s="19"/>
      <c r="C18" s="19"/>
      <c r="D18" s="19"/>
      <c r="E18" s="5" t="s">
        <v>298</v>
      </c>
      <c r="F18" s="19"/>
      <c r="G18" s="19" t="s">
        <v>292</v>
      </c>
      <c r="H18" s="19"/>
      <c r="I18" s="19"/>
      <c r="J18" s="19"/>
      <c r="K18" s="62">
        <f t="shared" ref="K18:AI18" si="4">SUM(K15:K17)</f>
        <v>0</v>
      </c>
      <c r="L18" s="62">
        <f t="shared" si="4"/>
        <v>0</v>
      </c>
      <c r="M18" s="62">
        <f t="shared" si="4"/>
        <v>0</v>
      </c>
      <c r="N18" s="62">
        <f t="shared" si="4"/>
        <v>0</v>
      </c>
      <c r="O18" s="62">
        <f t="shared" si="4"/>
        <v>0</v>
      </c>
      <c r="P18" s="62">
        <f t="shared" si="4"/>
        <v>0</v>
      </c>
      <c r="Q18" s="62">
        <f t="shared" si="4"/>
        <v>0</v>
      </c>
      <c r="R18" s="62">
        <f t="shared" si="4"/>
        <v>0</v>
      </c>
      <c r="S18" s="62">
        <f t="shared" si="4"/>
        <v>0</v>
      </c>
      <c r="T18" s="62">
        <f t="shared" si="4"/>
        <v>0</v>
      </c>
      <c r="U18" s="62">
        <f t="shared" si="4"/>
        <v>0</v>
      </c>
      <c r="V18" s="62">
        <f t="shared" si="4"/>
        <v>0</v>
      </c>
      <c r="W18" s="62">
        <f t="shared" si="4"/>
        <v>0</v>
      </c>
      <c r="X18" s="62">
        <f t="shared" si="4"/>
        <v>0</v>
      </c>
      <c r="Y18" s="62">
        <f t="shared" si="4"/>
        <v>0</v>
      </c>
      <c r="Z18" s="62">
        <f t="shared" si="4"/>
        <v>0</v>
      </c>
      <c r="AA18" s="62">
        <f t="shared" si="4"/>
        <v>0</v>
      </c>
      <c r="AB18" s="62">
        <f t="shared" si="4"/>
        <v>0</v>
      </c>
      <c r="AC18" s="62">
        <f t="shared" si="4"/>
        <v>0</v>
      </c>
      <c r="AD18" s="62">
        <f t="shared" si="4"/>
        <v>0</v>
      </c>
      <c r="AE18" s="62">
        <f t="shared" si="4"/>
        <v>0</v>
      </c>
      <c r="AF18" s="62">
        <f t="shared" si="4"/>
        <v>0</v>
      </c>
      <c r="AG18" s="62">
        <f t="shared" si="4"/>
        <v>0</v>
      </c>
      <c r="AH18" s="62">
        <f t="shared" si="4"/>
        <v>0</v>
      </c>
      <c r="AI18" s="62">
        <f t="shared" si="4"/>
        <v>-15.592486360136533</v>
      </c>
    </row>
    <row r="19" spans="2:35" ht="15" customHeight="1">
      <c r="B19" s="19"/>
      <c r="C19" s="19"/>
      <c r="D19" s="19"/>
      <c r="E19" s="19"/>
      <c r="F19" s="19"/>
      <c r="G19" s="19"/>
      <c r="H19" s="19"/>
      <c r="I19" s="19"/>
      <c r="J19" s="1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</row>
    <row r="20" spans="2:35" ht="15" customHeight="1">
      <c r="B20" s="19"/>
      <c r="C20" s="92" t="s">
        <v>299</v>
      </c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</row>
    <row r="21" spans="2:35" ht="15" customHeight="1">
      <c r="B21" s="5"/>
      <c r="C21" s="5"/>
      <c r="D21" s="5"/>
      <c r="E21" s="5"/>
      <c r="F21" s="5"/>
      <c r="G21" s="5"/>
      <c r="H21" s="5"/>
      <c r="I21" s="5"/>
      <c r="J21" s="7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</row>
    <row r="22" spans="2:35" ht="15" customHeight="1">
      <c r="B22" s="5"/>
      <c r="C22" s="5"/>
      <c r="D22" s="5"/>
      <c r="E22" s="19" t="s">
        <v>300</v>
      </c>
      <c r="F22" s="19"/>
      <c r="G22" s="19" t="s">
        <v>292</v>
      </c>
      <c r="H22" s="5"/>
      <c r="I22" s="5"/>
      <c r="J22" s="7"/>
      <c r="K22" s="5">
        <f t="shared" ref="K22:AI22" si="5">MAX(K11 - K17,0)</f>
        <v>5.4730645030335623</v>
      </c>
      <c r="L22" s="5">
        <f t="shared" si="5"/>
        <v>17.658272334395456</v>
      </c>
      <c r="M22" s="5">
        <f t="shared" si="5"/>
        <v>16.045513355065417</v>
      </c>
      <c r="N22" s="5">
        <f t="shared" si="5"/>
        <v>19.270183093384617</v>
      </c>
      <c r="O22" s="5">
        <f t="shared" si="5"/>
        <v>20.826862385849473</v>
      </c>
      <c r="P22" s="5">
        <f t="shared" si="5"/>
        <v>23.493372315953174</v>
      </c>
      <c r="Q22" s="5">
        <f t="shared" si="5"/>
        <v>25.977535190937061</v>
      </c>
      <c r="R22" s="5">
        <f t="shared" si="5"/>
        <v>26.493437193071671</v>
      </c>
      <c r="S22" s="5">
        <f t="shared" si="5"/>
        <v>28.386673093505415</v>
      </c>
      <c r="T22" s="5">
        <f t="shared" si="5"/>
        <v>29.250158160578778</v>
      </c>
      <c r="U22" s="5">
        <f t="shared" si="5"/>
        <v>31.864816357113433</v>
      </c>
      <c r="V22" s="5">
        <f t="shared" si="5"/>
        <v>33.855576567498538</v>
      </c>
      <c r="W22" s="5">
        <f t="shared" si="5"/>
        <v>35.735004134848595</v>
      </c>
      <c r="X22" s="5">
        <f t="shared" si="5"/>
        <v>37.241605582000602</v>
      </c>
      <c r="Y22" s="5">
        <f t="shared" si="5"/>
        <v>38.061080273832971</v>
      </c>
      <c r="Z22" s="5">
        <f t="shared" si="5"/>
        <v>40.721593545497271</v>
      </c>
      <c r="AA22" s="5">
        <f t="shared" si="5"/>
        <v>39.63475044854524</v>
      </c>
      <c r="AB22" s="5">
        <f t="shared" si="5"/>
        <v>41.692606975056897</v>
      </c>
      <c r="AC22" s="5">
        <f t="shared" si="5"/>
        <v>43.700260118080152</v>
      </c>
      <c r="AD22" s="5">
        <f t="shared" si="5"/>
        <v>44.238253479940703</v>
      </c>
      <c r="AE22" s="5">
        <f t="shared" si="5"/>
        <v>46.592688788697401</v>
      </c>
      <c r="AF22" s="5">
        <f t="shared" si="5"/>
        <v>48.507855354078075</v>
      </c>
      <c r="AG22" s="5">
        <f t="shared" si="5"/>
        <v>50.390765019564938</v>
      </c>
      <c r="AH22" s="5">
        <f t="shared" si="5"/>
        <v>52.246024071868057</v>
      </c>
      <c r="AI22" s="5">
        <f t="shared" si="5"/>
        <v>0</v>
      </c>
    </row>
    <row r="23" spans="2:35" ht="15" customHeight="1">
      <c r="B23" s="5"/>
      <c r="C23" s="5"/>
      <c r="D23" s="5"/>
      <c r="E23" s="101" t="s">
        <v>183</v>
      </c>
      <c r="F23" s="19"/>
      <c r="G23" s="101" t="str">
        <f>Inputs!G113</f>
        <v>%</v>
      </c>
      <c r="H23" s="5"/>
      <c r="I23" s="5"/>
      <c r="J23" s="7"/>
      <c r="K23" s="95">
        <f>Inputs!K113</f>
        <v>0.25</v>
      </c>
      <c r="L23" s="95">
        <f>Inputs!L113</f>
        <v>0.25</v>
      </c>
      <c r="M23" s="95">
        <f>Inputs!M113</f>
        <v>0.25</v>
      </c>
      <c r="N23" s="95">
        <f>Inputs!N113</f>
        <v>0.25</v>
      </c>
      <c r="O23" s="95">
        <f>Inputs!O113</f>
        <v>0.25</v>
      </c>
      <c r="P23" s="95">
        <f>Inputs!P113</f>
        <v>0.25</v>
      </c>
      <c r="Q23" s="95">
        <f>Inputs!Q113</f>
        <v>0.25</v>
      </c>
      <c r="R23" s="95">
        <f>Inputs!R113</f>
        <v>0.25</v>
      </c>
      <c r="S23" s="95">
        <f>Inputs!S113</f>
        <v>0.25</v>
      </c>
      <c r="T23" s="95">
        <f>Inputs!T113</f>
        <v>0.25</v>
      </c>
      <c r="U23" s="95">
        <f>Inputs!U113</f>
        <v>0.25</v>
      </c>
      <c r="V23" s="95">
        <f>Inputs!V113</f>
        <v>0.25</v>
      </c>
      <c r="W23" s="95">
        <f>Inputs!W113</f>
        <v>0.25</v>
      </c>
      <c r="X23" s="95">
        <f>Inputs!X113</f>
        <v>0.25</v>
      </c>
      <c r="Y23" s="95">
        <f>Inputs!Y113</f>
        <v>0.25</v>
      </c>
      <c r="Z23" s="95">
        <f>Inputs!Z113</f>
        <v>0.25</v>
      </c>
      <c r="AA23" s="95">
        <f>Inputs!AA113</f>
        <v>0.25</v>
      </c>
      <c r="AB23" s="95">
        <f>Inputs!AB113</f>
        <v>0.25</v>
      </c>
      <c r="AC23" s="95">
        <f>Inputs!AC113</f>
        <v>0.25</v>
      </c>
      <c r="AD23" s="95">
        <f>Inputs!AD113</f>
        <v>0.25</v>
      </c>
      <c r="AE23" s="95">
        <f>Inputs!AE113</f>
        <v>0.25</v>
      </c>
      <c r="AF23" s="95">
        <f>Inputs!AF113</f>
        <v>0.25</v>
      </c>
      <c r="AG23" s="95">
        <f>Inputs!AG113</f>
        <v>0.25</v>
      </c>
      <c r="AH23" s="95">
        <f>Inputs!AH113</f>
        <v>0.25</v>
      </c>
      <c r="AI23" s="95">
        <f>Inputs!AI113</f>
        <v>0.25</v>
      </c>
    </row>
    <row r="24" spans="2:35" ht="15" customHeight="1">
      <c r="B24" s="19"/>
      <c r="C24" s="19"/>
      <c r="D24" s="19"/>
      <c r="E24" s="19" t="s">
        <v>301</v>
      </c>
      <c r="F24" s="19"/>
      <c r="G24" s="19" t="s">
        <v>292</v>
      </c>
      <c r="H24" s="19"/>
      <c r="I24" s="19"/>
      <c r="J24" s="19"/>
      <c r="K24" s="99">
        <f t="shared" ref="K24:AI24" si="6">K22 * K23</f>
        <v>1.3682661257583906</v>
      </c>
      <c r="L24" s="99">
        <f t="shared" si="6"/>
        <v>4.4145680835988639</v>
      </c>
      <c r="M24" s="99">
        <f t="shared" si="6"/>
        <v>4.0113783387663542</v>
      </c>
      <c r="N24" s="99">
        <f t="shared" si="6"/>
        <v>4.8175457733461542</v>
      </c>
      <c r="O24" s="99">
        <f t="shared" si="6"/>
        <v>5.2067155964623684</v>
      </c>
      <c r="P24" s="99">
        <f t="shared" si="6"/>
        <v>5.8733430789882934</v>
      </c>
      <c r="Q24" s="99">
        <f t="shared" si="6"/>
        <v>6.4943837977342653</v>
      </c>
      <c r="R24" s="99">
        <f t="shared" si="6"/>
        <v>6.6233592982679177</v>
      </c>
      <c r="S24" s="99">
        <f t="shared" si="6"/>
        <v>7.0966682733763538</v>
      </c>
      <c r="T24" s="99">
        <f t="shared" si="6"/>
        <v>7.3125395401446944</v>
      </c>
      <c r="U24" s="99">
        <f t="shared" si="6"/>
        <v>7.9662040892783583</v>
      </c>
      <c r="V24" s="99">
        <f t="shared" si="6"/>
        <v>8.4638941418746345</v>
      </c>
      <c r="W24" s="99">
        <f t="shared" si="6"/>
        <v>8.9337510337121486</v>
      </c>
      <c r="X24" s="99">
        <f t="shared" si="6"/>
        <v>9.3104013955001506</v>
      </c>
      <c r="Y24" s="99">
        <f t="shared" si="6"/>
        <v>9.5152700684582427</v>
      </c>
      <c r="Z24" s="99">
        <f t="shared" si="6"/>
        <v>10.180398386374318</v>
      </c>
      <c r="AA24" s="99">
        <f t="shared" si="6"/>
        <v>9.9086876121363101</v>
      </c>
      <c r="AB24" s="99">
        <f t="shared" si="6"/>
        <v>10.423151743764224</v>
      </c>
      <c r="AC24" s="99">
        <f t="shared" si="6"/>
        <v>10.925065029520038</v>
      </c>
      <c r="AD24" s="99">
        <f t="shared" si="6"/>
        <v>11.059563369985176</v>
      </c>
      <c r="AE24" s="99">
        <f t="shared" si="6"/>
        <v>11.64817219717435</v>
      </c>
      <c r="AF24" s="99">
        <f t="shared" si="6"/>
        <v>12.126963838519519</v>
      </c>
      <c r="AG24" s="99">
        <f t="shared" si="6"/>
        <v>12.597691254891235</v>
      </c>
      <c r="AH24" s="99">
        <f t="shared" si="6"/>
        <v>13.061506017967014</v>
      </c>
      <c r="AI24" s="99">
        <f t="shared" si="6"/>
        <v>0</v>
      </c>
    </row>
    <row r="25" spans="2:35" ht="15" customHeight="1">
      <c r="B25" s="19"/>
      <c r="C25" s="19"/>
      <c r="D25" s="19"/>
      <c r="E25" s="19"/>
      <c r="F25" s="19"/>
      <c r="G25" s="19"/>
      <c r="H25" s="19"/>
      <c r="I25" s="19"/>
      <c r="J25" s="1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</row>
    <row r="26" spans="2:35" ht="15" customHeight="1">
      <c r="B26" s="19"/>
      <c r="C26" s="19"/>
      <c r="D26" s="19"/>
      <c r="E26" s="5" t="s">
        <v>302</v>
      </c>
      <c r="F26" s="19"/>
      <c r="G26" s="5" t="s">
        <v>181</v>
      </c>
      <c r="H26" s="19"/>
      <c r="I26" s="19"/>
      <c r="J26" s="19"/>
      <c r="K26" s="102">
        <f t="shared" ref="K26:AI26" si="7">1 / (1 - K23)</f>
        <v>1.3333333333333333</v>
      </c>
      <c r="L26" s="102">
        <f t="shared" si="7"/>
        <v>1.3333333333333333</v>
      </c>
      <c r="M26" s="102">
        <f t="shared" si="7"/>
        <v>1.3333333333333333</v>
      </c>
      <c r="N26" s="102">
        <f t="shared" si="7"/>
        <v>1.3333333333333333</v>
      </c>
      <c r="O26" s="102">
        <f t="shared" si="7"/>
        <v>1.3333333333333333</v>
      </c>
      <c r="P26" s="102">
        <f t="shared" si="7"/>
        <v>1.3333333333333333</v>
      </c>
      <c r="Q26" s="102">
        <f t="shared" si="7"/>
        <v>1.3333333333333333</v>
      </c>
      <c r="R26" s="102">
        <f t="shared" si="7"/>
        <v>1.3333333333333333</v>
      </c>
      <c r="S26" s="102">
        <f t="shared" si="7"/>
        <v>1.3333333333333333</v>
      </c>
      <c r="T26" s="102">
        <f t="shared" si="7"/>
        <v>1.3333333333333333</v>
      </c>
      <c r="U26" s="102">
        <f t="shared" si="7"/>
        <v>1.3333333333333333</v>
      </c>
      <c r="V26" s="102">
        <f t="shared" si="7"/>
        <v>1.3333333333333333</v>
      </c>
      <c r="W26" s="102">
        <f t="shared" si="7"/>
        <v>1.3333333333333333</v>
      </c>
      <c r="X26" s="102">
        <f t="shared" si="7"/>
        <v>1.3333333333333333</v>
      </c>
      <c r="Y26" s="102">
        <f t="shared" si="7"/>
        <v>1.3333333333333333</v>
      </c>
      <c r="Z26" s="102">
        <f t="shared" si="7"/>
        <v>1.3333333333333333</v>
      </c>
      <c r="AA26" s="102">
        <f t="shared" si="7"/>
        <v>1.3333333333333333</v>
      </c>
      <c r="AB26" s="102">
        <f t="shared" si="7"/>
        <v>1.3333333333333333</v>
      </c>
      <c r="AC26" s="102">
        <f t="shared" si="7"/>
        <v>1.3333333333333333</v>
      </c>
      <c r="AD26" s="102">
        <f t="shared" si="7"/>
        <v>1.3333333333333333</v>
      </c>
      <c r="AE26" s="102">
        <f t="shared" si="7"/>
        <v>1.3333333333333333</v>
      </c>
      <c r="AF26" s="102">
        <f t="shared" si="7"/>
        <v>1.3333333333333333</v>
      </c>
      <c r="AG26" s="102">
        <f t="shared" si="7"/>
        <v>1.3333333333333333</v>
      </c>
      <c r="AH26" s="102">
        <f t="shared" si="7"/>
        <v>1.3333333333333333</v>
      </c>
      <c r="AI26" s="102">
        <f t="shared" si="7"/>
        <v>1.3333333333333333</v>
      </c>
    </row>
    <row r="27" spans="2:35" ht="15" customHeight="1">
      <c r="B27" s="19"/>
      <c r="C27" s="19"/>
      <c r="D27" s="19"/>
      <c r="E27" s="19"/>
      <c r="F27" s="19"/>
      <c r="G27" s="19"/>
      <c r="H27" s="19"/>
      <c r="I27" s="19"/>
      <c r="J27" s="1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</row>
    <row r="28" spans="2:35" ht="15" customHeight="1">
      <c r="B28" s="19"/>
      <c r="C28" s="19"/>
      <c r="D28" s="19"/>
      <c r="E28" s="5" t="s">
        <v>290</v>
      </c>
      <c r="F28" s="19"/>
      <c r="G28" s="19" t="s">
        <v>292</v>
      </c>
      <c r="H28" s="19"/>
      <c r="I28" s="19"/>
      <c r="J28" s="19"/>
      <c r="K28" s="65">
        <f t="shared" ref="K28:AI28" si="8">K24 * K26</f>
        <v>1.8243548343445206</v>
      </c>
      <c r="L28" s="65">
        <f t="shared" si="8"/>
        <v>5.8860907781318179</v>
      </c>
      <c r="M28" s="65">
        <f t="shared" si="8"/>
        <v>5.3485044516884717</v>
      </c>
      <c r="N28" s="65">
        <f t="shared" si="8"/>
        <v>6.4233943644615383</v>
      </c>
      <c r="O28" s="65">
        <f t="shared" si="8"/>
        <v>6.9422874619498245</v>
      </c>
      <c r="P28" s="65">
        <f t="shared" si="8"/>
        <v>7.8311241053177243</v>
      </c>
      <c r="Q28" s="65">
        <f t="shared" si="8"/>
        <v>8.6591783969790193</v>
      </c>
      <c r="R28" s="65">
        <f t="shared" si="8"/>
        <v>8.8311457310238897</v>
      </c>
      <c r="S28" s="65">
        <f t="shared" si="8"/>
        <v>9.4622243645018038</v>
      </c>
      <c r="T28" s="65">
        <f t="shared" si="8"/>
        <v>9.7500527201929259</v>
      </c>
      <c r="U28" s="65">
        <f t="shared" si="8"/>
        <v>10.621605452371144</v>
      </c>
      <c r="V28" s="65">
        <f t="shared" si="8"/>
        <v>11.285192189166178</v>
      </c>
      <c r="W28" s="65">
        <f t="shared" si="8"/>
        <v>11.911668044949531</v>
      </c>
      <c r="X28" s="65">
        <f t="shared" si="8"/>
        <v>12.413868527333534</v>
      </c>
      <c r="Y28" s="65">
        <f t="shared" si="8"/>
        <v>12.687026757944324</v>
      </c>
      <c r="Z28" s="65">
        <f t="shared" si="8"/>
        <v>13.573864515165756</v>
      </c>
      <c r="AA28" s="65">
        <f t="shared" si="8"/>
        <v>13.211583482848413</v>
      </c>
      <c r="AB28" s="65">
        <f t="shared" si="8"/>
        <v>13.897535658352298</v>
      </c>
      <c r="AC28" s="65">
        <f t="shared" si="8"/>
        <v>14.566753372693384</v>
      </c>
      <c r="AD28" s="65">
        <f t="shared" si="8"/>
        <v>14.746084493313568</v>
      </c>
      <c r="AE28" s="65">
        <f t="shared" si="8"/>
        <v>15.530896262899134</v>
      </c>
      <c r="AF28" s="65">
        <f t="shared" si="8"/>
        <v>16.169285118026025</v>
      </c>
      <c r="AG28" s="65">
        <f t="shared" si="8"/>
        <v>16.796921673188312</v>
      </c>
      <c r="AH28" s="65">
        <f t="shared" si="8"/>
        <v>17.41534135728935</v>
      </c>
      <c r="AI28" s="65">
        <f t="shared" si="8"/>
        <v>0</v>
      </c>
    </row>
    <row r="29" spans="2:35" ht="15" customHeight="1">
      <c r="B29" s="5"/>
      <c r="C29" s="5"/>
      <c r="D29" s="5"/>
      <c r="E29" s="5"/>
      <c r="F29" s="5"/>
      <c r="G29" s="5"/>
      <c r="H29" s="5"/>
      <c r="I29" s="26"/>
      <c r="J29" s="6"/>
      <c r="K29" s="6"/>
      <c r="L29" s="6"/>
      <c r="M29" s="6"/>
      <c r="N29" s="6"/>
      <c r="O29" s="6"/>
      <c r="P29" s="6"/>
      <c r="Q29" s="6"/>
      <c r="R29" s="6"/>
      <c r="S29" s="5"/>
      <c r="T29" s="5"/>
      <c r="U29" s="5"/>
      <c r="V29" s="5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</row>
    <row r="30" spans="2:35" ht="15" customHeight="1">
      <c r="B30" s="13" t="s">
        <v>303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</row>
    <row r="31" spans="2:35" ht="15" customHeight="1">
      <c r="B31" s="5"/>
      <c r="C31" s="5"/>
      <c r="D31" s="5"/>
      <c r="E31" s="19"/>
      <c r="F31" s="19"/>
      <c r="G31" s="19"/>
      <c r="H31" s="19"/>
      <c r="I31" s="19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</row>
    <row r="32" spans="2:35" ht="15" customHeight="1">
      <c r="B32" s="5"/>
      <c r="C32" s="5"/>
      <c r="D32" s="5"/>
      <c r="E32" s="30" t="s">
        <v>290</v>
      </c>
      <c r="F32" s="19"/>
      <c r="G32" s="5" t="str">
        <f>Inputs!$I$11</f>
        <v>£m 2024 CPIH prices</v>
      </c>
      <c r="H32" s="19"/>
      <c r="I32" s="19"/>
      <c r="J32" s="30"/>
      <c r="K32" s="5">
        <f>'Tax Cap'!K28 / 'Tax Deductions'!K11</f>
        <v>1.9359281032913702</v>
      </c>
      <c r="L32" s="5">
        <f>'Tax Cap'!L28 / 'Tax Deductions'!L11</f>
        <v>6.1235983378736574</v>
      </c>
      <c r="M32" s="5">
        <f>'Tax Cap'!M28 / 'Tax Deductions'!M11</f>
        <v>5.4552157415552065</v>
      </c>
      <c r="N32" s="5">
        <f>'Tax Cap'!N28 / 'Tax Deductions'!N11</f>
        <v>6.423089648694166</v>
      </c>
      <c r="O32" s="5">
        <f>'Tax Cap'!O28 / 'Tax Deductions'!O11</f>
        <v>6.805841304614388</v>
      </c>
      <c r="P32" s="5">
        <f>'Tax Cap'!P28 / 'Tax Deductions'!P11</f>
        <v>7.5266749414229546</v>
      </c>
      <c r="Q32" s="5">
        <f>'Tax Cap'!Q28 / 'Tax Deductions'!Q11</f>
        <v>8.1593501171487226</v>
      </c>
      <c r="R32" s="5">
        <f>'Tax Cap'!R28 / 'Tax Deductions'!R11</f>
        <v>8.1582265583305151</v>
      </c>
      <c r="S32" s="5">
        <f>'Tax Cap'!S28 / 'Tax Deductions'!S11</f>
        <v>8.5698215782537552</v>
      </c>
      <c r="T32" s="5">
        <f>'Tax Cap'!T28 / 'Tax Deductions'!T11</f>
        <v>8.6573570793950658</v>
      </c>
      <c r="U32" s="5">
        <f>'Tax Cap'!U28 / 'Tax Deductions'!U11</f>
        <v>9.246308088601042</v>
      </c>
      <c r="V32" s="5">
        <f>'Tax Cap'!V28 / 'Tax Deductions'!V11</f>
        <v>9.6313459528417784</v>
      </c>
      <c r="W32" s="5">
        <f>'Tax Cap'!W28 / 'Tax Deductions'!W11</f>
        <v>9.966678135908996</v>
      </c>
      <c r="X32" s="5">
        <f>'Tax Cap'!X28 / 'Tax Deductions'!X11</f>
        <v>10.183212842687531</v>
      </c>
      <c r="Y32" s="5">
        <f>'Tax Cap'!Y28 / 'Tax Deductions'!Y11</f>
        <v>10.203222649539027</v>
      </c>
      <c r="Z32" s="5">
        <f>'Tax Cap'!Z28 / 'Tax Deductions'!Z11</f>
        <v>10.702391807688672</v>
      </c>
      <c r="AA32" s="5">
        <f>'Tax Cap'!AA28 / 'Tax Deductions'!AA11</f>
        <v>10.212499252100729</v>
      </c>
      <c r="AB32" s="5">
        <f>'Tax Cap'!AB28 / 'Tax Deductions'!AB11</f>
        <v>10.532095528972816</v>
      </c>
      <c r="AC32" s="5">
        <f>'Tax Cap'!AC28 / 'Tax Deductions'!AC11</f>
        <v>10.822798883037557</v>
      </c>
      <c r="AD32" s="5">
        <f>'Tax Cap'!AD28 / 'Tax Deductions'!AD11</f>
        <v>10.741213947292257</v>
      </c>
      <c r="AE32" s="5">
        <f>'Tax Cap'!AE28 / 'Tax Deductions'!AE11</f>
        <v>11.091058505085567</v>
      </c>
      <c r="AF32" s="5">
        <f>'Tax Cap'!AF28 / 'Tax Deductions'!AF11</f>
        <v>11.320539507738715</v>
      </c>
      <c r="AG32" s="5">
        <f>'Tax Cap'!AG28 / 'Tax Deductions'!AG11</f>
        <v>11.529376744406783</v>
      </c>
      <c r="AH32" s="5">
        <f>'Tax Cap'!AH28 / 'Tax Deductions'!AH11</f>
        <v>11.719469510095319</v>
      </c>
      <c r="AI32" s="5">
        <f>'Tax Cap'!AI28 / 'Tax Deductions'!AI11</f>
        <v>0</v>
      </c>
    </row>
    <row r="33" spans="1:35" ht="15" customHeight="1">
      <c r="B33" s="5"/>
      <c r="C33" s="5"/>
      <c r="D33" s="5"/>
      <c r="E33" s="5" t="s">
        <v>249</v>
      </c>
      <c r="F33" s="19"/>
      <c r="G33" s="5" t="str">
        <f>'Allowances Cap'!G24</f>
        <v>scalar</v>
      </c>
      <c r="H33" s="19"/>
      <c r="I33" s="19"/>
      <c r="J33" s="30"/>
      <c r="K33" s="106">
        <f>'Allowances Cap'!K24</f>
        <v>0.93092533978774894</v>
      </c>
      <c r="L33" s="106">
        <f>'Allowances Cap'!L24</f>
        <v>0.86662198825893588</v>
      </c>
      <c r="M33" s="106">
        <f>'Allowances Cap'!M24</f>
        <v>0.80676036888748459</v>
      </c>
      <c r="N33" s="106">
        <f>'Allowances Cap'!N24</f>
        <v>0.75103367053387127</v>
      </c>
      <c r="O33" s="106">
        <f>'Allowances Cap'!O24</f>
        <v>0.69915627493378441</v>
      </c>
      <c r="P33" s="106">
        <f>'Allowances Cap'!P24</f>
        <v>0.65086229280747021</v>
      </c>
      <c r="Q33" s="106">
        <f>'Allowances Cap'!Q24</f>
        <v>0.60590420108682752</v>
      </c>
      <c r="R33" s="106">
        <f>'Allowances Cap'!R24</f>
        <v>0.5640515742755795</v>
      </c>
      <c r="S33" s="106">
        <f>'Allowances Cap'!S24</f>
        <v>0.52508990344030859</v>
      </c>
      <c r="T33" s="106">
        <f>'Allowances Cap'!T24</f>
        <v>0.48881949677928566</v>
      </c>
      <c r="U33" s="106">
        <f>'Allowances Cap'!U24</f>
        <v>0.45505445613413298</v>
      </c>
      <c r="V33" s="106">
        <f>'Allowances Cap'!V24</f>
        <v>0.42362172419859706</v>
      </c>
      <c r="W33" s="106">
        <f>'Allowances Cap'!W24</f>
        <v>0.39436019754105106</v>
      </c>
      <c r="X33" s="106">
        <f>'Allowances Cap'!X24</f>
        <v>0.36711990089466678</v>
      </c>
      <c r="Y33" s="106">
        <f>'Allowances Cap'!Y24</f>
        <v>0.34176121848321239</v>
      </c>
      <c r="Z33" s="106">
        <f>'Allowances Cap'!Z24</f>
        <v>0.31815417844275962</v>
      </c>
      <c r="AA33" s="106">
        <f>'Allowances Cap'!AA24</f>
        <v>0.29617778667171812</v>
      </c>
      <c r="AB33" s="106">
        <f>'Allowances Cap'!AB24</f>
        <v>0.27571940669495265</v>
      </c>
      <c r="AC33" s="106">
        <f>'Allowances Cap'!AC24</f>
        <v>0.25667418236357536</v>
      </c>
      <c r="AD33" s="106">
        <f>'Allowances Cap'!AD24</f>
        <v>0.23894450043155405</v>
      </c>
      <c r="AE33" s="106">
        <f>'Allowances Cap'!AE24</f>
        <v>0.22243949025465837</v>
      </c>
      <c r="AF33" s="106">
        <f>'Allowances Cap'!AF24</f>
        <v>0.20707455804753155</v>
      </c>
      <c r="AG33" s="106">
        <f>'Allowances Cap'!AG24</f>
        <v>0.19277095331179622</v>
      </c>
      <c r="AH33" s="106">
        <f>'Allowances Cap'!AH24</f>
        <v>0.17945536521299221</v>
      </c>
      <c r="AI33" s="106">
        <f>'Allowances Cap'!AI24</f>
        <v>0.16705954683763938</v>
      </c>
    </row>
    <row r="34" spans="1:35" ht="15" customHeight="1"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</row>
    <row r="35" spans="1:35" ht="15" customHeight="1">
      <c r="B35" s="5"/>
      <c r="C35" s="5"/>
      <c r="D35" s="5"/>
      <c r="E35" s="19" t="s">
        <v>304</v>
      </c>
      <c r="F35" s="19"/>
      <c r="G35" s="5" t="str">
        <f>Inputs!$I$11</f>
        <v>£m 2024 CPIH prices</v>
      </c>
      <c r="H35" s="19"/>
      <c r="I35" s="19"/>
      <c r="J35" s="30"/>
      <c r="K35" s="65">
        <f t="shared" ref="K35:AI35" si="9">K32 * K33</f>
        <v>1.8022045273611711</v>
      </c>
      <c r="L35" s="65">
        <f t="shared" si="9"/>
        <v>5.3068449668671835</v>
      </c>
      <c r="M35" s="65">
        <f t="shared" si="9"/>
        <v>4.4010518640178908</v>
      </c>
      <c r="N35" s="65">
        <f t="shared" si="9"/>
        <v>4.8239565950268934</v>
      </c>
      <c r="O35" s="65">
        <f t="shared" si="9"/>
        <v>4.7583466543246828</v>
      </c>
      <c r="P35" s="65">
        <f t="shared" si="9"/>
        <v>4.8988289095910753</v>
      </c>
      <c r="Q35" s="65">
        <f t="shared" si="9"/>
        <v>4.9437845141187093</v>
      </c>
      <c r="R35" s="65">
        <f t="shared" si="9"/>
        <v>4.6016605335231695</v>
      </c>
      <c r="S35" s="65">
        <f t="shared" si="9"/>
        <v>4.499926785025937</v>
      </c>
      <c r="T35" s="65">
        <f t="shared" si="9"/>
        <v>4.2318849309884818</v>
      </c>
      <c r="U35" s="65">
        <f t="shared" si="9"/>
        <v>4.207573698506982</v>
      </c>
      <c r="V35" s="65">
        <f t="shared" si="9"/>
        <v>4.0800473788960137</v>
      </c>
      <c r="W35" s="65">
        <f t="shared" si="9"/>
        <v>3.9304611585051461</v>
      </c>
      <c r="X35" s="65">
        <f t="shared" si="9"/>
        <v>3.7384600895967446</v>
      </c>
      <c r="Y35" s="65">
        <f t="shared" si="9"/>
        <v>3.4870658051619685</v>
      </c>
      <c r="Z35" s="65">
        <f t="shared" si="9"/>
        <v>3.4050106729477103</v>
      </c>
      <c r="AA35" s="65">
        <f t="shared" si="9"/>
        <v>3.0247154248737704</v>
      </c>
      <c r="AB35" s="65">
        <f t="shared" si="9"/>
        <v>2.9039031305029481</v>
      </c>
      <c r="AC35" s="65">
        <f t="shared" si="9"/>
        <v>2.7779330541890817</v>
      </c>
      <c r="AD35" s="65">
        <f t="shared" si="9"/>
        <v>2.5665540006641892</v>
      </c>
      <c r="AE35" s="65">
        <f t="shared" si="9"/>
        <v>2.4670894002558268</v>
      </c>
      <c r="AF35" s="65">
        <f t="shared" si="9"/>
        <v>2.3441957154246147</v>
      </c>
      <c r="AG35" s="65">
        <f t="shared" si="9"/>
        <v>2.222528946110149</v>
      </c>
      <c r="AH35" s="65">
        <f t="shared" si="9"/>
        <v>2.1031216810366824</v>
      </c>
      <c r="AI35" s="65">
        <f t="shared" si="9"/>
        <v>0</v>
      </c>
    </row>
    <row r="36" spans="1:35" ht="15" customHeight="1">
      <c r="B36" s="5"/>
      <c r="C36" s="5"/>
      <c r="D36" s="5"/>
      <c r="E36" s="19" t="s">
        <v>305</v>
      </c>
      <c r="F36" s="19"/>
      <c r="G36" s="5" t="str">
        <f>Inputs!$I$11</f>
        <v>£m 2024 CPIH prices</v>
      </c>
      <c r="H36" s="19"/>
      <c r="I36" s="60">
        <f>SUM(K35:AI35)</f>
        <v>87.527150437517022</v>
      </c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</row>
    <row r="37" spans="1:35" ht="15" customHeight="1">
      <c r="B37" s="5"/>
      <c r="C37" s="5"/>
      <c r="D37" s="5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</row>
    <row r="38" spans="1:35" ht="15" customHeight="1">
      <c r="B38" s="5"/>
      <c r="C38" s="5"/>
      <c r="D38" s="5"/>
      <c r="E38" s="61" t="s">
        <v>247</v>
      </c>
      <c r="F38" s="19"/>
      <c r="G38" s="61" t="str">
        <f>'Allowances Cap'!G31</f>
        <v>scalar</v>
      </c>
      <c r="H38" s="19"/>
      <c r="I38" s="103">
        <f>'Allowances Cap'!I31</f>
        <v>8.9081998260848769E-2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</row>
    <row r="39" spans="1:35" ht="15" customHeight="1">
      <c r="B39" s="5"/>
      <c r="C39" s="5"/>
      <c r="D39" s="5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</row>
    <row r="40" spans="1:35" ht="15" customHeight="1">
      <c r="B40" s="5"/>
      <c r="C40" s="5"/>
      <c r="D40" s="5"/>
      <c r="E40" s="19" t="s">
        <v>306</v>
      </c>
      <c r="F40" s="19"/>
      <c r="G40" s="5" t="str">
        <f>Inputs!$I$11</f>
        <v>£m 2024 CPIH prices</v>
      </c>
      <c r="H40" s="19"/>
      <c r="I40" s="207">
        <f>I36 * I38</f>
        <v>7.7970934630519402</v>
      </c>
      <c r="J40" s="30"/>
      <c r="K40" s="30"/>
      <c r="L40" s="19"/>
      <c r="M40" s="19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</row>
    <row r="41" spans="1:35" ht="15" customHeight="1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spans="1:35" ht="15" customHeight="1">
      <c r="B42" s="126" t="s">
        <v>45</v>
      </c>
      <c r="C42" s="13"/>
      <c r="D42" s="13"/>
      <c r="E42" s="13"/>
      <c r="F42" s="13"/>
      <c r="G42" s="13"/>
      <c r="H42" s="13"/>
      <c r="I42" s="27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</row>
    <row r="43" spans="1:35" ht="1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spans="1:35" ht="15" hidden="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spans="1:35" ht="15" hidden="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spans="1:35" ht="15" hidden="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spans="1:35" ht="15" hidden="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spans="1:35" ht="15" hidden="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spans="1:35" ht="15" hidden="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spans="1:35" ht="15" hidden="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spans="1:35" ht="15" hidden="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spans="1:35" ht="15" hidden="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spans="1:35" ht="15" hidden="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spans="1:35" ht="15" hidden="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spans="1:35" ht="15" hidden="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spans="1:35" ht="15" hidden="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spans="1:35" ht="15" hidden="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spans="1:35" ht="15" hidden="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spans="1:35" ht="15" hidden="1" customHeight="1">
      <c r="E59" s="19"/>
      <c r="F59" s="19"/>
      <c r="G59" s="5"/>
      <c r="H59" s="19"/>
      <c r="I59" s="104"/>
    </row>
    <row r="60" spans="1:35" ht="15" hidden="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</sheetData>
  <pageMargins left="0.23622047244094491" right="0.23622047244094491" top="0.74803149606299213" bottom="0.74803149606299213" header="0.31496062992125978" footer="0.31496062992125978"/>
  <pageSetup paperSize="8" scale="43" fitToHeight="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7" tint="0.59999389629810485"/>
    <pageSetUpPr fitToPage="1"/>
  </sheetPr>
  <dimension ref="A1:AY60"/>
  <sheetViews>
    <sheetView zoomScaleNormal="100" workbookViewId="0">
      <pane xSplit="10" ySplit="3" topLeftCell="K4" activePane="bottomRight" state="frozen"/>
      <selection activeCell="G43" sqref="G43"/>
      <selection pane="topRight" activeCell="G43" sqref="G43"/>
      <selection pane="bottomLeft" activeCell="G43" sqref="G43"/>
      <selection pane="bottomRight" activeCell="G43" sqref="G43"/>
    </sheetView>
  </sheetViews>
  <sheetFormatPr baseColWidth="10" defaultColWidth="0" defaultRowHeight="15" customHeight="1" zeroHeight="1"/>
  <cols>
    <col min="1" max="4" width="2.59765625" style="4" customWidth="1"/>
    <col min="5" max="5" width="50.59765625" style="4" customWidth="1"/>
    <col min="6" max="6" width="1.59765625" style="4" customWidth="1"/>
    <col min="7" max="7" width="15.59765625" style="4" customWidth="1"/>
    <col min="8" max="8" width="10.796875" style="4" customWidth="1"/>
    <col min="9" max="9" width="10.59765625" style="35" customWidth="1"/>
    <col min="10" max="10" width="1.59765625" style="4" customWidth="1"/>
    <col min="11" max="35" width="10.59765625" style="4" customWidth="1"/>
    <col min="36" max="36" width="3" customWidth="1"/>
    <col min="37" max="50" width="10.59765625" hidden="1" customWidth="1"/>
    <col min="51" max="51" width="2.59765625" hidden="1" customWidth="1"/>
    <col min="52" max="54" width="9" hidden="1" customWidth="1"/>
    <col min="55" max="16384" width="9" hidden="1"/>
  </cols>
  <sheetData>
    <row r="1" spans="1:35" ht="14.5" customHeight="1">
      <c r="A1" s="171" t="s">
        <v>39</v>
      </c>
      <c r="B1" s="14"/>
      <c r="C1" s="14"/>
      <c r="D1" s="14"/>
      <c r="E1" s="14"/>
      <c r="F1" s="14"/>
      <c r="G1" s="14"/>
      <c r="H1" s="14" t="s">
        <v>84</v>
      </c>
      <c r="I1" s="23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4"/>
      <c r="AH1" s="14"/>
      <c r="AI1" s="14"/>
    </row>
    <row r="2" spans="1:35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24" t="s">
        <v>88</v>
      </c>
      <c r="J2" s="17"/>
      <c r="K2" s="16" t="s">
        <v>89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</row>
    <row r="3" spans="1:35" ht="15" customHeight="1">
      <c r="A3" s="14"/>
      <c r="B3" s="14"/>
      <c r="C3" s="14"/>
      <c r="D3" s="14"/>
      <c r="E3" s="17" t="s">
        <v>222</v>
      </c>
      <c r="F3" s="16"/>
      <c r="G3" s="16"/>
      <c r="H3" s="16"/>
      <c r="I3" s="24"/>
      <c r="J3" s="17"/>
      <c r="K3" s="125" t="s">
        <v>116</v>
      </c>
      <c r="L3" s="125" t="s">
        <v>117</v>
      </c>
      <c r="M3" s="125" t="s">
        <v>118</v>
      </c>
      <c r="N3" s="125" t="s">
        <v>119</v>
      </c>
      <c r="O3" s="125" t="s">
        <v>120</v>
      </c>
      <c r="P3" s="125" t="s">
        <v>121</v>
      </c>
      <c r="Q3" s="125" t="s">
        <v>122</v>
      </c>
      <c r="R3" s="125" t="s">
        <v>123</v>
      </c>
      <c r="S3" s="125" t="s">
        <v>124</v>
      </c>
      <c r="T3" s="125" t="s">
        <v>125</v>
      </c>
      <c r="U3" s="125" t="s">
        <v>126</v>
      </c>
      <c r="V3" s="125" t="s">
        <v>127</v>
      </c>
      <c r="W3" s="125" t="s">
        <v>128</v>
      </c>
      <c r="X3" s="125" t="s">
        <v>129</v>
      </c>
      <c r="Y3" s="125" t="s">
        <v>130</v>
      </c>
      <c r="Z3" s="125" t="s">
        <v>131</v>
      </c>
      <c r="AA3" s="125" t="s">
        <v>132</v>
      </c>
      <c r="AB3" s="125" t="s">
        <v>133</v>
      </c>
      <c r="AC3" s="125" t="s">
        <v>134</v>
      </c>
      <c r="AD3" s="125" t="s">
        <v>135</v>
      </c>
      <c r="AE3" s="125" t="s">
        <v>136</v>
      </c>
      <c r="AF3" s="125" t="s">
        <v>137</v>
      </c>
      <c r="AG3" s="125" t="s">
        <v>138</v>
      </c>
      <c r="AH3" s="125" t="s">
        <v>139</v>
      </c>
      <c r="AI3" s="125" t="s">
        <v>140</v>
      </c>
    </row>
    <row r="4" spans="1:35" ht="15" customHeight="1">
      <c r="A4" s="5"/>
      <c r="B4" s="5"/>
      <c r="C4" s="5"/>
      <c r="D4" s="5"/>
      <c r="E4" s="5"/>
      <c r="F4" s="5"/>
      <c r="G4" s="5"/>
      <c r="H4" s="5"/>
      <c r="I4" s="26"/>
      <c r="J4" s="6"/>
      <c r="K4" s="6"/>
      <c r="L4" s="6"/>
      <c r="M4" s="6"/>
      <c r="N4" s="6"/>
      <c r="O4" s="6"/>
      <c r="P4" s="6"/>
      <c r="Q4" s="6"/>
      <c r="R4" s="6"/>
      <c r="S4" s="5"/>
      <c r="T4" s="5"/>
      <c r="U4" s="5"/>
      <c r="V4" s="5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5" ht="15" customHeight="1">
      <c r="B5" s="126" t="s">
        <v>307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</row>
    <row r="6" spans="1:35" ht="15" customHeight="1">
      <c r="B6" s="19"/>
      <c r="C6" s="19"/>
      <c r="D6" s="19"/>
      <c r="E6" s="19"/>
      <c r="F6" s="19"/>
      <c r="G6" s="19"/>
      <c r="H6" s="5"/>
      <c r="I6" s="19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</row>
    <row r="7" spans="1:35" ht="15" customHeight="1">
      <c r="B7" s="5"/>
      <c r="C7" s="92" t="s">
        <v>291</v>
      </c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</row>
    <row r="8" spans="1:35" ht="15" customHeight="1"/>
    <row r="9" spans="1:35" ht="15" customHeight="1">
      <c r="E9" s="5" t="s">
        <v>262</v>
      </c>
      <c r="G9" s="4" t="s">
        <v>292</v>
      </c>
      <c r="I9" s="4"/>
      <c r="K9" s="44">
        <f>'Allowances Floor'!K34* 'Tax Deductions'!K$11</f>
        <v>40.807097900669454</v>
      </c>
      <c r="L9" s="44">
        <f>'Allowances Floor'!L34* 'Tax Deductions'!L$11</f>
        <v>41.623239858682844</v>
      </c>
      <c r="M9" s="44">
        <f>'Allowances Floor'!M34* 'Tax Deductions'!M$11</f>
        <v>42.455704655856501</v>
      </c>
      <c r="N9" s="44">
        <f>'Allowances Floor'!N34* 'Tax Deductions'!N$11</f>
        <v>43.304818748973631</v>
      </c>
      <c r="O9" s="44">
        <f>'Allowances Floor'!O34* 'Tax Deductions'!O$11</f>
        <v>44.170915123953101</v>
      </c>
      <c r="P9" s="44">
        <f>'Allowances Floor'!P34* 'Tax Deductions'!P$11</f>
        <v>45.054333426432166</v>
      </c>
      <c r="Q9" s="44">
        <f>'Allowances Floor'!Q34* 'Tax Deductions'!Q$11</f>
        <v>45.955420094960814</v>
      </c>
      <c r="R9" s="44">
        <f>'Allowances Floor'!R34* 'Tax Deductions'!R$11</f>
        <v>46.87452849686003</v>
      </c>
      <c r="S9" s="44">
        <f>'Allowances Floor'!S34* 'Tax Deductions'!S$11</f>
        <v>47.812019066797234</v>
      </c>
      <c r="T9" s="44">
        <f>'Allowances Floor'!T34* 'Tax Deductions'!T$11</f>
        <v>48.768259448133172</v>
      </c>
      <c r="U9" s="44">
        <f>'Allowances Floor'!U34* 'Tax Deductions'!U$11</f>
        <v>49.743624637095834</v>
      </c>
      <c r="V9" s="44">
        <f>'Allowances Floor'!V34* 'Tax Deductions'!V$11</f>
        <v>50.738497129837754</v>
      </c>
      <c r="W9" s="44">
        <f>'Allowances Floor'!W34* 'Tax Deductions'!W$11</f>
        <v>51.753267072434511</v>
      </c>
      <c r="X9" s="44">
        <f>'Allowances Floor'!X34* 'Tax Deductions'!X$11</f>
        <v>52.788332413883197</v>
      </c>
      <c r="Y9" s="44">
        <f>'Allowances Floor'!Y34* 'Tax Deductions'!Y$11</f>
        <v>53.844099062160865</v>
      </c>
      <c r="Z9" s="44">
        <f>'Allowances Floor'!Z34* 'Tax Deductions'!Z$11</f>
        <v>54.920981043404083</v>
      </c>
      <c r="AA9" s="44">
        <f>'Allowances Floor'!AA34* 'Tax Deductions'!AA$11</f>
        <v>56.019400664272162</v>
      </c>
      <c r="AB9" s="44">
        <f>'Allowances Floor'!AB34* 'Tax Deductions'!AB$11</f>
        <v>57.139788677557604</v>
      </c>
      <c r="AC9" s="44">
        <f>'Allowances Floor'!AC34* 'Tax Deductions'!AC$11</f>
        <v>58.282584451108761</v>
      </c>
      <c r="AD9" s="44">
        <f>'Allowances Floor'!AD34* 'Tax Deductions'!AD$11</f>
        <v>59.448236140130938</v>
      </c>
      <c r="AE9" s="44">
        <f>'Allowances Floor'!AE34* 'Tax Deductions'!AE$11</f>
        <v>60.637200862933561</v>
      </c>
      <c r="AF9" s="44">
        <f>'Allowances Floor'!AF34* 'Tax Deductions'!AF$11</f>
        <v>61.849944880192233</v>
      </c>
      <c r="AG9" s="44">
        <f>'Allowances Floor'!AG34* 'Tax Deductions'!AG$11</f>
        <v>63.086943777796073</v>
      </c>
      <c r="AH9" s="44">
        <f>'Allowances Floor'!AH34* 'Tax Deductions'!AH$11</f>
        <v>64.348682653352</v>
      </c>
      <c r="AI9" s="44">
        <f>'Allowances Floor'!AI34* 'Tax Deductions'!AI$11</f>
        <v>65.635656306419037</v>
      </c>
    </row>
    <row r="10" spans="1:35" ht="15" customHeight="1">
      <c r="E10" s="5" t="s">
        <v>293</v>
      </c>
      <c r="F10" s="19"/>
      <c r="G10" s="19" t="s">
        <v>292</v>
      </c>
      <c r="K10" s="44">
        <f>-'Tax Deductions'!K19</f>
        <v>-54.127029414782442</v>
      </c>
      <c r="L10" s="44">
        <f>-'Tax Deductions'!L19</f>
        <v>-43.133823461776871</v>
      </c>
      <c r="M10" s="44">
        <f>-'Tax Deductions'!M19</f>
        <v>-45.962424357030358</v>
      </c>
      <c r="N10" s="44">
        <f>-'Tax Deductions'!N19</f>
        <v>-43.977913372953068</v>
      </c>
      <c r="O10" s="44">
        <f>-'Tax Deductions'!O19</f>
        <v>-43.686196009814957</v>
      </c>
      <c r="P10" s="44">
        <f>-'Tax Deductions'!P19</f>
        <v>-42.309947247624557</v>
      </c>
      <c r="Q10" s="44">
        <f>-'Tax Deductions'!Q19</f>
        <v>-41.141850763912231</v>
      </c>
      <c r="R10" s="44">
        <f>-'Tax Deductions'!R19</f>
        <v>-41.968336480874612</v>
      </c>
      <c r="S10" s="44">
        <f>-'Tax Deductions'!S19</f>
        <v>-41.444336053919791</v>
      </c>
      <c r="T10" s="44">
        <f>-'Tax Deductions'!T19</f>
        <v>-41.977471169794924</v>
      </c>
      <c r="U10" s="44">
        <f>-'Tax Deductions'!U19</f>
        <v>-40.787365559867744</v>
      </c>
      <c r="V10" s="44">
        <f>-'Tax Deductions'!V19</f>
        <v>-40.249648987822262</v>
      </c>
      <c r="W10" s="44">
        <f>-'Tax Deductions'!W19</f>
        <v>-39.852325931578619</v>
      </c>
      <c r="X10" s="44">
        <f>-'Tax Deductions'!X19</f>
        <v>-39.857471085755151</v>
      </c>
      <c r="Y10" s="44">
        <f>-'Tax Deductions'!Y19</f>
        <v>-40.579977927277909</v>
      </c>
      <c r="Z10" s="44">
        <f>-'Tax Deductions'!Z19</f>
        <v>-39.492285819635825</v>
      </c>
      <c r="AA10" s="44">
        <f>-'Tax Deductions'!AA19</f>
        <v>-42.183406503890517</v>
      </c>
      <c r="AB10" s="44">
        <f>-'Tax Deductions'!AB19</f>
        <v>-41.761913116427571</v>
      </c>
      <c r="AC10" s="44">
        <f>-'Tax Deductions'!AC19</f>
        <v>-41.423350375234023</v>
      </c>
      <c r="AD10" s="44">
        <f>-'Tax Deductions'!AD19</f>
        <v>-42.587829223239758</v>
      </c>
      <c r="AE10" s="44">
        <f>-'Tax Deductions'!AE19</f>
        <v>-41.969915568546668</v>
      </c>
      <c r="AF10" s="44">
        <f>-'Tax Deductions'!AF19</f>
        <v>-41.826001090310882</v>
      </c>
      <c r="AG10" s="44">
        <f>-'Tax Deductions'!AG19</f>
        <v>-41.749768553711789</v>
      </c>
      <c r="AH10" s="44">
        <f>-'Tax Deductions'!AH19</f>
        <v>-41.737320172874213</v>
      </c>
      <c r="AI10" s="44">
        <f>-'Tax Deductions'!AI19</f>
        <v>-111.45549748977365</v>
      </c>
    </row>
    <row r="11" spans="1:35" ht="15" customHeight="1">
      <c r="E11" s="4" t="s">
        <v>291</v>
      </c>
      <c r="G11" s="4" t="s">
        <v>292</v>
      </c>
      <c r="K11" s="100">
        <f t="shared" ref="K11:AI11" si="0">SUM(K9:K10)</f>
        <v>-13.319931514112987</v>
      </c>
      <c r="L11" s="100">
        <f t="shared" si="0"/>
        <v>-1.5105836030940267</v>
      </c>
      <c r="M11" s="100">
        <f t="shared" si="0"/>
        <v>-3.5067197011738571</v>
      </c>
      <c r="N11" s="100">
        <f t="shared" si="0"/>
        <v>-0.67309462397943776</v>
      </c>
      <c r="O11" s="100">
        <f t="shared" si="0"/>
        <v>0.48471911413814439</v>
      </c>
      <c r="P11" s="100">
        <f t="shared" si="0"/>
        <v>2.7443861788076092</v>
      </c>
      <c r="Q11" s="100">
        <f t="shared" si="0"/>
        <v>4.8135693310485834</v>
      </c>
      <c r="R11" s="100">
        <f t="shared" si="0"/>
        <v>4.9061920159854182</v>
      </c>
      <c r="S11" s="100">
        <f t="shared" si="0"/>
        <v>6.3676830128774426</v>
      </c>
      <c r="T11" s="100">
        <f t="shared" si="0"/>
        <v>6.7907882783382476</v>
      </c>
      <c r="U11" s="100">
        <f t="shared" si="0"/>
        <v>8.9562590772280899</v>
      </c>
      <c r="V11" s="100">
        <f t="shared" si="0"/>
        <v>10.488848142015492</v>
      </c>
      <c r="W11" s="100">
        <f t="shared" si="0"/>
        <v>11.900941140855892</v>
      </c>
      <c r="X11" s="100">
        <f t="shared" si="0"/>
        <v>12.930861328128046</v>
      </c>
      <c r="Y11" s="100">
        <f t="shared" si="0"/>
        <v>13.264121134882956</v>
      </c>
      <c r="Z11" s="100">
        <f t="shared" si="0"/>
        <v>15.428695223768258</v>
      </c>
      <c r="AA11" s="100">
        <f t="shared" si="0"/>
        <v>13.835994160381645</v>
      </c>
      <c r="AB11" s="100">
        <f t="shared" si="0"/>
        <v>15.377875561130033</v>
      </c>
      <c r="AC11" s="100">
        <f t="shared" si="0"/>
        <v>16.859234075874738</v>
      </c>
      <c r="AD11" s="100">
        <f t="shared" si="0"/>
        <v>16.860406916891179</v>
      </c>
      <c r="AE11" s="100">
        <f t="shared" si="0"/>
        <v>18.667285294386893</v>
      </c>
      <c r="AF11" s="100">
        <f t="shared" si="0"/>
        <v>20.023943789881351</v>
      </c>
      <c r="AG11" s="100">
        <f t="shared" si="0"/>
        <v>21.337175224084284</v>
      </c>
      <c r="AH11" s="100">
        <f t="shared" si="0"/>
        <v>22.611362480477787</v>
      </c>
      <c r="AI11" s="100">
        <f t="shared" si="0"/>
        <v>-45.819841183354612</v>
      </c>
    </row>
    <row r="12" spans="1:35" ht="15" customHeight="1"/>
    <row r="13" spans="1:35" ht="15" customHeight="1">
      <c r="B13" s="19"/>
      <c r="C13" s="92" t="s">
        <v>294</v>
      </c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</row>
    <row r="14" spans="1:35" ht="15" customHeight="1"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</row>
    <row r="15" spans="1:35" ht="15" customHeight="1">
      <c r="B15" s="19"/>
      <c r="C15" s="19"/>
      <c r="D15" s="19"/>
      <c r="E15" s="5" t="s">
        <v>295</v>
      </c>
      <c r="F15" s="19"/>
      <c r="G15" s="4" t="s">
        <v>292</v>
      </c>
      <c r="H15" s="19"/>
      <c r="I15" s="19"/>
      <c r="J15" s="19"/>
      <c r="K15" s="5">
        <f t="shared" ref="K15:AI15" si="1">J18</f>
        <v>0</v>
      </c>
      <c r="L15" s="5">
        <f t="shared" si="1"/>
        <v>-13.319931514112987</v>
      </c>
      <c r="M15" s="5">
        <f t="shared" si="1"/>
        <v>-14.830515117207014</v>
      </c>
      <c r="N15" s="5">
        <f t="shared" si="1"/>
        <v>-18.337234818380871</v>
      </c>
      <c r="O15" s="5">
        <f t="shared" si="1"/>
        <v>-19.010329442360309</v>
      </c>
      <c r="P15" s="5">
        <f t="shared" si="1"/>
        <v>-18.525610328222164</v>
      </c>
      <c r="Q15" s="5">
        <f t="shared" si="1"/>
        <v>-15.781224149414555</v>
      </c>
      <c r="R15" s="5">
        <f t="shared" si="1"/>
        <v>-10.967654818365972</v>
      </c>
      <c r="S15" s="5">
        <f t="shared" si="1"/>
        <v>-6.0614628023805537</v>
      </c>
      <c r="T15" s="5">
        <f t="shared" si="1"/>
        <v>0</v>
      </c>
      <c r="U15" s="5">
        <f t="shared" si="1"/>
        <v>0</v>
      </c>
      <c r="V15" s="5">
        <f t="shared" si="1"/>
        <v>0</v>
      </c>
      <c r="W15" s="5">
        <f t="shared" si="1"/>
        <v>0</v>
      </c>
      <c r="X15" s="5">
        <f t="shared" si="1"/>
        <v>0</v>
      </c>
      <c r="Y15" s="5">
        <f t="shared" si="1"/>
        <v>0</v>
      </c>
      <c r="Z15" s="5">
        <f t="shared" si="1"/>
        <v>0</v>
      </c>
      <c r="AA15" s="5">
        <f t="shared" si="1"/>
        <v>0</v>
      </c>
      <c r="AB15" s="5">
        <f t="shared" si="1"/>
        <v>0</v>
      </c>
      <c r="AC15" s="5">
        <f t="shared" si="1"/>
        <v>0</v>
      </c>
      <c r="AD15" s="5">
        <f t="shared" si="1"/>
        <v>0</v>
      </c>
      <c r="AE15" s="5">
        <f t="shared" si="1"/>
        <v>0</v>
      </c>
      <c r="AF15" s="5">
        <f t="shared" si="1"/>
        <v>0</v>
      </c>
      <c r="AG15" s="5">
        <f t="shared" si="1"/>
        <v>0</v>
      </c>
      <c r="AH15" s="5">
        <f t="shared" si="1"/>
        <v>0</v>
      </c>
      <c r="AI15" s="5">
        <f t="shared" si="1"/>
        <v>0</v>
      </c>
    </row>
    <row r="16" spans="1:35" ht="15" customHeight="1">
      <c r="B16" s="19"/>
      <c r="C16" s="19"/>
      <c r="D16" s="19"/>
      <c r="E16" s="5" t="s">
        <v>296</v>
      </c>
      <c r="F16" s="19"/>
      <c r="G16" s="4" t="s">
        <v>292</v>
      </c>
      <c r="H16" s="19"/>
      <c r="I16" s="19"/>
      <c r="J16" s="19"/>
      <c r="K16" s="5">
        <f t="shared" ref="K16:AI16" si="2">MIN(K11, 0)</f>
        <v>-13.319931514112987</v>
      </c>
      <c r="L16" s="5">
        <f t="shared" si="2"/>
        <v>-1.5105836030940267</v>
      </c>
      <c r="M16" s="5">
        <f t="shared" si="2"/>
        <v>-3.5067197011738571</v>
      </c>
      <c r="N16" s="5">
        <f t="shared" si="2"/>
        <v>-0.67309462397943776</v>
      </c>
      <c r="O16" s="5">
        <f t="shared" si="2"/>
        <v>0</v>
      </c>
      <c r="P16" s="5">
        <f t="shared" si="2"/>
        <v>0</v>
      </c>
      <c r="Q16" s="5">
        <f t="shared" si="2"/>
        <v>0</v>
      </c>
      <c r="R16" s="5">
        <f t="shared" si="2"/>
        <v>0</v>
      </c>
      <c r="S16" s="5">
        <f t="shared" si="2"/>
        <v>0</v>
      </c>
      <c r="T16" s="5">
        <f t="shared" si="2"/>
        <v>0</v>
      </c>
      <c r="U16" s="5">
        <f t="shared" si="2"/>
        <v>0</v>
      </c>
      <c r="V16" s="5">
        <f t="shared" si="2"/>
        <v>0</v>
      </c>
      <c r="W16" s="5">
        <f t="shared" si="2"/>
        <v>0</v>
      </c>
      <c r="X16" s="5">
        <f t="shared" si="2"/>
        <v>0</v>
      </c>
      <c r="Y16" s="5">
        <f t="shared" si="2"/>
        <v>0</v>
      </c>
      <c r="Z16" s="5">
        <f t="shared" si="2"/>
        <v>0</v>
      </c>
      <c r="AA16" s="5">
        <f t="shared" si="2"/>
        <v>0</v>
      </c>
      <c r="AB16" s="5">
        <f t="shared" si="2"/>
        <v>0</v>
      </c>
      <c r="AC16" s="5">
        <f t="shared" si="2"/>
        <v>0</v>
      </c>
      <c r="AD16" s="5">
        <f t="shared" si="2"/>
        <v>0</v>
      </c>
      <c r="AE16" s="5">
        <f t="shared" si="2"/>
        <v>0</v>
      </c>
      <c r="AF16" s="5">
        <f t="shared" si="2"/>
        <v>0</v>
      </c>
      <c r="AG16" s="5">
        <f t="shared" si="2"/>
        <v>0</v>
      </c>
      <c r="AH16" s="5">
        <f t="shared" si="2"/>
        <v>0</v>
      </c>
      <c r="AI16" s="5">
        <f t="shared" si="2"/>
        <v>-45.819841183354612</v>
      </c>
    </row>
    <row r="17" spans="2:35" ht="15" customHeight="1">
      <c r="B17" s="19"/>
      <c r="C17" s="19"/>
      <c r="D17" s="19"/>
      <c r="E17" s="19" t="s">
        <v>297</v>
      </c>
      <c r="F17" s="19"/>
      <c r="G17" s="4" t="s">
        <v>292</v>
      </c>
      <c r="H17" s="19"/>
      <c r="I17" s="19"/>
      <c r="J17" s="19"/>
      <c r="K17" s="5">
        <f t="shared" ref="K17:AI17" si="3">IF(K11 &gt;= 0, MIN(K11, -K15), 0)</f>
        <v>0</v>
      </c>
      <c r="L17" s="5">
        <f t="shared" si="3"/>
        <v>0</v>
      </c>
      <c r="M17" s="5">
        <f t="shared" si="3"/>
        <v>0</v>
      </c>
      <c r="N17" s="5">
        <f t="shared" si="3"/>
        <v>0</v>
      </c>
      <c r="O17" s="5">
        <f t="shared" si="3"/>
        <v>0.48471911413814439</v>
      </c>
      <c r="P17" s="5">
        <f t="shared" si="3"/>
        <v>2.7443861788076092</v>
      </c>
      <c r="Q17" s="5">
        <f t="shared" si="3"/>
        <v>4.8135693310485834</v>
      </c>
      <c r="R17" s="5">
        <f t="shared" si="3"/>
        <v>4.9061920159854182</v>
      </c>
      <c r="S17" s="5">
        <f t="shared" si="3"/>
        <v>6.0614628023805537</v>
      </c>
      <c r="T17" s="5">
        <f t="shared" si="3"/>
        <v>0</v>
      </c>
      <c r="U17" s="5">
        <f t="shared" si="3"/>
        <v>0</v>
      </c>
      <c r="V17" s="5">
        <f t="shared" si="3"/>
        <v>0</v>
      </c>
      <c r="W17" s="5">
        <f t="shared" si="3"/>
        <v>0</v>
      </c>
      <c r="X17" s="5">
        <f t="shared" si="3"/>
        <v>0</v>
      </c>
      <c r="Y17" s="5">
        <f t="shared" si="3"/>
        <v>0</v>
      </c>
      <c r="Z17" s="5">
        <f t="shared" si="3"/>
        <v>0</v>
      </c>
      <c r="AA17" s="5">
        <f t="shared" si="3"/>
        <v>0</v>
      </c>
      <c r="AB17" s="5">
        <f t="shared" si="3"/>
        <v>0</v>
      </c>
      <c r="AC17" s="5">
        <f t="shared" si="3"/>
        <v>0</v>
      </c>
      <c r="AD17" s="5">
        <f t="shared" si="3"/>
        <v>0</v>
      </c>
      <c r="AE17" s="5">
        <f t="shared" si="3"/>
        <v>0</v>
      </c>
      <c r="AF17" s="5">
        <f t="shared" si="3"/>
        <v>0</v>
      </c>
      <c r="AG17" s="5">
        <f t="shared" si="3"/>
        <v>0</v>
      </c>
      <c r="AH17" s="5">
        <f t="shared" si="3"/>
        <v>0</v>
      </c>
      <c r="AI17" s="5">
        <f t="shared" si="3"/>
        <v>0</v>
      </c>
    </row>
    <row r="18" spans="2:35" ht="15" customHeight="1">
      <c r="B18" s="19"/>
      <c r="C18" s="19"/>
      <c r="D18" s="19"/>
      <c r="E18" s="5" t="s">
        <v>298</v>
      </c>
      <c r="F18" s="19"/>
      <c r="G18" s="4" t="s">
        <v>292</v>
      </c>
      <c r="H18" s="19"/>
      <c r="I18" s="19"/>
      <c r="J18" s="19"/>
      <c r="K18" s="62">
        <f t="shared" ref="K18:AI18" si="4">SUM(K15:K17)</f>
        <v>-13.319931514112987</v>
      </c>
      <c r="L18" s="62">
        <f t="shared" si="4"/>
        <v>-14.830515117207014</v>
      </c>
      <c r="M18" s="62">
        <f t="shared" si="4"/>
        <v>-18.337234818380871</v>
      </c>
      <c r="N18" s="62">
        <f t="shared" si="4"/>
        <v>-19.010329442360309</v>
      </c>
      <c r="O18" s="62">
        <f t="shared" si="4"/>
        <v>-18.525610328222164</v>
      </c>
      <c r="P18" s="62">
        <f t="shared" si="4"/>
        <v>-15.781224149414555</v>
      </c>
      <c r="Q18" s="62">
        <f t="shared" si="4"/>
        <v>-10.967654818365972</v>
      </c>
      <c r="R18" s="62">
        <f t="shared" si="4"/>
        <v>-6.0614628023805537</v>
      </c>
      <c r="S18" s="62">
        <f t="shared" si="4"/>
        <v>0</v>
      </c>
      <c r="T18" s="62">
        <f t="shared" si="4"/>
        <v>0</v>
      </c>
      <c r="U18" s="62">
        <f t="shared" si="4"/>
        <v>0</v>
      </c>
      <c r="V18" s="62">
        <f t="shared" si="4"/>
        <v>0</v>
      </c>
      <c r="W18" s="62">
        <f t="shared" si="4"/>
        <v>0</v>
      </c>
      <c r="X18" s="62">
        <f t="shared" si="4"/>
        <v>0</v>
      </c>
      <c r="Y18" s="62">
        <f t="shared" si="4"/>
        <v>0</v>
      </c>
      <c r="Z18" s="62">
        <f t="shared" si="4"/>
        <v>0</v>
      </c>
      <c r="AA18" s="62">
        <f t="shared" si="4"/>
        <v>0</v>
      </c>
      <c r="AB18" s="62">
        <f t="shared" si="4"/>
        <v>0</v>
      </c>
      <c r="AC18" s="62">
        <f t="shared" si="4"/>
        <v>0</v>
      </c>
      <c r="AD18" s="62">
        <f t="shared" si="4"/>
        <v>0</v>
      </c>
      <c r="AE18" s="62">
        <f t="shared" si="4"/>
        <v>0</v>
      </c>
      <c r="AF18" s="62">
        <f t="shared" si="4"/>
        <v>0</v>
      </c>
      <c r="AG18" s="62">
        <f t="shared" si="4"/>
        <v>0</v>
      </c>
      <c r="AH18" s="62">
        <f t="shared" si="4"/>
        <v>0</v>
      </c>
      <c r="AI18" s="62">
        <f t="shared" si="4"/>
        <v>-45.819841183354612</v>
      </c>
    </row>
    <row r="19" spans="2:35" ht="15" customHeight="1">
      <c r="B19" s="19"/>
      <c r="C19" s="19"/>
      <c r="D19" s="19"/>
      <c r="E19" s="19"/>
      <c r="F19" s="19"/>
      <c r="G19" s="19"/>
      <c r="H19" s="19"/>
      <c r="I19" s="19"/>
      <c r="J19" s="1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</row>
    <row r="20" spans="2:35" ht="15" customHeight="1">
      <c r="B20" s="19"/>
      <c r="C20" s="92" t="s">
        <v>299</v>
      </c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</row>
    <row r="21" spans="2:35" ht="15" customHeight="1">
      <c r="B21" s="5"/>
      <c r="C21" s="5"/>
      <c r="D21" s="5"/>
      <c r="E21" s="5"/>
      <c r="F21" s="5"/>
      <c r="G21" s="5"/>
      <c r="H21" s="5"/>
      <c r="I21" s="5"/>
      <c r="J21" s="7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</row>
    <row r="22" spans="2:35" ht="15" customHeight="1">
      <c r="B22" s="5"/>
      <c r="C22" s="5"/>
      <c r="D22" s="5"/>
      <c r="E22" s="19" t="s">
        <v>300</v>
      </c>
      <c r="F22" s="19"/>
      <c r="G22" s="19" t="s">
        <v>292</v>
      </c>
      <c r="H22" s="5"/>
      <c r="I22" s="5"/>
      <c r="J22" s="7"/>
      <c r="K22" s="5">
        <f t="shared" ref="K22:AI22" si="5">MAX(K11 - K17,0)</f>
        <v>0</v>
      </c>
      <c r="L22" s="5">
        <f t="shared" si="5"/>
        <v>0</v>
      </c>
      <c r="M22" s="5">
        <f t="shared" si="5"/>
        <v>0</v>
      </c>
      <c r="N22" s="5">
        <f t="shared" si="5"/>
        <v>0</v>
      </c>
      <c r="O22" s="5">
        <f t="shared" si="5"/>
        <v>0</v>
      </c>
      <c r="P22" s="5">
        <f t="shared" si="5"/>
        <v>0</v>
      </c>
      <c r="Q22" s="5">
        <f t="shared" si="5"/>
        <v>0</v>
      </c>
      <c r="R22" s="5">
        <f t="shared" si="5"/>
        <v>0</v>
      </c>
      <c r="S22" s="5">
        <f t="shared" si="5"/>
        <v>0.30622021049688897</v>
      </c>
      <c r="T22" s="5">
        <f t="shared" si="5"/>
        <v>6.7907882783382476</v>
      </c>
      <c r="U22" s="5">
        <f t="shared" si="5"/>
        <v>8.9562590772280899</v>
      </c>
      <c r="V22" s="5">
        <f t="shared" si="5"/>
        <v>10.488848142015492</v>
      </c>
      <c r="W22" s="5">
        <f t="shared" si="5"/>
        <v>11.900941140855892</v>
      </c>
      <c r="X22" s="5">
        <f t="shared" si="5"/>
        <v>12.930861328128046</v>
      </c>
      <c r="Y22" s="5">
        <f t="shared" si="5"/>
        <v>13.264121134882956</v>
      </c>
      <c r="Z22" s="5">
        <f t="shared" si="5"/>
        <v>15.428695223768258</v>
      </c>
      <c r="AA22" s="5">
        <f t="shared" si="5"/>
        <v>13.835994160381645</v>
      </c>
      <c r="AB22" s="5">
        <f t="shared" si="5"/>
        <v>15.377875561130033</v>
      </c>
      <c r="AC22" s="5">
        <f t="shared" si="5"/>
        <v>16.859234075874738</v>
      </c>
      <c r="AD22" s="5">
        <f t="shared" si="5"/>
        <v>16.860406916891179</v>
      </c>
      <c r="AE22" s="5">
        <f t="shared" si="5"/>
        <v>18.667285294386893</v>
      </c>
      <c r="AF22" s="5">
        <f t="shared" si="5"/>
        <v>20.023943789881351</v>
      </c>
      <c r="AG22" s="5">
        <f t="shared" si="5"/>
        <v>21.337175224084284</v>
      </c>
      <c r="AH22" s="5">
        <f t="shared" si="5"/>
        <v>22.611362480477787</v>
      </c>
      <c r="AI22" s="5">
        <f t="shared" si="5"/>
        <v>0</v>
      </c>
    </row>
    <row r="23" spans="2:35" ht="15" customHeight="1">
      <c r="B23" s="5"/>
      <c r="C23" s="5"/>
      <c r="D23" s="5"/>
      <c r="E23" s="101" t="s">
        <v>183</v>
      </c>
      <c r="F23" s="19"/>
      <c r="G23" s="101" t="str">
        <f>Inputs!G113</f>
        <v>%</v>
      </c>
      <c r="H23" s="5"/>
      <c r="I23" s="5"/>
      <c r="J23" s="7"/>
      <c r="K23" s="120">
        <f>Inputs!K113</f>
        <v>0.25</v>
      </c>
      <c r="L23" s="120">
        <f>Inputs!L113</f>
        <v>0.25</v>
      </c>
      <c r="M23" s="120">
        <f>Inputs!M113</f>
        <v>0.25</v>
      </c>
      <c r="N23" s="120">
        <f>Inputs!N113</f>
        <v>0.25</v>
      </c>
      <c r="O23" s="120">
        <f>Inputs!O113</f>
        <v>0.25</v>
      </c>
      <c r="P23" s="120">
        <f>Inputs!P113</f>
        <v>0.25</v>
      </c>
      <c r="Q23" s="120">
        <f>Inputs!Q113</f>
        <v>0.25</v>
      </c>
      <c r="R23" s="120">
        <f>Inputs!R113</f>
        <v>0.25</v>
      </c>
      <c r="S23" s="120">
        <f>Inputs!S113</f>
        <v>0.25</v>
      </c>
      <c r="T23" s="120">
        <f>Inputs!T113</f>
        <v>0.25</v>
      </c>
      <c r="U23" s="120">
        <f>Inputs!U113</f>
        <v>0.25</v>
      </c>
      <c r="V23" s="120">
        <f>Inputs!V113</f>
        <v>0.25</v>
      </c>
      <c r="W23" s="120">
        <f>Inputs!W113</f>
        <v>0.25</v>
      </c>
      <c r="X23" s="120">
        <f>Inputs!X113</f>
        <v>0.25</v>
      </c>
      <c r="Y23" s="120">
        <f>Inputs!Y113</f>
        <v>0.25</v>
      </c>
      <c r="Z23" s="120">
        <f>Inputs!Z113</f>
        <v>0.25</v>
      </c>
      <c r="AA23" s="120">
        <f>Inputs!AA113</f>
        <v>0.25</v>
      </c>
      <c r="AB23" s="120">
        <f>Inputs!AB113</f>
        <v>0.25</v>
      </c>
      <c r="AC23" s="120">
        <f>Inputs!AC113</f>
        <v>0.25</v>
      </c>
      <c r="AD23" s="120">
        <f>Inputs!AD113</f>
        <v>0.25</v>
      </c>
      <c r="AE23" s="120">
        <f>Inputs!AE113</f>
        <v>0.25</v>
      </c>
      <c r="AF23" s="120">
        <f>Inputs!AF113</f>
        <v>0.25</v>
      </c>
      <c r="AG23" s="120">
        <f>Inputs!AG113</f>
        <v>0.25</v>
      </c>
      <c r="AH23" s="120">
        <f>Inputs!AH113</f>
        <v>0.25</v>
      </c>
      <c r="AI23" s="120">
        <f>Inputs!AI113</f>
        <v>0.25</v>
      </c>
    </row>
    <row r="24" spans="2:35" ht="15" customHeight="1">
      <c r="B24" s="19"/>
      <c r="C24" s="19"/>
      <c r="D24" s="19"/>
      <c r="E24" s="19" t="s">
        <v>301</v>
      </c>
      <c r="F24" s="19"/>
      <c r="G24" s="19" t="s">
        <v>292</v>
      </c>
      <c r="H24" s="19"/>
      <c r="I24" s="19"/>
      <c r="J24" s="19"/>
      <c r="K24" s="5">
        <f t="shared" ref="K24:AI24" si="6">K22 * K23</f>
        <v>0</v>
      </c>
      <c r="L24" s="5">
        <f t="shared" si="6"/>
        <v>0</v>
      </c>
      <c r="M24" s="5">
        <f t="shared" si="6"/>
        <v>0</v>
      </c>
      <c r="N24" s="5">
        <f t="shared" si="6"/>
        <v>0</v>
      </c>
      <c r="O24" s="5">
        <f t="shared" si="6"/>
        <v>0</v>
      </c>
      <c r="P24" s="5">
        <f t="shared" si="6"/>
        <v>0</v>
      </c>
      <c r="Q24" s="5">
        <f t="shared" si="6"/>
        <v>0</v>
      </c>
      <c r="R24" s="5">
        <f t="shared" si="6"/>
        <v>0</v>
      </c>
      <c r="S24" s="5">
        <f t="shared" si="6"/>
        <v>7.6555052624222242E-2</v>
      </c>
      <c r="T24" s="5">
        <f t="shared" si="6"/>
        <v>1.6976970695845619</v>
      </c>
      <c r="U24" s="5">
        <f t="shared" si="6"/>
        <v>2.2390647693070225</v>
      </c>
      <c r="V24" s="5">
        <f t="shared" si="6"/>
        <v>2.6222120355038729</v>
      </c>
      <c r="W24" s="5">
        <f t="shared" si="6"/>
        <v>2.975235285213973</v>
      </c>
      <c r="X24" s="5">
        <f t="shared" si="6"/>
        <v>3.2327153320320114</v>
      </c>
      <c r="Y24" s="5">
        <f t="shared" si="6"/>
        <v>3.3160302837207389</v>
      </c>
      <c r="Z24" s="5">
        <f t="shared" si="6"/>
        <v>3.8571738059420646</v>
      </c>
      <c r="AA24" s="5">
        <f t="shared" si="6"/>
        <v>3.4589985400954113</v>
      </c>
      <c r="AB24" s="5">
        <f t="shared" si="6"/>
        <v>3.8444688902825082</v>
      </c>
      <c r="AC24" s="5">
        <f t="shared" si="6"/>
        <v>4.2148085189686846</v>
      </c>
      <c r="AD24" s="5">
        <f t="shared" si="6"/>
        <v>4.2151017292227948</v>
      </c>
      <c r="AE24" s="5">
        <f t="shared" si="6"/>
        <v>4.6668213235967233</v>
      </c>
      <c r="AF24" s="5">
        <f t="shared" si="6"/>
        <v>5.0059859474703376</v>
      </c>
      <c r="AG24" s="5">
        <f t="shared" si="6"/>
        <v>5.3342938060210709</v>
      </c>
      <c r="AH24" s="5">
        <f t="shared" si="6"/>
        <v>5.6528406201194468</v>
      </c>
      <c r="AI24" s="5">
        <f t="shared" si="6"/>
        <v>0</v>
      </c>
    </row>
    <row r="25" spans="2:35" ht="15" customHeight="1">
      <c r="B25" s="19"/>
      <c r="C25" s="19"/>
      <c r="D25" s="19"/>
      <c r="E25" s="19"/>
      <c r="F25" s="19"/>
      <c r="G25" s="19"/>
      <c r="H25" s="19"/>
      <c r="I25" s="19"/>
      <c r="J25" s="1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</row>
    <row r="26" spans="2:35" ht="15" customHeight="1">
      <c r="B26" s="19"/>
      <c r="C26" s="19"/>
      <c r="D26" s="19"/>
      <c r="E26" s="5" t="s">
        <v>302</v>
      </c>
      <c r="F26" s="19"/>
      <c r="G26" s="5" t="s">
        <v>181</v>
      </c>
      <c r="H26" s="19"/>
      <c r="I26" s="19"/>
      <c r="J26" s="19"/>
      <c r="K26" s="102">
        <f t="shared" ref="K26:AI26" si="7">1 / (1 - K23)</f>
        <v>1.3333333333333333</v>
      </c>
      <c r="L26" s="102">
        <f t="shared" si="7"/>
        <v>1.3333333333333333</v>
      </c>
      <c r="M26" s="102">
        <f t="shared" si="7"/>
        <v>1.3333333333333333</v>
      </c>
      <c r="N26" s="102">
        <f t="shared" si="7"/>
        <v>1.3333333333333333</v>
      </c>
      <c r="O26" s="102">
        <f t="shared" si="7"/>
        <v>1.3333333333333333</v>
      </c>
      <c r="P26" s="102">
        <f t="shared" si="7"/>
        <v>1.3333333333333333</v>
      </c>
      <c r="Q26" s="102">
        <f t="shared" si="7"/>
        <v>1.3333333333333333</v>
      </c>
      <c r="R26" s="102">
        <f t="shared" si="7"/>
        <v>1.3333333333333333</v>
      </c>
      <c r="S26" s="102">
        <f t="shared" si="7"/>
        <v>1.3333333333333333</v>
      </c>
      <c r="T26" s="102">
        <f t="shared" si="7"/>
        <v>1.3333333333333333</v>
      </c>
      <c r="U26" s="102">
        <f t="shared" si="7"/>
        <v>1.3333333333333333</v>
      </c>
      <c r="V26" s="102">
        <f t="shared" si="7"/>
        <v>1.3333333333333333</v>
      </c>
      <c r="W26" s="102">
        <f t="shared" si="7"/>
        <v>1.3333333333333333</v>
      </c>
      <c r="X26" s="102">
        <f t="shared" si="7"/>
        <v>1.3333333333333333</v>
      </c>
      <c r="Y26" s="102">
        <f t="shared" si="7"/>
        <v>1.3333333333333333</v>
      </c>
      <c r="Z26" s="102">
        <f t="shared" si="7"/>
        <v>1.3333333333333333</v>
      </c>
      <c r="AA26" s="102">
        <f t="shared" si="7"/>
        <v>1.3333333333333333</v>
      </c>
      <c r="AB26" s="102">
        <f t="shared" si="7"/>
        <v>1.3333333333333333</v>
      </c>
      <c r="AC26" s="102">
        <f t="shared" si="7"/>
        <v>1.3333333333333333</v>
      </c>
      <c r="AD26" s="102">
        <f t="shared" si="7"/>
        <v>1.3333333333333333</v>
      </c>
      <c r="AE26" s="102">
        <f t="shared" si="7"/>
        <v>1.3333333333333333</v>
      </c>
      <c r="AF26" s="102">
        <f t="shared" si="7"/>
        <v>1.3333333333333333</v>
      </c>
      <c r="AG26" s="102">
        <f t="shared" si="7"/>
        <v>1.3333333333333333</v>
      </c>
      <c r="AH26" s="102">
        <f t="shared" si="7"/>
        <v>1.3333333333333333</v>
      </c>
      <c r="AI26" s="102">
        <f t="shared" si="7"/>
        <v>1.3333333333333333</v>
      </c>
    </row>
    <row r="27" spans="2:35" ht="15" customHeight="1">
      <c r="B27" s="19"/>
      <c r="C27" s="19"/>
      <c r="D27" s="19"/>
      <c r="E27" s="19"/>
      <c r="F27" s="19"/>
      <c r="G27" s="19"/>
      <c r="H27" s="19"/>
      <c r="I27" s="19"/>
      <c r="J27" s="1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</row>
    <row r="28" spans="2:35" ht="15" customHeight="1">
      <c r="B28" s="19"/>
      <c r="C28" s="19"/>
      <c r="D28" s="19"/>
      <c r="E28" s="42" t="s">
        <v>307</v>
      </c>
      <c r="F28" s="19"/>
      <c r="G28" s="4" t="s">
        <v>292</v>
      </c>
      <c r="H28" s="19"/>
      <c r="I28" s="19"/>
      <c r="J28" s="19"/>
      <c r="K28" s="65">
        <f t="shared" ref="K28:AI28" si="8">K24 * K26</f>
        <v>0</v>
      </c>
      <c r="L28" s="65">
        <f t="shared" si="8"/>
        <v>0</v>
      </c>
      <c r="M28" s="65">
        <f t="shared" si="8"/>
        <v>0</v>
      </c>
      <c r="N28" s="65">
        <f t="shared" si="8"/>
        <v>0</v>
      </c>
      <c r="O28" s="65">
        <f t="shared" si="8"/>
        <v>0</v>
      </c>
      <c r="P28" s="65">
        <f t="shared" si="8"/>
        <v>0</v>
      </c>
      <c r="Q28" s="65">
        <f t="shared" si="8"/>
        <v>0</v>
      </c>
      <c r="R28" s="65">
        <f t="shared" si="8"/>
        <v>0</v>
      </c>
      <c r="S28" s="65">
        <f t="shared" si="8"/>
        <v>0.10207340349896299</v>
      </c>
      <c r="T28" s="65">
        <f t="shared" si="8"/>
        <v>2.2635960927794159</v>
      </c>
      <c r="U28" s="65">
        <f t="shared" si="8"/>
        <v>2.985419692409363</v>
      </c>
      <c r="V28" s="65">
        <f t="shared" si="8"/>
        <v>3.4962827140051638</v>
      </c>
      <c r="W28" s="65">
        <f t="shared" si="8"/>
        <v>3.966980380285297</v>
      </c>
      <c r="X28" s="65">
        <f t="shared" si="8"/>
        <v>4.3102871093760147</v>
      </c>
      <c r="Y28" s="65">
        <f t="shared" si="8"/>
        <v>4.4213737116276519</v>
      </c>
      <c r="Z28" s="65">
        <f t="shared" si="8"/>
        <v>5.1428984079227522</v>
      </c>
      <c r="AA28" s="65">
        <f t="shared" si="8"/>
        <v>4.6119980534605478</v>
      </c>
      <c r="AB28" s="65">
        <f t="shared" si="8"/>
        <v>5.1259585203766775</v>
      </c>
      <c r="AC28" s="65">
        <f t="shared" si="8"/>
        <v>5.6197446919582461</v>
      </c>
      <c r="AD28" s="65">
        <f t="shared" si="8"/>
        <v>5.6201356389637258</v>
      </c>
      <c r="AE28" s="65">
        <f t="shared" si="8"/>
        <v>6.2224284314622977</v>
      </c>
      <c r="AF28" s="65">
        <f t="shared" si="8"/>
        <v>6.6746479299604502</v>
      </c>
      <c r="AG28" s="65">
        <f t="shared" si="8"/>
        <v>7.1123917413614279</v>
      </c>
      <c r="AH28" s="65">
        <f t="shared" si="8"/>
        <v>7.5371208268259284</v>
      </c>
      <c r="AI28" s="65">
        <f t="shared" si="8"/>
        <v>0</v>
      </c>
    </row>
    <row r="29" spans="2:35" ht="15" customHeight="1">
      <c r="B29" s="19"/>
      <c r="C29" s="19"/>
      <c r="D29" s="19"/>
      <c r="E29" s="19"/>
      <c r="F29" s="19"/>
      <c r="G29" s="19"/>
      <c r="H29" s="19"/>
      <c r="I29" s="19"/>
      <c r="J29" s="19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</row>
    <row r="30" spans="2:35" ht="15" customHeight="1">
      <c r="B30" s="13" t="s">
        <v>308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</row>
    <row r="31" spans="2:35" ht="15" customHeight="1">
      <c r="B31" s="5"/>
      <c r="C31" s="5"/>
      <c r="D31" s="5"/>
      <c r="E31" s="19"/>
      <c r="F31" s="19"/>
      <c r="G31" s="19"/>
      <c r="H31" s="19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</row>
    <row r="32" spans="2:35" ht="15" customHeight="1">
      <c r="B32" s="5"/>
      <c r="C32" s="5"/>
      <c r="D32" s="5"/>
      <c r="E32" s="5" t="s">
        <v>307</v>
      </c>
      <c r="F32" s="19"/>
      <c r="G32" s="5" t="str">
        <f>Inputs!$I$11</f>
        <v>£m 2024 CPIH prices</v>
      </c>
      <c r="H32" s="19"/>
      <c r="I32" s="19"/>
      <c r="J32" s="30"/>
      <c r="K32" s="5">
        <f>'Tax Floor'!K28 / 'Tax Deductions'!K$11</f>
        <v>0</v>
      </c>
      <c r="L32" s="5">
        <f>'Tax Floor'!L28 / 'Tax Deductions'!L$11</f>
        <v>0</v>
      </c>
      <c r="M32" s="5">
        <f>'Tax Floor'!M28 / 'Tax Deductions'!M$11</f>
        <v>0</v>
      </c>
      <c r="N32" s="5">
        <f>'Tax Floor'!N28 / 'Tax Deductions'!N$11</f>
        <v>0</v>
      </c>
      <c r="O32" s="5">
        <f>'Tax Floor'!O28 / 'Tax Deductions'!O$11</f>
        <v>0</v>
      </c>
      <c r="P32" s="5">
        <f>'Tax Floor'!P28 / 'Tax Deductions'!P$11</f>
        <v>0</v>
      </c>
      <c r="Q32" s="5">
        <f>'Tax Floor'!Q28 / 'Tax Deductions'!Q$11</f>
        <v>0</v>
      </c>
      <c r="R32" s="5">
        <f>'Tax Floor'!R28 / 'Tax Deductions'!R$11</f>
        <v>0</v>
      </c>
      <c r="S32" s="5">
        <f>'Tax Floor'!S28 / 'Tax Deductions'!S$11</f>
        <v>9.2446640681329045E-2</v>
      </c>
      <c r="T32" s="5">
        <f>'Tax Floor'!T28 / 'Tax Deductions'!T$11</f>
        <v>2.0099131995593069</v>
      </c>
      <c r="U32" s="5">
        <f>'Tax Floor'!U28 / 'Tax Deductions'!U$11</f>
        <v>2.5988642087652809</v>
      </c>
      <c r="V32" s="5">
        <f>'Tax Floor'!V28 / 'Tax Deductions'!V$11</f>
        <v>2.98390207300602</v>
      </c>
      <c r="W32" s="5">
        <f>'Tax Floor'!W28 / 'Tax Deductions'!W$11</f>
        <v>3.3192342560732389</v>
      </c>
      <c r="X32" s="5">
        <f>'Tax Floor'!X28 / 'Tax Deductions'!X$11</f>
        <v>3.5357689628517721</v>
      </c>
      <c r="Y32" s="5">
        <f>'Tax Floor'!Y28 / 'Tax Deductions'!Y$11</f>
        <v>3.5557787697032666</v>
      </c>
      <c r="Z32" s="5">
        <f>'Tax Floor'!Z28 / 'Tax Deductions'!Z$11</f>
        <v>4.0549479278529139</v>
      </c>
      <c r="AA32" s="5">
        <f>'Tax Floor'!AA28 / 'Tax Deductions'!AA$11</f>
        <v>3.5650553722649687</v>
      </c>
      <c r="AB32" s="5">
        <f>'Tax Floor'!AB28 / 'Tax Deductions'!AB$11</f>
        <v>3.8846516491370573</v>
      </c>
      <c r="AC32" s="5">
        <f>'Tax Floor'!AC28 / 'Tax Deductions'!AC$11</f>
        <v>4.175355003201795</v>
      </c>
      <c r="AD32" s="5">
        <f>'Tax Floor'!AD28 / 'Tax Deductions'!AD$11</f>
        <v>4.0937700674564947</v>
      </c>
      <c r="AE32" s="5">
        <f>'Tax Floor'!AE28 / 'Tax Deductions'!AE$11</f>
        <v>4.4436146252498068</v>
      </c>
      <c r="AF32" s="5">
        <f>'Tax Floor'!AF28 / 'Tax Deductions'!AF$11</f>
        <v>4.6730956279029536</v>
      </c>
      <c r="AG32" s="5">
        <f>'Tax Floor'!AG28 / 'Tax Deductions'!AG$11</f>
        <v>4.8819328645710227</v>
      </c>
      <c r="AH32" s="5">
        <f>'Tax Floor'!AH28 / 'Tax Deductions'!AH$11</f>
        <v>5.0720256302595601</v>
      </c>
      <c r="AI32" s="5">
        <f>'Tax Floor'!AI28 / 'Tax Deductions'!AI$11</f>
        <v>0</v>
      </c>
    </row>
    <row r="33" spans="1:35" ht="15" customHeight="1">
      <c r="B33" s="5"/>
      <c r="C33" s="5"/>
      <c r="D33" s="5"/>
      <c r="E33" s="5" t="s">
        <v>258</v>
      </c>
      <c r="F33" s="19"/>
      <c r="G33" s="5" t="str">
        <f>'Allowances Floor'!G24</f>
        <v>scalar</v>
      </c>
      <c r="H33" s="19"/>
      <c r="I33" s="19"/>
      <c r="J33" s="30"/>
      <c r="K33" s="106">
        <f>'Allowances Floor'!K24</f>
        <v>1.0021292928757002</v>
      </c>
      <c r="L33" s="106">
        <f>'Allowances Floor'!L24</f>
        <v>1.0042631196395506</v>
      </c>
      <c r="M33" s="106">
        <f>'Allowances Floor'!M24</f>
        <v>1.0064014899455276</v>
      </c>
      <c r="N33" s="106">
        <f>'Allowances Floor'!N24</f>
        <v>1.0085444134681625</v>
      </c>
      <c r="O33" s="106">
        <f>'Allowances Floor'!O24</f>
        <v>1.0106918999025873</v>
      </c>
      <c r="P33" s="106">
        <f>'Allowances Floor'!P24</f>
        <v>1.0128439589645777</v>
      </c>
      <c r="Q33" s="106">
        <f>'Allowances Floor'!Q24</f>
        <v>1.0150006003905969</v>
      </c>
      <c r="R33" s="106">
        <f>'Allowances Floor'!R24</f>
        <v>1.0171618339378399</v>
      </c>
      <c r="S33" s="106">
        <f>'Allowances Floor'!S24</f>
        <v>1.0193276693842777</v>
      </c>
      <c r="T33" s="106">
        <f>'Allowances Floor'!T24</f>
        <v>1.0214981165287018</v>
      </c>
      <c r="U33" s="106">
        <f>'Allowances Floor'!U24</f>
        <v>1.0236731851907674</v>
      </c>
      <c r="V33" s="106">
        <f>'Allowances Floor'!V24</f>
        <v>1.0258528852110393</v>
      </c>
      <c r="W33" s="106">
        <f>'Allowances Floor'!W24</f>
        <v>1.0280372264510356</v>
      </c>
      <c r="X33" s="106">
        <f>'Allowances Floor'!X24</f>
        <v>1.0302262187932723</v>
      </c>
      <c r="Y33" s="106">
        <f>'Allowances Floor'!Y24</f>
        <v>1.032419872141308</v>
      </c>
      <c r="Z33" s="106">
        <f>'Allowances Floor'!Z24</f>
        <v>1.0346181964197898</v>
      </c>
      <c r="AA33" s="106">
        <f>'Allowances Floor'!AA24</f>
        <v>1.0368212015744962</v>
      </c>
      <c r="AB33" s="106">
        <f>'Allowances Floor'!AB24</f>
        <v>1.0390288975723836</v>
      </c>
      <c r="AC33" s="106">
        <f>'Allowances Floor'!AC24</f>
        <v>1.0412412944016309</v>
      </c>
      <c r="AD33" s="106">
        <f>'Allowances Floor'!AD24</f>
        <v>1.0434584020716851</v>
      </c>
      <c r="AE33" s="106">
        <f>'Allowances Floor'!AE24</f>
        <v>1.0456802306133057</v>
      </c>
      <c r="AF33" s="106">
        <f>'Allowances Floor'!AF24</f>
        <v>1.047906790078611</v>
      </c>
      <c r="AG33" s="106">
        <f>'Allowances Floor'!AG24</f>
        <v>1.0501380905411233</v>
      </c>
      <c r="AH33" s="106">
        <f>'Allowances Floor'!AH24</f>
        <v>1.0523741420958137</v>
      </c>
      <c r="AI33" s="106">
        <f>'Allowances Floor'!AI24</f>
        <v>1.0546149548591492</v>
      </c>
    </row>
    <row r="34" spans="1:35" ht="15" customHeight="1"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</row>
    <row r="35" spans="1:35" ht="15" customHeight="1">
      <c r="B35" s="5"/>
      <c r="C35" s="5"/>
      <c r="D35" s="5"/>
      <c r="E35" s="19" t="s">
        <v>309</v>
      </c>
      <c r="F35" s="19"/>
      <c r="G35" s="5" t="str">
        <f>Inputs!$I$11</f>
        <v>£m 2024 CPIH prices</v>
      </c>
      <c r="H35" s="19"/>
      <c r="I35" s="19"/>
      <c r="J35" s="30"/>
      <c r="K35" s="65">
        <f t="shared" ref="K35:AI35" si="9">K32*K33</f>
        <v>0</v>
      </c>
      <c r="L35" s="65">
        <f t="shared" si="9"/>
        <v>0</v>
      </c>
      <c r="M35" s="65">
        <f t="shared" si="9"/>
        <v>0</v>
      </c>
      <c r="N35" s="65">
        <f t="shared" si="9"/>
        <v>0</v>
      </c>
      <c r="O35" s="65">
        <f t="shared" si="9"/>
        <v>0</v>
      </c>
      <c r="P35" s="65">
        <f t="shared" si="9"/>
        <v>0</v>
      </c>
      <c r="Q35" s="65">
        <f t="shared" si="9"/>
        <v>0</v>
      </c>
      <c r="R35" s="65">
        <f t="shared" si="9"/>
        <v>0</v>
      </c>
      <c r="S35" s="65">
        <f t="shared" si="9"/>
        <v>9.4233418788104886E-2</v>
      </c>
      <c r="T35" s="65">
        <f t="shared" si="9"/>
        <v>2.0531225477360087</v>
      </c>
      <c r="U35" s="65">
        <f t="shared" si="9"/>
        <v>2.6603876024650388</v>
      </c>
      <c r="V35" s="65">
        <f t="shared" si="9"/>
        <v>3.0610445507804269</v>
      </c>
      <c r="W35" s="65">
        <f t="shared" si="9"/>
        <v>3.4122963785547986</v>
      </c>
      <c r="X35" s="65">
        <f t="shared" si="9"/>
        <v>3.6426418891253909</v>
      </c>
      <c r="Y35" s="65">
        <f t="shared" si="9"/>
        <v>3.671056662779824</v>
      </c>
      <c r="Z35" s="65">
        <f t="shared" si="9"/>
        <v>4.1953229116913455</v>
      </c>
      <c r="AA35" s="65">
        <f t="shared" si="9"/>
        <v>3.6963249947513779</v>
      </c>
      <c r="AB35" s="65">
        <f t="shared" si="9"/>
        <v>4.0362653204556187</v>
      </c>
      <c r="AC35" s="65">
        <f t="shared" si="9"/>
        <v>4.3475520481201633</v>
      </c>
      <c r="AD35" s="65">
        <f t="shared" si="9"/>
        <v>4.2716787730370482</v>
      </c>
      <c r="AE35" s="65">
        <f t="shared" si="9"/>
        <v>4.6465999660878756</v>
      </c>
      <c r="AF35" s="65">
        <f t="shared" si="9"/>
        <v>4.8969686391661753</v>
      </c>
      <c r="AG35" s="65">
        <f t="shared" si="9"/>
        <v>5.1267036565505704</v>
      </c>
      <c r="AH35" s="65">
        <f t="shared" si="9"/>
        <v>5.3376686213323836</v>
      </c>
      <c r="AI35" s="65">
        <f t="shared" si="9"/>
        <v>0</v>
      </c>
    </row>
    <row r="36" spans="1:35" ht="15" customHeight="1">
      <c r="B36" s="5"/>
      <c r="C36" s="5"/>
      <c r="D36" s="5"/>
      <c r="E36" s="19" t="s">
        <v>310</v>
      </c>
      <c r="F36" s="19"/>
      <c r="G36" s="5" t="str">
        <f>Inputs!$I$11</f>
        <v>£m 2024 CPIH prices</v>
      </c>
      <c r="H36" s="19"/>
      <c r="I36" s="60">
        <f>SUM(K35:AI35)</f>
        <v>59.149867981422148</v>
      </c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</row>
    <row r="37" spans="1:35" ht="15" customHeight="1">
      <c r="B37" s="5"/>
      <c r="C37" s="5"/>
      <c r="D37" s="5"/>
      <c r="E37" s="19"/>
      <c r="F37" s="19"/>
      <c r="G37" s="19"/>
      <c r="H37" s="19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</row>
    <row r="38" spans="1:35" ht="15" customHeight="1">
      <c r="B38" s="5"/>
      <c r="C38" s="5"/>
      <c r="D38" s="5"/>
      <c r="E38" s="19" t="s">
        <v>257</v>
      </c>
      <c r="F38" s="19"/>
      <c r="G38" s="19" t="str">
        <f>'Allowances Floor'!G31</f>
        <v>scalar</v>
      </c>
      <c r="H38" s="19"/>
      <c r="I38" s="105">
        <f>'Allowances Floor'!I31</f>
        <v>3.8904520318520708E-2</v>
      </c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</row>
    <row r="39" spans="1:35" ht="15" customHeight="1">
      <c r="B39" s="5"/>
      <c r="C39" s="5"/>
      <c r="D39" s="5"/>
      <c r="E39" s="19"/>
      <c r="F39" s="19"/>
      <c r="G39" s="19"/>
      <c r="H39" s="19"/>
      <c r="I39" s="19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</row>
    <row r="40" spans="1:35" ht="15" customHeight="1">
      <c r="B40" s="5"/>
      <c r="C40" s="5"/>
      <c r="D40" s="5"/>
      <c r="E40" s="19" t="s">
        <v>311</v>
      </c>
      <c r="F40" s="19"/>
      <c r="G40" s="5" t="str">
        <f>Inputs!$I$11</f>
        <v>£m 2024 CPIH prices</v>
      </c>
      <c r="H40" s="19"/>
      <c r="I40" s="89">
        <f>I36 * I38</f>
        <v>2.3011972407210552</v>
      </c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</row>
    <row r="41" spans="1:35" ht="15" customHeight="1">
      <c r="B41" s="5"/>
      <c r="C41" s="5"/>
      <c r="D41" s="5"/>
      <c r="E41" s="19"/>
      <c r="F41" s="19"/>
      <c r="G41" s="19"/>
      <c r="H41" s="19"/>
      <c r="I41" s="19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</row>
    <row r="42" spans="1:35" ht="15" customHeight="1">
      <c r="B42" s="126" t="s">
        <v>45</v>
      </c>
      <c r="C42" s="13"/>
      <c r="D42" s="13"/>
      <c r="E42" s="13"/>
      <c r="F42" s="13"/>
      <c r="G42" s="13"/>
      <c r="H42" s="13"/>
      <c r="I42" s="27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</row>
    <row r="43" spans="1:35" ht="1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spans="1:35" ht="15" hidden="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spans="1:35" ht="15" hidden="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spans="1:35" ht="15" hidden="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spans="1:35" ht="15" hidden="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spans="1:35" ht="15" hidden="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spans="1:35" ht="15" hidden="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spans="1:35" ht="15" hidden="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spans="1:35" ht="15" hidden="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spans="1:35" ht="15" hidden="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spans="1:35" ht="15" hidden="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spans="1:35" ht="15" hidden="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spans="1:35" ht="15" hidden="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spans="1:35" ht="15" hidden="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spans="1:35" ht="15" hidden="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spans="1:35" ht="15" hidden="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spans="1:35" ht="15" hidden="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spans="1:35" ht="15" hidden="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</sheetData>
  <pageMargins left="0.23622047244094491" right="0.23622047244094491" top="0.74803149606299213" bottom="0.74803149606299213" header="0.31496062992125978" footer="0.31496062992125978"/>
  <pageSetup paperSize="8" scale="43" fitToHeight="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theme="6" tint="0.59999389629810485"/>
    <pageSetUpPr fitToPage="1"/>
  </sheetPr>
  <dimension ref="A1:AT27"/>
  <sheetViews>
    <sheetView tabSelected="1" zoomScale="110" zoomScaleNormal="110" workbookViewId="0">
      <pane xSplit="10" ySplit="2" topLeftCell="K3" activePane="bottomRight" state="frozen"/>
      <selection pane="topRight"/>
      <selection pane="bottomLeft"/>
      <selection pane="bottomRight" activeCell="E9" sqref="E9"/>
    </sheetView>
  </sheetViews>
  <sheetFormatPr baseColWidth="10" defaultColWidth="0" defaultRowHeight="15" customHeight="1" zeroHeight="1"/>
  <cols>
    <col min="1" max="3" width="2.59765625" style="29" customWidth="1"/>
    <col min="4" max="4" width="2.59765625" style="19" customWidth="1"/>
    <col min="5" max="5" width="72" style="19" bestFit="1" customWidth="1"/>
    <col min="6" max="6" width="1.59765625" style="19" customWidth="1"/>
    <col min="7" max="7" width="15.59765625" style="19" customWidth="1"/>
    <col min="8" max="8" width="10.796875" style="19" bestFit="1" customWidth="1"/>
    <col min="9" max="9" width="11.3984375" style="19" bestFit="1" customWidth="1"/>
    <col min="10" max="10" width="3" customWidth="1"/>
    <col min="11" max="21" width="10.59765625" hidden="1" customWidth="1"/>
    <col min="22" max="22" width="11.19921875" hidden="1" customWidth="1"/>
    <col min="23" max="39" width="13.796875" hidden="1" customWidth="1"/>
    <col min="40" max="40" width="12.59765625" hidden="1" customWidth="1"/>
    <col min="41" max="46" width="13.796875" hidden="1" customWidth="1"/>
    <col min="47" max="49" width="9" hidden="1" customWidth="1"/>
    <col min="50" max="16384" width="9" hidden="1"/>
  </cols>
  <sheetData>
    <row r="1" spans="1:9" ht="15" customHeight="1">
      <c r="A1" s="171" t="s">
        <v>41</v>
      </c>
      <c r="B1" s="14"/>
      <c r="C1" s="14"/>
      <c r="D1" s="14"/>
      <c r="E1" s="14"/>
      <c r="F1" s="14"/>
      <c r="G1" s="14"/>
      <c r="H1" s="14" t="s">
        <v>84</v>
      </c>
      <c r="I1" s="14"/>
    </row>
    <row r="2" spans="1:9" ht="15" customHeight="1">
      <c r="A2" s="14"/>
      <c r="B2" s="14"/>
      <c r="C2" s="14"/>
      <c r="D2" s="14"/>
      <c r="E2" s="16" t="s">
        <v>85</v>
      </c>
      <c r="F2" s="16"/>
      <c r="G2" s="16" t="s">
        <v>86</v>
      </c>
      <c r="H2" s="16" t="s">
        <v>87</v>
      </c>
      <c r="I2" s="16" t="s">
        <v>88</v>
      </c>
    </row>
    <row r="3" spans="1:9" ht="15" customHeight="1">
      <c r="I3" s="30"/>
    </row>
    <row r="4" spans="1:9" ht="15" customHeight="1">
      <c r="B4" s="126" t="s">
        <v>312</v>
      </c>
      <c r="C4" s="58"/>
      <c r="D4" s="58"/>
      <c r="E4" s="58"/>
      <c r="F4" s="58"/>
      <c r="G4" s="58"/>
      <c r="H4" s="58"/>
      <c r="I4" s="58"/>
    </row>
    <row r="5" spans="1:9" ht="15" customHeight="1">
      <c r="C5" s="19"/>
      <c r="I5" s="30"/>
    </row>
    <row r="6" spans="1:9" ht="15" customHeight="1">
      <c r="A6" s="5"/>
      <c r="B6" s="5"/>
      <c r="C6" s="12" t="s">
        <v>313</v>
      </c>
      <c r="D6" s="12"/>
      <c r="E6" s="12"/>
      <c r="F6" s="12"/>
      <c r="G6" s="12"/>
      <c r="H6" s="12"/>
      <c r="I6" s="12"/>
    </row>
    <row r="7" spans="1:9" ht="15" customHeight="1">
      <c r="A7" s="5"/>
      <c r="B7" s="5"/>
      <c r="C7" s="3" t="s">
        <v>314</v>
      </c>
      <c r="D7" s="3"/>
      <c r="E7" s="3"/>
    </row>
    <row r="8" spans="1:9" ht="15" customHeight="1">
      <c r="B8" s="5"/>
      <c r="C8" s="5"/>
      <c r="D8" s="5"/>
      <c r="E8" s="5" t="s">
        <v>315</v>
      </c>
      <c r="G8" s="5" t="str">
        <f>Inputs!$I$11</f>
        <v>£m 2024 CPIH prices</v>
      </c>
      <c r="I8" s="191">
        <f>'Allowances Cap'!$I33</f>
        <v>63.245096075709924</v>
      </c>
    </row>
    <row r="9" spans="1:9" ht="15" customHeight="1">
      <c r="B9" s="5"/>
      <c r="C9" s="5"/>
      <c r="D9" s="5"/>
      <c r="E9" s="5" t="s">
        <v>316</v>
      </c>
      <c r="G9" s="5" t="str">
        <f>Inputs!$I$11</f>
        <v>£m 2024 CPIH prices</v>
      </c>
      <c r="I9" s="191">
        <f>'Allowances Floor'!$I33</f>
        <v>43.302764436202644</v>
      </c>
    </row>
    <row r="10" spans="1:9" ht="15" customHeight="1">
      <c r="A10" s="124"/>
      <c r="B10" s="5"/>
      <c r="C10" s="5"/>
      <c r="D10" s="5"/>
      <c r="I10" s="80"/>
    </row>
    <row r="11" spans="1:9" ht="13" customHeight="1">
      <c r="B11" s="5"/>
      <c r="C11" s="5"/>
      <c r="D11" s="5"/>
      <c r="E11" s="57" t="s">
        <v>317</v>
      </c>
      <c r="G11" s="5" t="str">
        <f>Inputs!$I$11</f>
        <v>£m 2024 CPIH prices</v>
      </c>
      <c r="I11" s="191">
        <f>IF(Inputs!$I$123="No",'Tax Cap'!I40,0)</f>
        <v>7.7970934630519402</v>
      </c>
    </row>
    <row r="12" spans="1:9" ht="13" customHeight="1">
      <c r="B12" s="5"/>
      <c r="C12" s="5"/>
      <c r="D12" s="5"/>
      <c r="E12" s="57" t="s">
        <v>318</v>
      </c>
      <c r="G12" s="5" t="str">
        <f>Inputs!$I$11</f>
        <v>£m 2024 CPIH prices</v>
      </c>
      <c r="I12" s="191">
        <f>IF(Inputs!$I$123="No",'Tax Floor'!I40,0)</f>
        <v>2.3011972407210552</v>
      </c>
    </row>
    <row r="13" spans="1:9" ht="15" customHeight="1">
      <c r="B13" s="5"/>
      <c r="C13" s="5"/>
      <c r="D13" s="5"/>
      <c r="E13" s="57"/>
      <c r="G13" s="5"/>
      <c r="I13" s="80"/>
    </row>
    <row r="14" spans="1:9" ht="15" customHeight="1">
      <c r="B14" s="5"/>
      <c r="C14" s="5"/>
      <c r="D14" s="5"/>
      <c r="E14" s="57" t="s">
        <v>319</v>
      </c>
      <c r="G14" s="5" t="str">
        <f>Inputs!$I$11</f>
        <v>£m 2024 CPIH prices</v>
      </c>
      <c r="I14" s="138"/>
    </row>
    <row r="15" spans="1:9" ht="15" customHeight="1">
      <c r="B15" s="5"/>
      <c r="C15" s="5"/>
      <c r="D15" s="5"/>
      <c r="E15" s="57" t="s">
        <v>320</v>
      </c>
      <c r="G15" s="5" t="str">
        <f>Inputs!$I$11</f>
        <v>£m 2024 CPIH prices</v>
      </c>
      <c r="I15" s="138"/>
    </row>
    <row r="16" spans="1:9" ht="15" customHeight="1">
      <c r="B16" s="5"/>
      <c r="C16" s="5"/>
      <c r="D16" s="5"/>
      <c r="I16" s="80"/>
    </row>
    <row r="17" spans="1:9" ht="13" customHeight="1">
      <c r="B17" s="5"/>
      <c r="C17" s="5"/>
      <c r="D17" s="5"/>
      <c r="E17" s="5" t="s">
        <v>321</v>
      </c>
      <c r="G17" s="5" t="str">
        <f>Inputs!$I$11</f>
        <v>£m 2024 CPIH prices</v>
      </c>
      <c r="I17" s="121">
        <f>I8+IF(Inputs!$I$123="Yes",I14,I11)</f>
        <v>71.04218953876186</v>
      </c>
    </row>
    <row r="18" spans="1:9" ht="13" customHeight="1">
      <c r="B18" s="5"/>
      <c r="C18" s="5"/>
      <c r="D18" s="5"/>
      <c r="E18" s="5" t="s">
        <v>322</v>
      </c>
      <c r="G18" s="5" t="str">
        <f>Inputs!$I$11</f>
        <v>£m 2024 CPIH prices</v>
      </c>
      <c r="I18" s="122">
        <f>I9+IF(Inputs!$I$123="Yes",I15,I12)</f>
        <v>45.603961676923696</v>
      </c>
    </row>
    <row r="19" spans="1:9" ht="15" customHeight="1">
      <c r="A19" s="124"/>
      <c r="B19" s="5"/>
      <c r="C19" s="5"/>
      <c r="D19" s="5"/>
      <c r="I19" s="80"/>
    </row>
    <row r="20" spans="1:9" ht="15" customHeight="1">
      <c r="E20" s="19" t="s">
        <v>323</v>
      </c>
      <c r="G20" s="5" t="str">
        <f>Inputs!$I$11</f>
        <v>£m 2024 CPIH prices</v>
      </c>
      <c r="H20" s="19" t="s">
        <v>324</v>
      </c>
      <c r="I20" s="138">
        <v>67.052941164410839</v>
      </c>
    </row>
    <row r="21" spans="1:9" ht="15" customHeight="1">
      <c r="C21" s="19"/>
      <c r="E21" s="19" t="s">
        <v>325</v>
      </c>
      <c r="G21" s="5" t="str">
        <f>Inputs!$I$11</f>
        <v>£m 2024 CPIH prices</v>
      </c>
      <c r="H21" s="19" t="s">
        <v>326</v>
      </c>
      <c r="I21" s="138">
        <v>36.468320804140127</v>
      </c>
    </row>
    <row r="22" spans="1:9" ht="15" customHeight="1">
      <c r="B22" s="19"/>
      <c r="I22" s="80"/>
    </row>
    <row r="23" spans="1:9" ht="15" customHeight="1">
      <c r="B23" s="19"/>
      <c r="C23" s="19"/>
      <c r="E23" s="19" t="s">
        <v>327</v>
      </c>
      <c r="G23" s="5" t="str">
        <f>Inputs!$I$11</f>
        <v>£m 2024 CPIH prices</v>
      </c>
      <c r="H23" s="19" t="s">
        <v>328</v>
      </c>
      <c r="I23" s="80">
        <f>I17-I20</f>
        <v>3.9892483743510212</v>
      </c>
    </row>
    <row r="24" spans="1:9" ht="15" customHeight="1">
      <c r="B24" s="19"/>
      <c r="C24" s="19"/>
      <c r="E24" s="19" t="s">
        <v>329</v>
      </c>
      <c r="G24" s="5" t="str">
        <f>Inputs!$I$11</f>
        <v>£m 2024 CPIH prices</v>
      </c>
      <c r="H24" s="19" t="s">
        <v>330</v>
      </c>
      <c r="I24" s="80">
        <f>I18-I21</f>
        <v>9.1356408727835685</v>
      </c>
    </row>
    <row r="25" spans="1:9" ht="15" customHeight="1">
      <c r="A25" s="5"/>
      <c r="B25" s="5"/>
      <c r="C25" s="5"/>
      <c r="D25" s="5"/>
    </row>
    <row r="26" spans="1:9" ht="15" customHeight="1">
      <c r="A26" s="5"/>
      <c r="B26" s="126" t="s">
        <v>45</v>
      </c>
      <c r="C26" s="58"/>
      <c r="D26" s="58"/>
      <c r="E26" s="58"/>
      <c r="F26" s="58"/>
      <c r="G26" s="58"/>
      <c r="H26" s="58"/>
      <c r="I26" s="58"/>
    </row>
    <row r="27" spans="1:9" ht="15" customHeight="1"/>
  </sheetData>
  <pageMargins left="0.23622047244094491" right="0.23622047244094491" top="0.74803149606299213" bottom="0.74803149606299213" header="0.31496062992125978" footer="0.31496062992125978"/>
  <pageSetup paperSize="8" scale="37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24</vt:i4>
      </vt:variant>
    </vt:vector>
  </HeadingPairs>
  <TitlesOfParts>
    <vt:vector size="37" baseType="lpstr">
      <vt:lpstr>Cover</vt:lpstr>
      <vt:lpstr>Version Control</vt:lpstr>
      <vt:lpstr>Inputs</vt:lpstr>
      <vt:lpstr>Data Sources</vt:lpstr>
      <vt:lpstr>Pre Op RAV</vt:lpstr>
      <vt:lpstr>Finance</vt:lpstr>
      <vt:lpstr>Op Rav</vt:lpstr>
      <vt:lpstr>Allowances Cap</vt:lpstr>
      <vt:lpstr>Allowances Floor</vt:lpstr>
      <vt:lpstr>Tax Deductions</vt:lpstr>
      <vt:lpstr>Tax Cap</vt:lpstr>
      <vt:lpstr>Tax Floor</vt:lpstr>
      <vt:lpstr>Cap Floor Levels</vt:lpstr>
      <vt:lpstr>'Allowances Cap'!Print_Area</vt:lpstr>
      <vt:lpstr>'Allowances Floor'!Print_Area</vt:lpstr>
      <vt:lpstr>'Cap Floor Levels'!Print_Area</vt:lpstr>
      <vt:lpstr>Cover!Print_Area</vt:lpstr>
      <vt:lpstr>'Data Sources'!Print_Area</vt:lpstr>
      <vt:lpstr>Finance!Print_Area</vt:lpstr>
      <vt:lpstr>Inputs!Print_Area</vt:lpstr>
      <vt:lpstr>'Op Rav'!Print_Area</vt:lpstr>
      <vt:lpstr>'Pre Op RAV'!Print_Area</vt:lpstr>
      <vt:lpstr>'Tax Cap'!Print_Area</vt:lpstr>
      <vt:lpstr>'Tax Deductions'!Print_Area</vt:lpstr>
      <vt:lpstr>'Tax Floor'!Print_Area</vt:lpstr>
      <vt:lpstr>'Allowances Cap'!Print_Titles</vt:lpstr>
      <vt:lpstr>'Allowances Floor'!Print_Titles</vt:lpstr>
      <vt:lpstr>'Cap Floor Levels'!Print_Titles</vt:lpstr>
      <vt:lpstr>Cover!Print_Titles</vt:lpstr>
      <vt:lpstr>'Data Sources'!Print_Titles</vt:lpstr>
      <vt:lpstr>Finance!Print_Titles</vt:lpstr>
      <vt:lpstr>Inputs!Print_Titles</vt:lpstr>
      <vt:lpstr>'Op Rav'!Print_Titles</vt:lpstr>
      <vt:lpstr>'Pre Op RAV'!Print_Titles</vt:lpstr>
      <vt:lpstr>'Tax Cap'!Print_Titles</vt:lpstr>
      <vt:lpstr>'Tax Deductions'!Print_Titles</vt:lpstr>
      <vt:lpstr>'Tax Floor'!Print_Titles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IFA2 CFFM1 PCR Decision</dc:title>
  <dc:creator>Martin Namor</dc:creator>
  <cp:lastModifiedBy>Aadesh Samdadiya</cp:lastModifiedBy>
  <cp:lastPrinted>2019-02-01T10:22:22Z</cp:lastPrinted>
  <dcterms:created xsi:type="dcterms:W3CDTF">2014-03-17T11:35:35Z</dcterms:created>
  <dcterms:modified xsi:type="dcterms:W3CDTF">2026-07-08T13:39:43Z</dcterms:modified>
  <cp:contentStatus>External 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0x0101004C9F495A7355574383679A0A27B291210066E449D668032F48A1F56115FC042FF7</vt:lpwstr>
  </property>
  <property fmtid="{D5CDD505-2E9C-101B-9397-08002B2CF9AE}" pid="3" name="Select Content Type Above">
    <vt:lpwstr/>
  </property>
  <property fmtid="{D5CDD505-2E9C-101B-9397-08002B2CF9AE}" pid="4" name="Order">
    <vt:r8>2893600</vt:r8>
  </property>
  <property fmtid="{D5CDD505-2E9C-101B-9397-08002B2CF9AE}" pid="5" name="Applicable Start Date">
    <vt:filetime>2014-03-17T00:00:00Z</vt:filetime>
  </property>
  <property fmtid="{D5CDD505-2E9C-101B-9397-08002B2CF9AE}" pid="6" name="URL">
    <vt:lpwstr/>
  </property>
  <property fmtid="{D5CDD505-2E9C-101B-9397-08002B2CF9AE}" pid="7" name="From">
    <vt:lpwstr/>
  </property>
  <property fmtid="{D5CDD505-2E9C-101B-9397-08002B2CF9AE}" pid="8" name="Project Sponsor">
    <vt:lpwstr/>
  </property>
  <property fmtid="{D5CDD505-2E9C-101B-9397-08002B2CF9AE}" pid="9" name="BCC">
    <vt:lpwstr/>
  </property>
  <property fmtid="{D5CDD505-2E9C-101B-9397-08002B2CF9AE}" pid="10" name="xd_ProgID">
    <vt:lpwstr/>
  </property>
  <property fmtid="{D5CDD505-2E9C-101B-9397-08002B2CF9AE}" pid="11" name="_Version">
    <vt:lpwstr/>
  </property>
  <property fmtid="{D5CDD505-2E9C-101B-9397-08002B2CF9AE}" pid="12" name="Project Manager">
    <vt:lpwstr/>
  </property>
  <property fmtid="{D5CDD505-2E9C-101B-9397-08002B2CF9AE}" pid="13" name="Ref No">
    <vt:lpwstr/>
  </property>
  <property fmtid="{D5CDD505-2E9C-101B-9397-08002B2CF9AE}" pid="14" name="Applicable Duration">
    <vt:lpwstr>-</vt:lpwstr>
  </property>
  <property fmtid="{D5CDD505-2E9C-101B-9397-08002B2CF9AE}" pid="15" name="Project Name">
    <vt:lpwstr/>
  </property>
  <property fmtid="{D5CDD505-2E9C-101B-9397-08002B2CF9AE}" pid="16" name="Project Owner">
    <vt:lpwstr/>
  </property>
  <property fmtid="{D5CDD505-2E9C-101B-9397-08002B2CF9AE}" pid="17" name="TemplateUrl">
    <vt:lpwstr/>
  </property>
  <property fmtid="{D5CDD505-2E9C-101B-9397-08002B2CF9AE}" pid="18" name="CC">
    <vt:lpwstr/>
  </property>
  <property fmtid="{D5CDD505-2E9C-101B-9397-08002B2CF9AE}" pid="19" name="DLCPolicyLabelLock">
    <vt:lpwstr/>
  </property>
  <property fmtid="{D5CDD505-2E9C-101B-9397-08002B2CF9AE}" pid="20" name="To">
    <vt:lpwstr/>
  </property>
  <property fmtid="{D5CDD505-2E9C-101B-9397-08002B2CF9AE}" pid="21" name="::">
    <vt:lpwstr/>
  </property>
  <property fmtid="{D5CDD505-2E9C-101B-9397-08002B2CF9AE}" pid="22" name="Attach Count">
    <vt:lpwstr/>
  </property>
  <property fmtid="{D5CDD505-2E9C-101B-9397-08002B2CF9AE}" pid="23" name=":">
    <vt:lpwstr/>
  </property>
  <property fmtid="{D5CDD505-2E9C-101B-9397-08002B2CF9AE}" pid="24" name="Importance">
    <vt:lpwstr/>
  </property>
  <property fmtid="{D5CDD505-2E9C-101B-9397-08002B2CF9AE}" pid="25" name="DLCPolicyLabelClientValue">
    <vt:lpwstr>Version : {_UIVersionString}</vt:lpwstr>
  </property>
  <property fmtid="{D5CDD505-2E9C-101B-9397-08002B2CF9AE}" pid="26" name="Recipient">
    <vt:lpwstr/>
  </property>
  <property fmtid="{D5CDD505-2E9C-101B-9397-08002B2CF9AE}" pid="27" name="docIndexRef">
    <vt:lpwstr>bb1adc6c-3264-4cac-bf2f-95ac10f0d619</vt:lpwstr>
  </property>
  <property fmtid="{D5CDD505-2E9C-101B-9397-08002B2CF9AE}" pid="28" name="bjSaver">
    <vt:lpwstr>F4pwnGwIynODlByWBfXh7WvHa6LyLkXu</vt:lpwstr>
  </property>
  <property fmtid="{D5CDD505-2E9C-101B-9397-08002B2CF9AE}" pid="29" name="_NewReviewCycle">
    <vt:lpwstr/>
  </property>
  <property fmtid="{D5CDD505-2E9C-101B-9397-08002B2CF9AE}" pid="30" name="BJSCc5a055b0-1bed-4579_x">
    <vt:lpwstr/>
  </property>
  <property fmtid="{D5CDD505-2E9C-101B-9397-08002B2CF9AE}" pid="31" name="BJSCSummaryMarking">
    <vt:lpwstr>This item has no classification</vt:lpwstr>
  </property>
  <property fmtid="{D5CDD505-2E9C-101B-9397-08002B2CF9AE}" pid="32" name="BJSCInternalLabel">
    <vt:lpwstr>&lt;?xml version="1.0" encoding="us-ascii"?&gt;&lt;sisl xmlns:xsi="http://www.w3.org/2001/XMLSchema-instance" xmlns:xsd="http://www.w3.org/2001/XMLSchema" sislVersion="0" policy="973096ae-7329-4b3b-9368-47aeba6959e1" xmlns="http://www.boldonjames.com/2008/01/sie/internal/label" /&gt;</vt:lpwstr>
  </property>
  <property fmtid="{D5CDD505-2E9C-101B-9397-08002B2CF9AE}" pid="33" name="BJSCdd9eba61-d6b9-469b_x">
    <vt:lpwstr/>
  </property>
  <property fmtid="{D5CDD505-2E9C-101B-9397-08002B2CF9AE}" pid="34" name="bjDocumentSecurityLabel">
    <vt:lpwstr>This item has no classification</vt:lpwstr>
  </property>
  <property fmtid="{D5CDD505-2E9C-101B-9397-08002B2CF9AE}" pid="35" name="bjClsUserRVM">
    <vt:lpwstr>[]</vt:lpwstr>
  </property>
</Properties>
</file>